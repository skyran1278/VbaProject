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kyran\Evernote\Databases\Attachments\"/>
    </mc:Choice>
  </mc:AlternateContent>
  <bookViews>
    <workbookView xWindow="0" yWindow="0" windowWidth="11970" windowHeight="4530" activeTab="1"/>
  </bookViews>
  <sheets>
    <sheet name="工作表1" sheetId="1" r:id="rId1"/>
    <sheet name="工作表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41" i="2" l="1"/>
  <c r="G35" i="2" l="1"/>
  <c r="M42" i="2" l="1"/>
  <c r="M43" i="2"/>
  <c r="M44" i="2"/>
  <c r="G36" i="2" l="1"/>
  <c r="G41" i="2" s="1"/>
  <c r="G43" i="2" l="1"/>
  <c r="G42" i="2"/>
  <c r="G44" i="2"/>
</calcChain>
</file>

<file path=xl/sharedStrings.xml><?xml version="1.0" encoding="utf-8"?>
<sst xmlns="http://schemas.openxmlformats.org/spreadsheetml/2006/main" count="69" uniqueCount="64">
  <si>
    <t>Sub caculate_D()</t>
  </si>
  <si>
    <t>SaD = 1.136</t>
  </si>
  <si>
    <t>For i = 0.00001 To 300 Step 0.00001</t>
  </si>
  <si>
    <t>D = i</t>
  </si>
  <si>
    <t>KeD = (Kd * D + Qd) / D * Number</t>
  </si>
  <si>
    <t>'--------------------------------------------------阻尼比假設小於2%</t>
  </si>
  <si>
    <t>B = 1.93</t>
  </si>
  <si>
    <t>'If TeD &lt; 0.626 Then</t>
  </si>
  <si>
    <t>'B = 0.8</t>
  </si>
  <si>
    <t>'Else</t>
  </si>
  <si>
    <t>'End If</t>
  </si>
  <si>
    <t>'--------------------------------------------------計算DD</t>
  </si>
  <si>
    <t>TeD_AND_OtherCoefficient = 778.93093206 / KeD</t>
  </si>
  <si>
    <t>DD = TeD_AND_OtherCoefficient * SaD / B</t>
  </si>
  <si>
    <t>'--------------------------------------------------判斷跌代差值是不是夠小</t>
  </si>
  <si>
    <t>If DD - D &lt; small_dleta Then Exit For</t>
  </si>
  <si>
    <t>Next i</t>
  </si>
  <si>
    <t>'--------------------------------------------------顯示</t>
  </si>
  <si>
    <t>MsgBox ("DD " &amp; DD &amp; vbCrLf &amp; "D    " &amp; D)</t>
  </si>
  <si>
    <t>End Sub</t>
  </si>
  <si>
    <r>
      <t>small_dleta =</t>
    </r>
    <r>
      <rPr>
        <sz val="12"/>
        <color rgb="FFFF0000"/>
        <rFont val="新細明體"/>
        <family val="1"/>
        <charset val="136"/>
        <scheme val="minor"/>
      </rPr>
      <t xml:space="preserve"> 0.00000001</t>
    </r>
    <phoneticPr fontId="2" type="noConversion"/>
  </si>
  <si>
    <r>
      <t xml:space="preserve">Number = </t>
    </r>
    <r>
      <rPr>
        <sz val="12"/>
        <color rgb="FFFF0000"/>
        <rFont val="新細明體"/>
        <family val="1"/>
        <charset val="136"/>
        <scheme val="minor"/>
      </rPr>
      <t>13</t>
    </r>
    <phoneticPr fontId="2" type="noConversion"/>
  </si>
  <si>
    <r>
      <t xml:space="preserve">Kd = </t>
    </r>
    <r>
      <rPr>
        <sz val="12"/>
        <color rgb="FFFF0000"/>
        <rFont val="新細明體"/>
        <family val="1"/>
        <charset val="136"/>
        <scheme val="minor"/>
      </rPr>
      <t>1168</t>
    </r>
    <r>
      <rPr>
        <sz val="12"/>
        <color theme="1"/>
        <rFont val="新細明體"/>
        <family val="2"/>
        <charset val="136"/>
        <scheme val="minor"/>
      </rPr>
      <t xml:space="preserve"> / 9.81</t>
    </r>
    <phoneticPr fontId="2" type="noConversion"/>
  </si>
  <si>
    <r>
      <t xml:space="preserve">Qd = </t>
    </r>
    <r>
      <rPr>
        <sz val="12"/>
        <color rgb="FFFF0000"/>
        <rFont val="新細明體"/>
        <family val="1"/>
        <charset val="136"/>
        <scheme val="minor"/>
      </rPr>
      <t>62.6</t>
    </r>
    <r>
      <rPr>
        <sz val="12"/>
        <color theme="1"/>
        <rFont val="新細明體"/>
        <family val="2"/>
        <charset val="136"/>
        <scheme val="minor"/>
      </rPr>
      <t xml:space="preserve"> / 9.81</t>
    </r>
    <phoneticPr fontId="2" type="noConversion"/>
  </si>
  <si>
    <r>
      <t>TeD = 2 * Pi * Sqr(</t>
    </r>
    <r>
      <rPr>
        <sz val="12"/>
        <color rgb="FFFF0000"/>
        <rFont val="新細明體"/>
        <family val="1"/>
        <charset val="136"/>
        <scheme val="minor"/>
      </rPr>
      <t>778.93093206</t>
    </r>
    <r>
      <rPr>
        <sz val="12"/>
        <color theme="1"/>
        <rFont val="新細明體"/>
        <family val="2"/>
        <charset val="136"/>
        <scheme val="minor"/>
      </rPr>
      <t xml:space="preserve"> / KeD / 9.81)</t>
    </r>
    <phoneticPr fontId="2" type="noConversion"/>
  </si>
  <si>
    <r>
      <t>T</t>
    </r>
    <r>
      <rPr>
        <vertAlign val="subscript"/>
        <sz val="14"/>
        <color theme="1"/>
        <rFont val="微軟正黑體"/>
        <family val="2"/>
        <charset val="136"/>
      </rPr>
      <t>0</t>
    </r>
    <r>
      <rPr>
        <vertAlign val="superscript"/>
        <sz val="14"/>
        <color theme="1"/>
        <rFont val="微軟正黑體"/>
        <family val="2"/>
        <charset val="136"/>
      </rPr>
      <t>D</t>
    </r>
    <phoneticPr fontId="2" type="noConversion"/>
  </si>
  <si>
    <r>
      <t>S</t>
    </r>
    <r>
      <rPr>
        <vertAlign val="subscript"/>
        <sz val="14"/>
        <color theme="1"/>
        <rFont val="微軟正黑體"/>
        <family val="2"/>
        <charset val="136"/>
      </rPr>
      <t>aD</t>
    </r>
    <phoneticPr fontId="2" type="noConversion"/>
  </si>
  <si>
    <t>Kd</t>
    <phoneticPr fontId="2" type="noConversion"/>
  </si>
  <si>
    <t>Ku</t>
    <phoneticPr fontId="2" type="noConversion"/>
  </si>
  <si>
    <t>Qd</t>
    <phoneticPr fontId="2" type="noConversion"/>
  </si>
  <si>
    <t>基本資料</t>
    <phoneticPr fontId="2" type="noConversion"/>
  </si>
  <si>
    <t>隔震墊性質</t>
    <phoneticPr fontId="2" type="noConversion"/>
  </si>
  <si>
    <t>共配置</t>
    <phoneticPr fontId="2" type="noConversion"/>
  </si>
  <si>
    <t>+</t>
    <phoneticPr fontId="2" type="noConversion"/>
  </si>
  <si>
    <t>顆LRB</t>
    <phoneticPr fontId="2" type="noConversion"/>
  </si>
  <si>
    <t>顆RB</t>
    <phoneticPr fontId="2" type="noConversion"/>
  </si>
  <si>
    <t>ton</t>
    <phoneticPr fontId="2" type="noConversion"/>
  </si>
  <si>
    <t>sec</t>
    <phoneticPr fontId="2" type="noConversion"/>
  </si>
  <si>
    <t>t/m</t>
    <phoneticPr fontId="2" type="noConversion"/>
  </si>
  <si>
    <t>t/m</t>
    <phoneticPr fontId="2" type="noConversion"/>
  </si>
  <si>
    <t>t</t>
    <phoneticPr fontId="2" type="noConversion"/>
  </si>
  <si>
    <r>
      <t>S</t>
    </r>
    <r>
      <rPr>
        <vertAlign val="subscript"/>
        <sz val="14"/>
        <color theme="1"/>
        <rFont val="微軟正黑體"/>
        <family val="2"/>
        <charset val="136"/>
      </rPr>
      <t>DS</t>
    </r>
    <phoneticPr fontId="2" type="noConversion"/>
  </si>
  <si>
    <r>
      <t>S</t>
    </r>
    <r>
      <rPr>
        <vertAlign val="subscript"/>
        <sz val="14"/>
        <color theme="1"/>
        <rFont val="微軟正黑體"/>
        <family val="2"/>
        <charset val="136"/>
      </rPr>
      <t>D1</t>
    </r>
    <phoneticPr fontId="2" type="noConversion"/>
  </si>
  <si>
    <t>設計位移</t>
    <phoneticPr fontId="2" type="noConversion"/>
  </si>
  <si>
    <r>
      <t>D</t>
    </r>
    <r>
      <rPr>
        <vertAlign val="subscript"/>
        <sz val="14"/>
        <color theme="1"/>
        <rFont val="微軟正黑體"/>
        <family val="2"/>
        <charset val="136"/>
      </rPr>
      <t>D</t>
    </r>
    <phoneticPr fontId="2" type="noConversion"/>
  </si>
  <si>
    <t>水平總橫力</t>
    <phoneticPr fontId="2" type="noConversion"/>
  </si>
  <si>
    <r>
      <t>V</t>
    </r>
    <r>
      <rPr>
        <vertAlign val="subscript"/>
        <sz val="14"/>
        <color theme="1"/>
        <rFont val="微軟正黑體"/>
        <family val="2"/>
        <charset val="136"/>
      </rPr>
      <t>b</t>
    </r>
    <phoneticPr fontId="2" type="noConversion"/>
  </si>
  <si>
    <r>
      <t>V</t>
    </r>
    <r>
      <rPr>
        <vertAlign val="subscript"/>
        <sz val="14"/>
        <color theme="1"/>
        <rFont val="微軟正黑體"/>
        <family val="2"/>
        <charset val="136"/>
      </rPr>
      <t>S</t>
    </r>
    <phoneticPr fontId="2" type="noConversion"/>
  </si>
  <si>
    <t>B</t>
    <phoneticPr fontId="2" type="noConversion"/>
  </si>
  <si>
    <r>
      <t>K</t>
    </r>
    <r>
      <rPr>
        <vertAlign val="subscript"/>
        <sz val="14"/>
        <color theme="1"/>
        <rFont val="微軟正黑體"/>
        <family val="2"/>
        <charset val="136"/>
      </rPr>
      <t>eD</t>
    </r>
    <phoneticPr fontId="2" type="noConversion"/>
  </si>
  <si>
    <r>
      <t>T</t>
    </r>
    <r>
      <rPr>
        <vertAlign val="subscript"/>
        <sz val="14"/>
        <color theme="1"/>
        <rFont val="微軟正黑體"/>
        <family val="2"/>
        <charset val="136"/>
      </rPr>
      <t>eD</t>
    </r>
    <phoneticPr fontId="2" type="noConversion"/>
  </si>
  <si>
    <r>
      <t>α</t>
    </r>
    <r>
      <rPr>
        <vertAlign val="subscript"/>
        <sz val="14"/>
        <color theme="1"/>
        <rFont val="微軟正黑體"/>
        <family val="2"/>
        <charset val="136"/>
      </rPr>
      <t>y</t>
    </r>
    <phoneticPr fontId="2" type="noConversion"/>
  </si>
  <si>
    <t>地震力之豎向分配</t>
    <phoneticPr fontId="2" type="noConversion"/>
  </si>
  <si>
    <r>
      <t>f</t>
    </r>
    <r>
      <rPr>
        <vertAlign val="subscript"/>
        <sz val="14"/>
        <color theme="1"/>
        <rFont val="微軟正黑體"/>
        <family val="2"/>
        <charset val="136"/>
      </rPr>
      <t>x</t>
    </r>
    <phoneticPr fontId="2" type="noConversion"/>
  </si>
  <si>
    <t>W</t>
    <phoneticPr fontId="2" type="noConversion"/>
  </si>
  <si>
    <t>隔震墊上方重量</t>
    <phoneticPr fontId="2" type="noConversion"/>
  </si>
  <si>
    <t>RF</t>
    <phoneticPr fontId="2" type="noConversion"/>
  </si>
  <si>
    <t>3F</t>
    <phoneticPr fontId="2" type="noConversion"/>
  </si>
  <si>
    <t>2F</t>
    <phoneticPr fontId="2" type="noConversion"/>
  </si>
  <si>
    <t>1F</t>
    <phoneticPr fontId="2" type="noConversion"/>
  </si>
  <si>
    <t>Total</t>
    <phoneticPr fontId="2" type="noConversion"/>
  </si>
  <si>
    <t>Fx</t>
    <phoneticPr fontId="2" type="noConversion"/>
  </si>
  <si>
    <t>m</t>
    <phoneticPr fontId="2" type="noConversion"/>
  </si>
  <si>
    <t>sec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</si>
</sst>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"/>
  </numFmts>
  <fonts count="8" x14ac:knownFonts="1">
    <font>
      <sz val="12"/>
      <color theme="1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4"/>
      <color theme="1"/>
      <name val="微軟正黑體"/>
      <family val="2"/>
      <charset val="136"/>
    </font>
    <font>
      <vertAlign val="subscript"/>
      <sz val="14"/>
      <color theme="1"/>
      <name val="微軟正黑體"/>
      <family val="2"/>
      <charset val="136"/>
    </font>
    <font>
      <vertAlign val="superscript"/>
      <sz val="14"/>
      <color theme="1"/>
      <name val="微軟正黑體"/>
      <family val="2"/>
      <charset val="136"/>
    </font>
    <font>
      <sz val="14"/>
      <color rgb="FFFF0000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1" fillId="0" borderId="0" xfId="0" applyFont="1">
      <alignment vertical="center"/>
    </xf>
    <xf numFmtId="0" fontId="4" fillId="2" borderId="7" xfId="0" applyFont="1" applyFill="1" applyBorder="1">
      <alignment vertical="center"/>
    </xf>
    <xf numFmtId="0" fontId="4" fillId="2" borderId="8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4" xfId="0" applyFont="1" applyFill="1" applyBorder="1">
      <alignment vertical="center"/>
    </xf>
    <xf numFmtId="0" fontId="4" fillId="2" borderId="6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3" borderId="0" xfId="0" applyFont="1" applyFill="1">
      <alignment vertical="center"/>
    </xf>
    <xf numFmtId="0" fontId="7" fillId="3" borderId="0" xfId="0" applyFont="1" applyFill="1">
      <alignment vertical="center"/>
    </xf>
    <xf numFmtId="0" fontId="4" fillId="3" borderId="0" xfId="0" applyFont="1" applyFill="1" applyAlignment="1">
      <alignment horizontal="center" vertical="center"/>
    </xf>
    <xf numFmtId="176" fontId="7" fillId="3" borderId="0" xfId="0" applyNumberFormat="1" applyFont="1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A36"/>
  <sheetViews>
    <sheetView workbookViewId="0">
      <selection activeCell="D10" sqref="D10"/>
    </sheetView>
  </sheetViews>
  <sheetFormatPr defaultRowHeight="16.5" x14ac:dyDescent="0.25"/>
  <sheetData>
    <row r="1" spans="1:1" x14ac:dyDescent="0.25">
      <c r="A1" t="s">
        <v>0</v>
      </c>
    </row>
    <row r="3" spans="1:1" x14ac:dyDescent="0.25">
      <c r="A3" t="s">
        <v>20</v>
      </c>
    </row>
    <row r="4" spans="1:1" x14ac:dyDescent="0.25">
      <c r="A4" t="s">
        <v>21</v>
      </c>
    </row>
    <row r="5" spans="1:1" x14ac:dyDescent="0.25">
      <c r="A5" t="s">
        <v>1</v>
      </c>
    </row>
    <row r="6" spans="1:1" x14ac:dyDescent="0.25">
      <c r="A6" t="s">
        <v>22</v>
      </c>
    </row>
    <row r="7" spans="1:1" x14ac:dyDescent="0.25">
      <c r="A7" t="s">
        <v>23</v>
      </c>
    </row>
    <row r="9" spans="1:1" x14ac:dyDescent="0.25">
      <c r="A9" t="s">
        <v>2</v>
      </c>
    </row>
    <row r="10" spans="1:1" x14ac:dyDescent="0.25">
      <c r="A10" t="s">
        <v>3</v>
      </c>
    </row>
    <row r="11" spans="1:1" x14ac:dyDescent="0.25">
      <c r="A11" t="s">
        <v>4</v>
      </c>
    </row>
    <row r="12" spans="1:1" x14ac:dyDescent="0.25">
      <c r="A12" t="s">
        <v>24</v>
      </c>
    </row>
    <row r="14" spans="1:1" x14ac:dyDescent="0.25">
      <c r="A14" t="s">
        <v>5</v>
      </c>
    </row>
    <row r="15" spans="1:1" x14ac:dyDescent="0.25">
      <c r="A15" s="1" t="s">
        <v>6</v>
      </c>
    </row>
    <row r="16" spans="1:1" x14ac:dyDescent="0.25">
      <c r="A16" t="s">
        <v>7</v>
      </c>
    </row>
    <row r="17" spans="1:1" x14ac:dyDescent="0.25">
      <c r="A17" t="s">
        <v>8</v>
      </c>
    </row>
    <row r="18" spans="1:1" x14ac:dyDescent="0.25">
      <c r="A18" t="s">
        <v>9</v>
      </c>
    </row>
    <row r="19" spans="1:1" x14ac:dyDescent="0.25">
      <c r="A19" t="s">
        <v>8</v>
      </c>
    </row>
    <row r="20" spans="1:1" x14ac:dyDescent="0.25">
      <c r="A20" t="s">
        <v>10</v>
      </c>
    </row>
    <row r="22" spans="1:1" x14ac:dyDescent="0.25">
      <c r="A22" t="s">
        <v>11</v>
      </c>
    </row>
    <row r="23" spans="1:1" x14ac:dyDescent="0.25">
      <c r="A23" t="s">
        <v>12</v>
      </c>
    </row>
    <row r="24" spans="1:1" x14ac:dyDescent="0.25">
      <c r="A24" t="s">
        <v>13</v>
      </c>
    </row>
    <row r="26" spans="1:1" x14ac:dyDescent="0.25">
      <c r="A26" t="s">
        <v>14</v>
      </c>
    </row>
    <row r="27" spans="1:1" x14ac:dyDescent="0.25">
      <c r="A27" t="s">
        <v>15</v>
      </c>
    </row>
    <row r="28" spans="1:1" x14ac:dyDescent="0.25">
      <c r="A28" t="s">
        <v>16</v>
      </c>
    </row>
    <row r="30" spans="1:1" x14ac:dyDescent="0.25">
      <c r="A30" t="s">
        <v>17</v>
      </c>
    </row>
    <row r="31" spans="1:1" x14ac:dyDescent="0.25">
      <c r="A31" t="s">
        <v>18</v>
      </c>
    </row>
    <row r="36" spans="1:1" x14ac:dyDescent="0.25">
      <c r="A36" t="s">
        <v>19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D5:O45"/>
  <sheetViews>
    <sheetView tabSelected="1" zoomScaleNormal="100" workbookViewId="0">
      <selection activeCell="I5" sqref="I5"/>
    </sheetView>
  </sheetViews>
  <sheetFormatPr defaultRowHeight="18.75" x14ac:dyDescent="0.25"/>
  <cols>
    <col min="1" max="3" width="9" style="11"/>
    <col min="4" max="5" width="16.5" style="11" customWidth="1"/>
    <col min="6" max="6" width="11.375" style="11" customWidth="1"/>
    <col min="7" max="16384" width="9" style="11"/>
  </cols>
  <sheetData>
    <row r="5" spans="4:10" x14ac:dyDescent="0.25">
      <c r="D5" s="11" t="s">
        <v>30</v>
      </c>
    </row>
    <row r="6" spans="4:10" ht="21.75" x14ac:dyDescent="0.25">
      <c r="F6" s="11" t="s">
        <v>25</v>
      </c>
      <c r="G6" s="12">
        <v>0.626</v>
      </c>
      <c r="H6" s="11" t="s">
        <v>37</v>
      </c>
    </row>
    <row r="7" spans="4:10" ht="21.75" x14ac:dyDescent="0.25">
      <c r="F7" s="11" t="s">
        <v>41</v>
      </c>
      <c r="G7" s="12">
        <v>1.1359999999999999</v>
      </c>
    </row>
    <row r="8" spans="4:10" ht="21.75" x14ac:dyDescent="0.25">
      <c r="F8" s="11" t="s">
        <v>42</v>
      </c>
      <c r="G8" s="12">
        <v>0.71099999999999997</v>
      </c>
    </row>
    <row r="9" spans="4:10" ht="21.75" x14ac:dyDescent="0.25">
      <c r="F9" s="11" t="s">
        <v>26</v>
      </c>
      <c r="G9" s="12">
        <v>1.1359999999999999</v>
      </c>
    </row>
    <row r="10" spans="4:10" x14ac:dyDescent="0.25">
      <c r="F10" s="11" t="s">
        <v>54</v>
      </c>
      <c r="G10" s="12">
        <v>978</v>
      </c>
      <c r="H10" s="11" t="s">
        <v>36</v>
      </c>
      <c r="J10" s="11" t="s">
        <v>55</v>
      </c>
    </row>
    <row r="16" spans="4:10" x14ac:dyDescent="0.25">
      <c r="D16" s="11" t="s">
        <v>31</v>
      </c>
    </row>
    <row r="17" spans="4:15" x14ac:dyDescent="0.25">
      <c r="F17" s="11" t="s">
        <v>28</v>
      </c>
      <c r="G17" s="12">
        <v>5176</v>
      </c>
      <c r="H17" s="11" t="s">
        <v>38</v>
      </c>
      <c r="J17" s="11" t="s">
        <v>32</v>
      </c>
      <c r="K17" s="13">
        <v>7</v>
      </c>
      <c r="L17" s="11" t="s">
        <v>34</v>
      </c>
      <c r="M17" s="13" t="s">
        <v>33</v>
      </c>
      <c r="N17" s="13">
        <v>6</v>
      </c>
      <c r="O17" s="11" t="s">
        <v>35</v>
      </c>
    </row>
    <row r="18" spans="4:15" x14ac:dyDescent="0.25">
      <c r="F18" s="11" t="s">
        <v>27</v>
      </c>
      <c r="G18" s="12">
        <v>398</v>
      </c>
      <c r="H18" s="11" t="s">
        <v>39</v>
      </c>
    </row>
    <row r="19" spans="4:15" x14ac:dyDescent="0.25">
      <c r="F19" s="11" t="s">
        <v>29</v>
      </c>
      <c r="G19" s="12">
        <v>67</v>
      </c>
      <c r="H19" s="11" t="s">
        <v>40</v>
      </c>
    </row>
    <row r="22" spans="4:15" ht="19.5" thickBot="1" x14ac:dyDescent="0.3">
      <c r="D22" s="11" t="s">
        <v>43</v>
      </c>
    </row>
    <row r="23" spans="4:15" ht="21.75" x14ac:dyDescent="0.25">
      <c r="F23" s="2" t="s">
        <v>49</v>
      </c>
      <c r="G23" s="9">
        <v>684.32478632478603</v>
      </c>
      <c r="H23" s="5"/>
    </row>
    <row r="24" spans="4:15" ht="21.75" x14ac:dyDescent="0.25">
      <c r="F24" s="3" t="s">
        <v>50</v>
      </c>
      <c r="G24" s="8">
        <v>2.3969746012594304</v>
      </c>
      <c r="H24" s="6" t="s">
        <v>63</v>
      </c>
    </row>
    <row r="25" spans="4:15" x14ac:dyDescent="0.25">
      <c r="F25" s="3" t="s">
        <v>48</v>
      </c>
      <c r="G25" s="8">
        <v>1.5932850140864516</v>
      </c>
      <c r="H25" s="6"/>
    </row>
    <row r="26" spans="4:15" ht="22.5" thickBot="1" x14ac:dyDescent="0.3">
      <c r="F26" s="4" t="s">
        <v>44</v>
      </c>
      <c r="G26" s="10">
        <v>0.23473981422796708</v>
      </c>
      <c r="H26" s="7" t="s">
        <v>62</v>
      </c>
    </row>
    <row r="33" spans="4:13" x14ac:dyDescent="0.25">
      <c r="D33" s="11" t="s">
        <v>45</v>
      </c>
    </row>
    <row r="34" spans="4:13" ht="22.5" thickBot="1" x14ac:dyDescent="0.3">
      <c r="F34" s="11" t="s">
        <v>51</v>
      </c>
      <c r="G34" s="14">
        <v>1</v>
      </c>
    </row>
    <row r="35" spans="4:13" ht="21.75" x14ac:dyDescent="0.25">
      <c r="F35" s="9" t="s">
        <v>46</v>
      </c>
      <c r="G35" s="2">
        <f>G23*G26/0.8/G34</f>
        <v>200.79784151684194</v>
      </c>
    </row>
    <row r="36" spans="4:13" ht="22.5" thickBot="1" x14ac:dyDescent="0.3">
      <c r="F36" s="10" t="s">
        <v>47</v>
      </c>
      <c r="G36" s="4">
        <f>G23*G26/G34</f>
        <v>160.63827321347355</v>
      </c>
    </row>
    <row r="40" spans="4:13" ht="22.5" thickBot="1" x14ac:dyDescent="0.3">
      <c r="D40" s="11" t="s">
        <v>52</v>
      </c>
      <c r="M40" s="11" t="s">
        <v>53</v>
      </c>
    </row>
    <row r="41" spans="4:13" x14ac:dyDescent="0.25">
      <c r="E41" s="11" t="s">
        <v>61</v>
      </c>
      <c r="F41" s="9" t="s">
        <v>56</v>
      </c>
      <c r="G41" s="2">
        <f>G$36*K41/K$45</f>
        <v>25.626413288453218</v>
      </c>
      <c r="J41" s="11" t="s">
        <v>56</v>
      </c>
      <c r="K41" s="12">
        <v>156.16756762</v>
      </c>
      <c r="M41" s="11">
        <f>G$23*G$26*K41/K$45</f>
        <v>25.626413288453218</v>
      </c>
    </row>
    <row r="42" spans="4:13" x14ac:dyDescent="0.25">
      <c r="F42" s="8" t="s">
        <v>57</v>
      </c>
      <c r="G42" s="3">
        <f t="shared" ref="G42:G44" si="0">G$36*K42/K$45</f>
        <v>28.826727608092426</v>
      </c>
      <c r="J42" s="11" t="s">
        <v>57</v>
      </c>
      <c r="K42" s="12">
        <v>175.67030869000001</v>
      </c>
      <c r="M42" s="11">
        <f t="shared" ref="M42:M44" si="1">G$23*G$26*K42/K$45</f>
        <v>28.826727608092426</v>
      </c>
    </row>
    <row r="43" spans="4:13" x14ac:dyDescent="0.25">
      <c r="F43" s="8" t="s">
        <v>58</v>
      </c>
      <c r="G43" s="3">
        <f t="shared" si="0"/>
        <v>38.788827480422917</v>
      </c>
      <c r="J43" s="11" t="s">
        <v>58</v>
      </c>
      <c r="K43" s="12">
        <v>236.37942502000001</v>
      </c>
      <c r="M43" s="11">
        <f t="shared" si="1"/>
        <v>38.788827480422917</v>
      </c>
    </row>
    <row r="44" spans="4:13" ht="19.5" thickBot="1" x14ac:dyDescent="0.3">
      <c r="F44" s="10" t="s">
        <v>59</v>
      </c>
      <c r="G44" s="4">
        <f t="shared" si="0"/>
        <v>67.396304836504996</v>
      </c>
      <c r="J44" s="11" t="s">
        <v>59</v>
      </c>
      <c r="K44" s="12">
        <v>410.71362092000004</v>
      </c>
      <c r="M44" s="11">
        <f t="shared" si="1"/>
        <v>67.396304836504996</v>
      </c>
    </row>
    <row r="45" spans="4:13" x14ac:dyDescent="0.25">
      <c r="J45" s="11" t="s">
        <v>60</v>
      </c>
      <c r="K45" s="12">
        <v>978.93092225000009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工作表2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skyran</cp:lastModifiedBy>
  <dcterms:created xsi:type="dcterms:W3CDTF">2016-10-06T03:53:05Z</dcterms:created>
  <dcterms:modified xsi:type="dcterms:W3CDTF">2017-01-14T01:35:13Z</dcterms:modified>
</cp:coreProperties>
</file>