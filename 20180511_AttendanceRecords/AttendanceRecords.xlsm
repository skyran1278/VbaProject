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an\Documents\GitHub\VbaProject\20180511_AttendanceRecords\"/>
    </mc:Choice>
  </mc:AlternateContent>
  <xr:revisionPtr revIDLastSave="0" documentId="13_ncr:1_{BFFE310A-2295-4092-A016-D0C61BEF93D6}" xr6:coauthVersionLast="45" xr6:coauthVersionMax="45" xr10:uidLastSave="{00000000-0000-0000-0000-000000000000}"/>
  <bookViews>
    <workbookView xWindow="-120" yWindow="-120" windowWidth="29040" windowHeight="15840" tabRatio="810" xr2:uid="{00000000-000D-0000-FFFF-FFFF00000000}"/>
  </bookViews>
  <sheets>
    <sheet name="Release Notes" sheetId="80" r:id="rId1"/>
    <sheet name="原始DATA" sheetId="72" r:id="rId2"/>
    <sheet name="修改後DATA" sheetId="66" r:id="rId3"/>
    <sheet name="VBA Output" sheetId="81" r:id="rId4"/>
    <sheet name="Jason" sheetId="57" r:id="rId5"/>
    <sheet name="Jessie" sheetId="71" r:id="rId6"/>
    <sheet name="Justin " sheetId="13" r:id="rId7"/>
    <sheet name="JW" sheetId="76" r:id="rId8"/>
    <sheet name="Kevin" sheetId="74" r:id="rId9"/>
    <sheet name="Lisa" sheetId="77" r:id="rId10"/>
    <sheet name="MY" sheetId="46" r:id="rId11"/>
    <sheet name="Nick" sheetId="48" r:id="rId12"/>
    <sheet name="Ruby" sheetId="20" r:id="rId13"/>
    <sheet name="WJ" sheetId="73" r:id="rId14"/>
    <sheet name="工作表1" sheetId="27" r:id="rId15"/>
    <sheet name="Paul " sheetId="41" r:id="rId16"/>
    <sheet name="Willy" sheetId="59" r:id="rId17"/>
    <sheet name="Scott" sheetId="75" r:id="rId18"/>
    <sheet name="未使用" sheetId="42" r:id="rId19"/>
    <sheet name="Danny" sheetId="70" r:id="rId20"/>
    <sheet name="Owen" sheetId="56" r:id="rId21"/>
    <sheet name="Lorah" sheetId="37" r:id="rId22"/>
    <sheet name="Amber" sheetId="9" r:id="rId23"/>
    <sheet name="An" sheetId="69" r:id="rId24"/>
    <sheet name="Leo" sheetId="67" r:id="rId25"/>
    <sheet name="Albert" sheetId="33" r:id="rId26"/>
    <sheet name="Denver" sheetId="14" r:id="rId27"/>
    <sheet name="Wilson" sheetId="55" r:id="rId28"/>
    <sheet name="統計" sheetId="63" r:id="rId29"/>
    <sheet name="Anne" sheetId="50" r:id="rId30"/>
    <sheet name="Yvonne" sheetId="58" r:id="rId31"/>
    <sheet name="B6" sheetId="38" r:id="rId32"/>
    <sheet name="TL" sheetId="25" r:id="rId33"/>
    <sheet name="吳悠 " sheetId="35" r:id="rId34"/>
    <sheet name="Sam" sheetId="21" r:id="rId35"/>
    <sheet name="LZ(done)" sheetId="16" r:id="rId36"/>
  </sheets>
  <functionGroups builtInGroupCount="19"/>
  <definedNames>
    <definedName name="_xlnm.Print_Area" localSheetId="22">Amber!$D$1:$O$62</definedName>
    <definedName name="_xlnm.Print_Area" localSheetId="23">An!$D$1:$O$74</definedName>
    <definedName name="_xlnm.Print_Area" localSheetId="29">Anne!$D$1:$O$21</definedName>
    <definedName name="_xlnm.Print_Area" localSheetId="19">Danny!$D$1:$M$76</definedName>
    <definedName name="_xlnm.Print_Area" localSheetId="26">Denver!$D$1:$O$10</definedName>
    <definedName name="_xlnm.Print_Area" localSheetId="4">Jason!$D$1:$O$77</definedName>
    <definedName name="_xlnm.Print_Area" localSheetId="5">Jessie!$D$1:$O$82</definedName>
    <definedName name="_xlnm.Print_Area" localSheetId="6">'Justin '!$D$1:$O$62</definedName>
    <definedName name="_xlnm.Print_Area" localSheetId="7">JW!$D$1:$O$22</definedName>
    <definedName name="_xlnm.Print_Area" localSheetId="8">Kevin!$D$1:$O$82</definedName>
    <definedName name="_xlnm.Print_Area" localSheetId="24">Leo!$D$1:$O$97</definedName>
    <definedName name="_xlnm.Print_Area" localSheetId="9">Lisa!$D$1:$O$76</definedName>
    <definedName name="_xlnm.Print_Area" localSheetId="21">Lorah!$D$1:$O$40</definedName>
    <definedName name="_xlnm.Print_Area" localSheetId="10">MY!$D$1:$O$111</definedName>
    <definedName name="_xlnm.Print_Area" localSheetId="11">Nick!$D$1:$O$88</definedName>
    <definedName name="_xlnm.Print_Area" localSheetId="20">Owen!$D$1:$N$10</definedName>
    <definedName name="_xlnm.Print_Area" localSheetId="15">'Paul '!$D$1:$N$33</definedName>
    <definedName name="_xlnm.Print_Area" localSheetId="12">Ruby!$D$1:$O$88</definedName>
    <definedName name="_xlnm.Print_Area" localSheetId="34">Sam!$D$1:$O$81</definedName>
    <definedName name="_xlnm.Print_Area" localSheetId="17">Scott!$D$1:$M$28</definedName>
    <definedName name="_xlnm.Print_Area" localSheetId="16">Willy!$D$1:$M$32</definedName>
    <definedName name="_xlnm.Print_Area" localSheetId="27">Wilson!$D$1:$O$52</definedName>
    <definedName name="_xlnm.Print_Area" localSheetId="13">WJ!$D$1:$O$74</definedName>
    <definedName name="_xlnm.Print_Area" localSheetId="30">Yvonne!$D$1:$O$23</definedName>
    <definedName name="_xlnm.Print_Titles" localSheetId="25">Albert!$1:$6</definedName>
    <definedName name="_xlnm.Print_Titles" localSheetId="22">Amber!$1:$6</definedName>
    <definedName name="_xlnm.Print_Titles" localSheetId="23">An!$1:$6</definedName>
    <definedName name="_xlnm.Print_Titles" localSheetId="29">Anne!$1:$6</definedName>
    <definedName name="_xlnm.Print_Titles" localSheetId="31">'B6'!$1:$6</definedName>
    <definedName name="_xlnm.Print_Titles" localSheetId="19">Danny!$1:$6</definedName>
    <definedName name="_xlnm.Print_Titles" localSheetId="26">Denver!$1:$6</definedName>
    <definedName name="_xlnm.Print_Titles" localSheetId="4">Jason!$1:$6</definedName>
    <definedName name="_xlnm.Print_Titles" localSheetId="5">Jessie!$1:$6</definedName>
    <definedName name="_xlnm.Print_Titles" localSheetId="6">'Justin '!$1:$6</definedName>
    <definedName name="_xlnm.Print_Titles" localSheetId="7">JW!$1:$6</definedName>
    <definedName name="_xlnm.Print_Titles" localSheetId="8">Kevin!$1:$6</definedName>
    <definedName name="_xlnm.Print_Titles" localSheetId="24">Leo!$1:$6</definedName>
    <definedName name="_xlnm.Print_Titles" localSheetId="9">Lisa!$1:$6</definedName>
    <definedName name="_xlnm.Print_Titles" localSheetId="21">Lorah!$1:$6</definedName>
    <definedName name="_xlnm.Print_Titles" localSheetId="35">'LZ(done)'!$1:$6</definedName>
    <definedName name="_xlnm.Print_Titles" localSheetId="10">MY!$1:$6</definedName>
    <definedName name="_xlnm.Print_Titles" localSheetId="11">Nick!$1:$6</definedName>
    <definedName name="_xlnm.Print_Titles" localSheetId="20">Owen!$1:$6</definedName>
    <definedName name="_xlnm.Print_Titles" localSheetId="15">'Paul '!$1:$6</definedName>
    <definedName name="_xlnm.Print_Titles" localSheetId="12">Ruby!$1:$6</definedName>
    <definedName name="_xlnm.Print_Titles" localSheetId="34">Sam!$1:$6</definedName>
    <definedName name="_xlnm.Print_Titles" localSheetId="17">Scott!$1:$6</definedName>
    <definedName name="_xlnm.Print_Titles" localSheetId="32">TL!$1:$6</definedName>
    <definedName name="_xlnm.Print_Titles" localSheetId="16">Willy!$1:$6</definedName>
    <definedName name="_xlnm.Print_Titles" localSheetId="27">Wilson!$1:$6</definedName>
    <definedName name="_xlnm.Print_Titles" localSheetId="13">WJ!$1:$6</definedName>
    <definedName name="_xlnm.Print_Titles" localSheetId="30">Yvonne!$1:$6</definedName>
    <definedName name="_xlnm.Print_Titles" localSheetId="33">'吳悠 '!$1:$6</definedName>
  </definedNames>
  <calcPr calcId="191029" refMode="R1C1"/>
  <fileRecoveryPr autoRecover="0"/>
</workbook>
</file>

<file path=xl/calcChain.xml><?xml version="1.0" encoding="utf-8"?>
<calcChain xmlns="http://schemas.openxmlformats.org/spreadsheetml/2006/main">
  <c r="I6" i="59" l="1"/>
  <c r="J6" i="59"/>
  <c r="K6" i="59"/>
  <c r="L6" i="59"/>
  <c r="I1" i="59"/>
  <c r="J6" i="73"/>
  <c r="K6" i="73"/>
  <c r="L6" i="73"/>
  <c r="M6" i="73"/>
  <c r="N6" i="73"/>
  <c r="J6" i="20"/>
  <c r="K6" i="20"/>
  <c r="L6" i="20"/>
  <c r="M6" i="20"/>
  <c r="N6" i="20"/>
  <c r="I6" i="20"/>
  <c r="J6" i="48"/>
  <c r="K6" i="48"/>
  <c r="L6" i="48"/>
  <c r="M6" i="48"/>
  <c r="N6" i="48"/>
  <c r="I6" i="48"/>
  <c r="J6" i="46"/>
  <c r="K6" i="46"/>
  <c r="L6" i="46"/>
  <c r="M6" i="46"/>
  <c r="N6" i="46"/>
  <c r="I6" i="46"/>
  <c r="J6" i="77"/>
  <c r="K6" i="77"/>
  <c r="L6" i="77"/>
  <c r="M6" i="77"/>
  <c r="N6" i="77"/>
  <c r="I6" i="77"/>
  <c r="J6" i="74"/>
  <c r="K6" i="74"/>
  <c r="L6" i="74"/>
  <c r="M6" i="74"/>
  <c r="N6" i="74"/>
  <c r="I6" i="74"/>
  <c r="K3" i="76"/>
  <c r="J6" i="76"/>
  <c r="K6" i="76"/>
  <c r="L6" i="76"/>
  <c r="M6" i="76"/>
  <c r="N6" i="76"/>
  <c r="I6" i="76"/>
  <c r="J6" i="13"/>
  <c r="K6" i="13"/>
  <c r="L6" i="13"/>
  <c r="M6" i="13"/>
  <c r="N6" i="13"/>
  <c r="I6" i="13"/>
  <c r="J6" i="71"/>
  <c r="K6" i="71"/>
  <c r="L6" i="71"/>
  <c r="M6" i="71"/>
  <c r="N6" i="71"/>
  <c r="I6" i="71"/>
  <c r="J6" i="57"/>
  <c r="K6" i="57"/>
  <c r="L6" i="57"/>
  <c r="M6" i="57"/>
  <c r="N6" i="57"/>
  <c r="I6" i="57"/>
  <c r="I6" i="73"/>
  <c r="K3" i="73"/>
  <c r="K3" i="20"/>
  <c r="K3" i="46"/>
  <c r="K3" i="48"/>
  <c r="E2" i="48"/>
  <c r="E2" i="20"/>
  <c r="E2" i="46"/>
  <c r="K3" i="77"/>
  <c r="K3" i="13"/>
  <c r="K3" i="71"/>
  <c r="K3" i="57"/>
  <c r="K3" i="74"/>
  <c r="E2" i="13"/>
  <c r="E2" i="57"/>
  <c r="I3" i="59" l="1"/>
  <c r="J3" i="77" l="1"/>
  <c r="I1" i="77"/>
  <c r="S5" i="76"/>
  <c r="I1" i="76"/>
  <c r="U4" i="77" l="1"/>
  <c r="S5" i="77"/>
  <c r="M3" i="77"/>
  <c r="N3" i="77"/>
  <c r="L3" i="77"/>
  <c r="U4" i="76"/>
  <c r="L6" i="75" l="1"/>
  <c r="E2" i="37"/>
  <c r="I1" i="13" l="1"/>
  <c r="O6" i="73" l="1"/>
  <c r="U9" i="73"/>
  <c r="U7" i="73"/>
  <c r="U6" i="73" l="1"/>
  <c r="S5" i="13"/>
  <c r="I6" i="41" l="1"/>
  <c r="N3" i="73" l="1"/>
  <c r="J3" i="73"/>
  <c r="M3" i="73" l="1"/>
  <c r="L3" i="73"/>
  <c r="T4" i="73"/>
  <c r="K6" i="75"/>
  <c r="J6" i="75"/>
  <c r="I6" i="75"/>
  <c r="I1" i="75"/>
  <c r="N3" i="74"/>
  <c r="L3" i="74"/>
  <c r="J3" i="74"/>
  <c r="I1" i="74"/>
  <c r="N3" i="57"/>
  <c r="U4" i="57"/>
  <c r="I1" i="73"/>
  <c r="I1" i="56"/>
  <c r="G8" i="69"/>
  <c r="G7" i="69"/>
  <c r="I8" i="69"/>
  <c r="J8" i="69" s="1"/>
  <c r="I9" i="69"/>
  <c r="I10" i="69"/>
  <c r="J10" i="69" s="1"/>
  <c r="G12" i="69"/>
  <c r="G11" i="69"/>
  <c r="I12" i="69"/>
  <c r="J12" i="69" s="1"/>
  <c r="I13" i="69"/>
  <c r="J13" i="69" s="1"/>
  <c r="I14" i="69"/>
  <c r="J14" i="69" s="1"/>
  <c r="J9" i="69"/>
  <c r="K7" i="69"/>
  <c r="M7" i="69" s="1"/>
  <c r="K8" i="69"/>
  <c r="G10" i="69"/>
  <c r="G9" i="69"/>
  <c r="K10" i="69"/>
  <c r="K11" i="69"/>
  <c r="M11" i="69" s="1"/>
  <c r="O11" i="69" s="1"/>
  <c r="K12" i="69"/>
  <c r="M12" i="69" s="1"/>
  <c r="G14" i="69"/>
  <c r="G13" i="69"/>
  <c r="K14" i="69"/>
  <c r="N14" i="69" s="1"/>
  <c r="L6" i="69"/>
  <c r="M10" i="69"/>
  <c r="O10" i="69" s="1"/>
  <c r="N10" i="69"/>
  <c r="N11" i="69"/>
  <c r="N12" i="69"/>
  <c r="O15" i="69"/>
  <c r="O16" i="69"/>
  <c r="O17" i="69"/>
  <c r="O18" i="69"/>
  <c r="O19" i="69"/>
  <c r="O20" i="69"/>
  <c r="O21" i="69"/>
  <c r="O22" i="69"/>
  <c r="O23" i="69"/>
  <c r="O24" i="69"/>
  <c r="O25" i="69"/>
  <c r="O26" i="69"/>
  <c r="O27" i="69"/>
  <c r="O28" i="69"/>
  <c r="O29" i="69"/>
  <c r="O30" i="69"/>
  <c r="O31" i="69"/>
  <c r="O32" i="69"/>
  <c r="O33" i="69"/>
  <c r="O34" i="69"/>
  <c r="O35" i="69"/>
  <c r="O36" i="69"/>
  <c r="O37" i="69"/>
  <c r="O38" i="69"/>
  <c r="O39" i="69"/>
  <c r="O40" i="69"/>
  <c r="O41" i="69"/>
  <c r="O42" i="69"/>
  <c r="O43" i="69"/>
  <c r="O44" i="69"/>
  <c r="O45" i="69"/>
  <c r="O46" i="69"/>
  <c r="O47" i="69"/>
  <c r="O48" i="69"/>
  <c r="O49" i="69"/>
  <c r="O50" i="69"/>
  <c r="O51" i="69"/>
  <c r="O52" i="69"/>
  <c r="O53" i="69"/>
  <c r="O54" i="69"/>
  <c r="O55" i="69"/>
  <c r="O56" i="69"/>
  <c r="O57" i="69"/>
  <c r="O58" i="69"/>
  <c r="O59" i="69"/>
  <c r="O60" i="69"/>
  <c r="O61" i="69"/>
  <c r="O62" i="69"/>
  <c r="O63" i="69"/>
  <c r="O64" i="69"/>
  <c r="H14" i="69"/>
  <c r="F14" i="69"/>
  <c r="H13" i="69"/>
  <c r="F13" i="69"/>
  <c r="H12" i="69"/>
  <c r="F12" i="69"/>
  <c r="F11" i="69"/>
  <c r="H10" i="69"/>
  <c r="F10" i="69"/>
  <c r="H9" i="69"/>
  <c r="F9" i="69"/>
  <c r="H8" i="69"/>
  <c r="F8" i="69"/>
  <c r="F7" i="69"/>
  <c r="L6" i="70"/>
  <c r="K6" i="70"/>
  <c r="J6" i="70"/>
  <c r="I6" i="70"/>
  <c r="Q6" i="69"/>
  <c r="P6" i="69"/>
  <c r="N3" i="48"/>
  <c r="P6" i="9"/>
  <c r="Q6" i="9"/>
  <c r="L6" i="41"/>
  <c r="N3" i="46"/>
  <c r="J3" i="71"/>
  <c r="L3" i="71" s="1"/>
  <c r="I1" i="71"/>
  <c r="I1" i="70"/>
  <c r="N3" i="71"/>
  <c r="I1" i="69"/>
  <c r="F8" i="33"/>
  <c r="G8" i="33"/>
  <c r="H8" i="33"/>
  <c r="I8" i="33"/>
  <c r="J8" i="33"/>
  <c r="K8" i="33"/>
  <c r="F9" i="33"/>
  <c r="G9" i="33"/>
  <c r="K9" i="33"/>
  <c r="F10" i="33"/>
  <c r="G10" i="33"/>
  <c r="H10" i="33"/>
  <c r="I10" i="33"/>
  <c r="J10" i="33"/>
  <c r="K10" i="33"/>
  <c r="F11" i="33"/>
  <c r="G11" i="33"/>
  <c r="H11" i="33" s="1"/>
  <c r="J11" i="33" s="1"/>
  <c r="K11" i="33"/>
  <c r="F12" i="33"/>
  <c r="G12" i="33"/>
  <c r="H12" i="33"/>
  <c r="I12" i="33"/>
  <c r="J12" i="33"/>
  <c r="K12" i="33"/>
  <c r="F13" i="33"/>
  <c r="G13" i="33"/>
  <c r="K13" i="33"/>
  <c r="F14" i="33"/>
  <c r="G14" i="33"/>
  <c r="H14" i="33"/>
  <c r="I14" i="33"/>
  <c r="J14" i="33"/>
  <c r="K14" i="33"/>
  <c r="K6" i="33" s="1"/>
  <c r="F15" i="33"/>
  <c r="G15" i="33"/>
  <c r="K15" i="33"/>
  <c r="F16" i="33"/>
  <c r="G16" i="33"/>
  <c r="H16" i="33"/>
  <c r="I16" i="33"/>
  <c r="J16" i="33"/>
  <c r="K16" i="33"/>
  <c r="F17" i="33"/>
  <c r="G17" i="33"/>
  <c r="K17" i="33"/>
  <c r="F18" i="33"/>
  <c r="G18" i="33"/>
  <c r="H17" i="33" s="1"/>
  <c r="H18" i="33"/>
  <c r="I18" i="33"/>
  <c r="J18" i="33"/>
  <c r="K18" i="33"/>
  <c r="F19" i="33"/>
  <c r="G19" i="33"/>
  <c r="K19" i="33"/>
  <c r="F20" i="33"/>
  <c r="G20" i="33"/>
  <c r="H20" i="33"/>
  <c r="I20" i="33"/>
  <c r="J20" i="33"/>
  <c r="K20" i="33"/>
  <c r="F21" i="33"/>
  <c r="G21" i="33"/>
  <c r="K21" i="33"/>
  <c r="F22" i="33"/>
  <c r="G22" i="33"/>
  <c r="H22" i="33"/>
  <c r="I22" i="33"/>
  <c r="J22" i="33"/>
  <c r="K22" i="33"/>
  <c r="F23" i="33"/>
  <c r="G23" i="33"/>
  <c r="H23" i="33" s="1"/>
  <c r="K23" i="33"/>
  <c r="F24" i="33"/>
  <c r="G24" i="33"/>
  <c r="H24" i="33"/>
  <c r="I24" i="33"/>
  <c r="J24" i="33"/>
  <c r="K24" i="33"/>
  <c r="F25" i="33"/>
  <c r="G25" i="33"/>
  <c r="K25" i="33"/>
  <c r="F26" i="33"/>
  <c r="G26" i="33"/>
  <c r="H26" i="33"/>
  <c r="I26" i="33"/>
  <c r="J26" i="33"/>
  <c r="K26" i="33"/>
  <c r="F8" i="67"/>
  <c r="G8" i="67"/>
  <c r="H8" i="67"/>
  <c r="I8" i="67"/>
  <c r="J8" i="67" s="1"/>
  <c r="K8" i="67"/>
  <c r="N8" i="67" s="1"/>
  <c r="F9" i="67"/>
  <c r="G9" i="67"/>
  <c r="K9" i="67"/>
  <c r="N9" i="67" s="1"/>
  <c r="F10" i="67"/>
  <c r="G10" i="67"/>
  <c r="H9" i="67" s="1"/>
  <c r="I9" i="67" s="1"/>
  <c r="J9" i="67" s="1"/>
  <c r="H10" i="67"/>
  <c r="I10" i="67"/>
  <c r="J10" i="67" s="1"/>
  <c r="K10" i="67"/>
  <c r="N10" i="67" s="1"/>
  <c r="F11" i="67"/>
  <c r="G11" i="67"/>
  <c r="H11" i="67"/>
  <c r="I11" i="67"/>
  <c r="J11" i="67"/>
  <c r="F12" i="67"/>
  <c r="G12" i="67"/>
  <c r="H12" i="67"/>
  <c r="I12" i="67"/>
  <c r="J12" i="67" s="1"/>
  <c r="K12" i="67"/>
  <c r="N12" i="67" s="1"/>
  <c r="F13" i="67"/>
  <c r="G13" i="67"/>
  <c r="K13" i="67"/>
  <c r="N13" i="67" s="1"/>
  <c r="F14" i="67"/>
  <c r="G14" i="67"/>
  <c r="H14" i="67"/>
  <c r="I14" i="67"/>
  <c r="J14" i="67" s="1"/>
  <c r="K14" i="67"/>
  <c r="N14" i="67" s="1"/>
  <c r="F15" i="67"/>
  <c r="G15" i="67"/>
  <c r="K15" i="67" s="1"/>
  <c r="M15" i="67" s="1"/>
  <c r="H15" i="67"/>
  <c r="I15" i="67"/>
  <c r="J15" i="67" s="1"/>
  <c r="F16" i="67"/>
  <c r="G16" i="67"/>
  <c r="H16" i="67"/>
  <c r="I16" i="67"/>
  <c r="J16" i="67" s="1"/>
  <c r="K16" i="67"/>
  <c r="F17" i="67"/>
  <c r="G17" i="67"/>
  <c r="H17" i="67"/>
  <c r="I17" i="67"/>
  <c r="J17" i="67" s="1"/>
  <c r="F18" i="67"/>
  <c r="G18" i="67"/>
  <c r="H18" i="67"/>
  <c r="I18" i="67"/>
  <c r="J18" i="67" s="1"/>
  <c r="K18" i="67"/>
  <c r="N18" i="67" s="1"/>
  <c r="F19" i="67"/>
  <c r="G19" i="67"/>
  <c r="H19" i="67"/>
  <c r="I19" i="67"/>
  <c r="J19" i="67" s="1"/>
  <c r="F20" i="67"/>
  <c r="G20" i="67"/>
  <c r="H20" i="67"/>
  <c r="I20" i="67"/>
  <c r="J20" i="67"/>
  <c r="K20" i="67"/>
  <c r="F21" i="67"/>
  <c r="G21" i="67"/>
  <c r="H21" i="67"/>
  <c r="I21" i="67"/>
  <c r="J21" i="67" s="1"/>
  <c r="F22" i="67"/>
  <c r="G22" i="67"/>
  <c r="H22" i="67"/>
  <c r="I22" i="67"/>
  <c r="J22" i="67" s="1"/>
  <c r="K22" i="67"/>
  <c r="N22" i="67" s="1"/>
  <c r="F23" i="67"/>
  <c r="G23" i="67"/>
  <c r="H23" i="67"/>
  <c r="I23" i="67"/>
  <c r="J23" i="67" s="1"/>
  <c r="F24" i="67"/>
  <c r="G24" i="67"/>
  <c r="H24" i="67"/>
  <c r="I24" i="67"/>
  <c r="J24" i="67" s="1"/>
  <c r="K24" i="67"/>
  <c r="F25" i="67"/>
  <c r="G25" i="67"/>
  <c r="K25" i="67"/>
  <c r="N25" i="67" s="1"/>
  <c r="F26" i="67"/>
  <c r="G26" i="67"/>
  <c r="H26" i="67"/>
  <c r="I26" i="67"/>
  <c r="J26" i="67" s="1"/>
  <c r="K26" i="67"/>
  <c r="N26" i="67" s="1"/>
  <c r="F27" i="67"/>
  <c r="G27" i="67"/>
  <c r="K27" i="67" s="1"/>
  <c r="M27" i="67" s="1"/>
  <c r="H27" i="67"/>
  <c r="I27" i="67"/>
  <c r="J27" i="67" s="1"/>
  <c r="F28" i="67"/>
  <c r="G28" i="67"/>
  <c r="H28" i="67"/>
  <c r="I28" i="67"/>
  <c r="J28" i="67" s="1"/>
  <c r="K28" i="67"/>
  <c r="N28" i="67" s="1"/>
  <c r="F29" i="67"/>
  <c r="G29" i="67"/>
  <c r="K29" i="67"/>
  <c r="N29" i="67" s="1"/>
  <c r="F30" i="67"/>
  <c r="G30" i="67"/>
  <c r="H30" i="67"/>
  <c r="I30" i="67"/>
  <c r="J30" i="67" s="1"/>
  <c r="K30" i="67"/>
  <c r="N30" i="67" s="1"/>
  <c r="F31" i="67"/>
  <c r="G31" i="67"/>
  <c r="H31" i="67"/>
  <c r="I31" i="67"/>
  <c r="J31" i="67" s="1"/>
  <c r="F32" i="67"/>
  <c r="G32" i="67"/>
  <c r="H32" i="67"/>
  <c r="I32" i="67"/>
  <c r="J32" i="67" s="1"/>
  <c r="K32" i="67"/>
  <c r="N32" i="67" s="1"/>
  <c r="F33" i="67"/>
  <c r="G33" i="67"/>
  <c r="H33" i="67"/>
  <c r="I33" i="67"/>
  <c r="J33" i="67" s="1"/>
  <c r="F34" i="67"/>
  <c r="G34" i="67"/>
  <c r="K33" i="67" s="1"/>
  <c r="H34" i="67"/>
  <c r="I34" i="67"/>
  <c r="J34" i="67" s="1"/>
  <c r="K34" i="67"/>
  <c r="N34" i="67" s="1"/>
  <c r="F35" i="67"/>
  <c r="G35" i="67"/>
  <c r="K35" i="67"/>
  <c r="N35" i="67"/>
  <c r="F36" i="67"/>
  <c r="G36" i="67"/>
  <c r="H35" i="67" s="1"/>
  <c r="I35" i="67" s="1"/>
  <c r="J35" i="67" s="1"/>
  <c r="H36" i="67"/>
  <c r="I36" i="67"/>
  <c r="J36" i="67" s="1"/>
  <c r="K36" i="67"/>
  <c r="N36" i="67" s="1"/>
  <c r="F37" i="67"/>
  <c r="G37" i="67"/>
  <c r="K37" i="67"/>
  <c r="M37" i="67" s="1"/>
  <c r="N37" i="67"/>
  <c r="F38" i="67"/>
  <c r="G38" i="67"/>
  <c r="H38" i="67"/>
  <c r="I38" i="67"/>
  <c r="J38" i="67" s="1"/>
  <c r="K38" i="67"/>
  <c r="N38" i="67" s="1"/>
  <c r="F39" i="67"/>
  <c r="G39" i="67"/>
  <c r="H39" i="67"/>
  <c r="I39" i="67"/>
  <c r="J39" i="67" s="1"/>
  <c r="F40" i="67"/>
  <c r="G40" i="67"/>
  <c r="H40" i="67"/>
  <c r="I40" i="67"/>
  <c r="J40" i="67" s="1"/>
  <c r="K40" i="67"/>
  <c r="N40" i="67" s="1"/>
  <c r="F41" i="67"/>
  <c r="G41" i="67"/>
  <c r="H41" i="67" s="1"/>
  <c r="I41" i="67" s="1"/>
  <c r="J41" i="67" s="1"/>
  <c r="K41" i="67"/>
  <c r="F42" i="67"/>
  <c r="G42" i="67"/>
  <c r="H42" i="67"/>
  <c r="I42" i="67"/>
  <c r="J42" i="67"/>
  <c r="K42" i="67"/>
  <c r="M42" i="67" s="1"/>
  <c r="N42" i="67"/>
  <c r="F43" i="67"/>
  <c r="G43" i="67"/>
  <c r="H43" i="67"/>
  <c r="I43" i="67"/>
  <c r="J43" i="67" s="1"/>
  <c r="F44" i="67"/>
  <c r="G44" i="67"/>
  <c r="K43" i="67" s="1"/>
  <c r="H44" i="67"/>
  <c r="I44" i="67"/>
  <c r="J44" i="67" s="1"/>
  <c r="K44" i="67"/>
  <c r="N44" i="67" s="1"/>
  <c r="F45" i="67"/>
  <c r="G45" i="67"/>
  <c r="H45" i="67"/>
  <c r="I45" i="67"/>
  <c r="J45" i="67" s="1"/>
  <c r="F46" i="67"/>
  <c r="G46" i="67"/>
  <c r="H46" i="67"/>
  <c r="I46" i="67"/>
  <c r="J46" i="67" s="1"/>
  <c r="K46" i="67"/>
  <c r="N46" i="67" s="1"/>
  <c r="F47" i="67"/>
  <c r="G47" i="67"/>
  <c r="K47" i="67"/>
  <c r="N47" i="67" s="1"/>
  <c r="F48" i="67"/>
  <c r="G48" i="67"/>
  <c r="H47" i="67" s="1"/>
  <c r="I47" i="67" s="1"/>
  <c r="J47" i="67" s="1"/>
  <c r="H48" i="67"/>
  <c r="I48" i="67"/>
  <c r="J48" i="67" s="1"/>
  <c r="K48" i="67"/>
  <c r="N48" i="67"/>
  <c r="F49" i="67"/>
  <c r="G49" i="67"/>
  <c r="K49" i="67" s="1"/>
  <c r="N49" i="67" s="1"/>
  <c r="H49" i="67"/>
  <c r="I49" i="67"/>
  <c r="J49" i="67" s="1"/>
  <c r="F50" i="67"/>
  <c r="G50" i="67"/>
  <c r="H50" i="67"/>
  <c r="I50" i="67"/>
  <c r="J50" i="67" s="1"/>
  <c r="K50" i="67"/>
  <c r="N50" i="67" s="1"/>
  <c r="F51" i="67"/>
  <c r="G51" i="67"/>
  <c r="K51" i="67" s="1"/>
  <c r="H51" i="67"/>
  <c r="I51" i="67"/>
  <c r="J51" i="67" s="1"/>
  <c r="F52" i="67"/>
  <c r="G52" i="67"/>
  <c r="H52" i="67"/>
  <c r="I52" i="67"/>
  <c r="J52" i="67" s="1"/>
  <c r="K52" i="67"/>
  <c r="N52" i="67"/>
  <c r="F53" i="67"/>
  <c r="G53" i="67"/>
  <c r="K53" i="67"/>
  <c r="N53" i="67" s="1"/>
  <c r="F54" i="67"/>
  <c r="G54" i="67"/>
  <c r="H53" i="67" s="1"/>
  <c r="I53" i="67" s="1"/>
  <c r="J53" i="67" s="1"/>
  <c r="H54" i="67"/>
  <c r="I54" i="67"/>
  <c r="J54" i="67" s="1"/>
  <c r="K54" i="67"/>
  <c r="M54" i="67" s="1"/>
  <c r="F55" i="67"/>
  <c r="G55" i="67"/>
  <c r="K55" i="67"/>
  <c r="M55" i="67" s="1"/>
  <c r="F56" i="67"/>
  <c r="G56" i="67"/>
  <c r="H56" i="67"/>
  <c r="I56" i="67"/>
  <c r="J56" i="67" s="1"/>
  <c r="K56" i="67"/>
  <c r="F57" i="67"/>
  <c r="G57" i="67"/>
  <c r="K57" i="67"/>
  <c r="N57" i="67" s="1"/>
  <c r="F58" i="67"/>
  <c r="G58" i="67"/>
  <c r="H58" i="67"/>
  <c r="I58" i="67"/>
  <c r="J58" i="67"/>
  <c r="K58" i="67"/>
  <c r="N58" i="67" s="1"/>
  <c r="F59" i="67"/>
  <c r="G59" i="67"/>
  <c r="H59" i="67"/>
  <c r="I59" i="67"/>
  <c r="J59" i="67" s="1"/>
  <c r="F60" i="67"/>
  <c r="G60" i="67"/>
  <c r="K59" i="67" s="1"/>
  <c r="H60" i="67"/>
  <c r="I60" i="67"/>
  <c r="J60" i="67" s="1"/>
  <c r="K60" i="67"/>
  <c r="N60" i="67" s="1"/>
  <c r="F61" i="67"/>
  <c r="G61" i="67"/>
  <c r="K61" i="67"/>
  <c r="M61" i="67" s="1"/>
  <c r="F62" i="67"/>
  <c r="G62" i="67"/>
  <c r="H61" i="67" s="1"/>
  <c r="I61" i="67" s="1"/>
  <c r="J61" i="67" s="1"/>
  <c r="H62" i="67"/>
  <c r="I62" i="67"/>
  <c r="J62" i="67" s="1"/>
  <c r="K62" i="67"/>
  <c r="N62" i="67"/>
  <c r="F63" i="67"/>
  <c r="G63" i="67"/>
  <c r="K63" i="67" s="1"/>
  <c r="H63" i="67"/>
  <c r="I63" i="67"/>
  <c r="J63" i="67" s="1"/>
  <c r="F64" i="67"/>
  <c r="G64" i="67"/>
  <c r="H64" i="67"/>
  <c r="I64" i="67"/>
  <c r="J64" i="67" s="1"/>
  <c r="K64" i="67"/>
  <c r="N64" i="67" s="1"/>
  <c r="F65" i="67"/>
  <c r="G65" i="67"/>
  <c r="H65" i="67" s="1"/>
  <c r="I65" i="67" s="1"/>
  <c r="J65" i="67" s="1"/>
  <c r="K65" i="67"/>
  <c r="M65" i="67" s="1"/>
  <c r="F66" i="67"/>
  <c r="G66" i="67"/>
  <c r="H66" i="67"/>
  <c r="I66" i="67"/>
  <c r="J66" i="67" s="1"/>
  <c r="K66" i="67"/>
  <c r="M66" i="67" s="1"/>
  <c r="N66" i="67"/>
  <c r="F67" i="67"/>
  <c r="G67" i="67"/>
  <c r="K67" i="67"/>
  <c r="M67" i="67" s="1"/>
  <c r="F68" i="67"/>
  <c r="G68" i="67"/>
  <c r="H68" i="67"/>
  <c r="I68" i="67"/>
  <c r="J68" i="67" s="1"/>
  <c r="K68" i="67"/>
  <c r="N68" i="67" s="1"/>
  <c r="F69" i="67"/>
  <c r="G69" i="67"/>
  <c r="H69" i="67"/>
  <c r="I69" i="67"/>
  <c r="J69" i="67" s="1"/>
  <c r="F70" i="67"/>
  <c r="G70" i="67"/>
  <c r="H70" i="67"/>
  <c r="I70" i="67"/>
  <c r="J70" i="67" s="1"/>
  <c r="K70" i="67"/>
  <c r="F71" i="67"/>
  <c r="G71" i="67"/>
  <c r="K71" i="67"/>
  <c r="N71" i="67" s="1"/>
  <c r="F72" i="67"/>
  <c r="G72" i="67"/>
  <c r="H71" i="67" s="1"/>
  <c r="I71" i="67" s="1"/>
  <c r="J71" i="67" s="1"/>
  <c r="H72" i="67"/>
  <c r="I72" i="67"/>
  <c r="J72" i="67" s="1"/>
  <c r="K72" i="67"/>
  <c r="N72" i="67" s="1"/>
  <c r="F73" i="67"/>
  <c r="G73" i="67"/>
  <c r="H73" i="67"/>
  <c r="I73" i="67"/>
  <c r="J73" i="67" s="1"/>
  <c r="F74" i="67"/>
  <c r="G74" i="67"/>
  <c r="K73" i="67" s="1"/>
  <c r="H74" i="67"/>
  <c r="I74" i="67"/>
  <c r="J74" i="67" s="1"/>
  <c r="K74" i="67"/>
  <c r="N74" i="67"/>
  <c r="F75" i="67"/>
  <c r="G75" i="67"/>
  <c r="K75" i="67"/>
  <c r="N75" i="67" s="1"/>
  <c r="F76" i="67"/>
  <c r="G76" i="67"/>
  <c r="H76" i="67"/>
  <c r="I76" i="67"/>
  <c r="J76" i="67" s="1"/>
  <c r="K76" i="67"/>
  <c r="M76" i="67" s="1"/>
  <c r="F77" i="67"/>
  <c r="G77" i="67"/>
  <c r="H77" i="67"/>
  <c r="I77" i="67"/>
  <c r="J77" i="67" s="1"/>
  <c r="F78" i="67"/>
  <c r="G78" i="67"/>
  <c r="K77" i="67" s="1"/>
  <c r="M77" i="67" s="1"/>
  <c r="H78" i="67"/>
  <c r="I78" i="67"/>
  <c r="J78" i="67" s="1"/>
  <c r="K78" i="67"/>
  <c r="N78" i="67" s="1"/>
  <c r="F79" i="67"/>
  <c r="G79" i="67"/>
  <c r="H79" i="67" s="1"/>
  <c r="I79" i="67" s="1"/>
  <c r="J79" i="67" s="1"/>
  <c r="K79" i="67"/>
  <c r="N79" i="67" s="1"/>
  <c r="F80" i="67"/>
  <c r="G80" i="67"/>
  <c r="H80" i="67"/>
  <c r="I80" i="67"/>
  <c r="J80" i="67" s="1"/>
  <c r="K80" i="67"/>
  <c r="M80" i="67" s="1"/>
  <c r="F81" i="67"/>
  <c r="G81" i="67"/>
  <c r="H81" i="67"/>
  <c r="I81" i="67"/>
  <c r="J81" i="67" s="1"/>
  <c r="F82" i="67"/>
  <c r="G82" i="67"/>
  <c r="H82" i="67"/>
  <c r="I82" i="67"/>
  <c r="J82" i="67" s="1"/>
  <c r="K82" i="67"/>
  <c r="M82" i="67" s="1"/>
  <c r="N82" i="67"/>
  <c r="F83" i="67"/>
  <c r="G83" i="67"/>
  <c r="K83" i="67"/>
  <c r="M83" i="67" s="1"/>
  <c r="N83" i="67"/>
  <c r="F84" i="67"/>
  <c r="G84" i="67"/>
  <c r="H84" i="67"/>
  <c r="I84" i="67"/>
  <c r="J84" i="67" s="1"/>
  <c r="K84" i="67"/>
  <c r="F85" i="67"/>
  <c r="G85" i="67"/>
  <c r="H85" i="67"/>
  <c r="I85" i="67"/>
  <c r="J85" i="67" s="1"/>
  <c r="F86" i="67"/>
  <c r="G86" i="67"/>
  <c r="K85" i="67" s="1"/>
  <c r="H86" i="67"/>
  <c r="I86" i="67"/>
  <c r="J86" i="67"/>
  <c r="K86" i="67"/>
  <c r="N86" i="67" s="1"/>
  <c r="M71" i="67"/>
  <c r="M62" i="67"/>
  <c r="M22" i="67"/>
  <c r="M52" i="67"/>
  <c r="M60" i="67"/>
  <c r="M57" i="67"/>
  <c r="M50" i="67"/>
  <c r="M35" i="67"/>
  <c r="M38" i="67"/>
  <c r="K3" i="69"/>
  <c r="M36" i="67"/>
  <c r="M26" i="67"/>
  <c r="H29" i="67"/>
  <c r="I29" i="67" s="1"/>
  <c r="J29" i="67" s="1"/>
  <c r="M53" i="67"/>
  <c r="M48" i="67"/>
  <c r="M29" i="67"/>
  <c r="M13" i="67"/>
  <c r="M14" i="67"/>
  <c r="H13" i="33"/>
  <c r="M10" i="67"/>
  <c r="J67" i="67"/>
  <c r="K19" i="67"/>
  <c r="H21" i="33"/>
  <c r="J21" i="33" s="1"/>
  <c r="H19" i="33"/>
  <c r="J83" i="67"/>
  <c r="M8" i="67"/>
  <c r="M78" i="67"/>
  <c r="M75" i="67"/>
  <c r="J57" i="67"/>
  <c r="H25" i="67"/>
  <c r="I25" i="67"/>
  <c r="J25" i="67" s="1"/>
  <c r="K31" i="67"/>
  <c r="N31" i="67" s="1"/>
  <c r="K23" i="67"/>
  <c r="N23" i="67" s="1"/>
  <c r="M23" i="67"/>
  <c r="M74" i="67"/>
  <c r="M6" i="9"/>
  <c r="K7" i="33"/>
  <c r="L6" i="33"/>
  <c r="N6" i="9"/>
  <c r="L6" i="37"/>
  <c r="L6" i="9"/>
  <c r="F7" i="33"/>
  <c r="G7" i="33"/>
  <c r="H7" i="33" s="1"/>
  <c r="I10" i="14"/>
  <c r="I8" i="14"/>
  <c r="F8" i="14"/>
  <c r="G8" i="14"/>
  <c r="H8" i="14"/>
  <c r="K8" i="14"/>
  <c r="M8" i="14" s="1"/>
  <c r="F9" i="14"/>
  <c r="G9" i="14"/>
  <c r="K9" i="14"/>
  <c r="M9" i="14" s="1"/>
  <c r="F10" i="14"/>
  <c r="G10" i="14"/>
  <c r="H9" i="14" s="1"/>
  <c r="I9" i="14" s="1"/>
  <c r="H10" i="14"/>
  <c r="K10" i="14"/>
  <c r="N10" i="14"/>
  <c r="F8" i="55"/>
  <c r="G8" i="55"/>
  <c r="H8" i="55"/>
  <c r="I8" i="55"/>
  <c r="J8" i="55"/>
  <c r="K8" i="55"/>
  <c r="N8" i="55" s="1"/>
  <c r="F9" i="55"/>
  <c r="G9" i="55"/>
  <c r="H9" i="55" s="1"/>
  <c r="K9" i="55"/>
  <c r="M9" i="55" s="1"/>
  <c r="F10" i="55"/>
  <c r="G10" i="55"/>
  <c r="H10" i="55"/>
  <c r="I10" i="55"/>
  <c r="J10" i="55"/>
  <c r="K10" i="55"/>
  <c r="M10" i="55" s="1"/>
  <c r="F11" i="55"/>
  <c r="G11" i="55"/>
  <c r="K11" i="55"/>
  <c r="N11" i="55" s="1"/>
  <c r="F12" i="55"/>
  <c r="G12" i="55"/>
  <c r="H12" i="55"/>
  <c r="I12" i="55"/>
  <c r="J12" i="55"/>
  <c r="K12" i="55"/>
  <c r="N12" i="55" s="1"/>
  <c r="F13" i="55"/>
  <c r="G13" i="55"/>
  <c r="K13" i="55"/>
  <c r="F14" i="55"/>
  <c r="G14" i="55"/>
  <c r="H13" i="55" s="1"/>
  <c r="H14" i="55"/>
  <c r="I14" i="55"/>
  <c r="J14" i="55"/>
  <c r="K14" i="55"/>
  <c r="M14" i="55" s="1"/>
  <c r="F15" i="55"/>
  <c r="G15" i="55"/>
  <c r="K15" i="55"/>
  <c r="M15" i="55" s="1"/>
  <c r="N15" i="55"/>
  <c r="F16" i="55"/>
  <c r="G16" i="55"/>
  <c r="H16" i="55"/>
  <c r="I16" i="55"/>
  <c r="J16" i="55"/>
  <c r="K16" i="55"/>
  <c r="M16" i="55" s="1"/>
  <c r="N16" i="55"/>
  <c r="F17" i="55"/>
  <c r="G17" i="55"/>
  <c r="H17" i="55" s="1"/>
  <c r="J17" i="55" s="1"/>
  <c r="K17" i="55"/>
  <c r="M17" i="55" s="1"/>
  <c r="F18" i="55"/>
  <c r="G18" i="55"/>
  <c r="H18" i="55"/>
  <c r="I18" i="55"/>
  <c r="J18" i="55"/>
  <c r="K18" i="55"/>
  <c r="M18" i="55" s="1"/>
  <c r="F19" i="55"/>
  <c r="G19" i="55"/>
  <c r="K19" i="55"/>
  <c r="N19" i="55" s="1"/>
  <c r="F20" i="55"/>
  <c r="G20" i="55"/>
  <c r="H20" i="55"/>
  <c r="I20" i="55"/>
  <c r="J20" i="55"/>
  <c r="K20" i="55"/>
  <c r="F21" i="55"/>
  <c r="G21" i="55"/>
  <c r="H21" i="55" s="1"/>
  <c r="I21" i="55" s="1"/>
  <c r="K21" i="55"/>
  <c r="M21" i="55" s="1"/>
  <c r="F22" i="55"/>
  <c r="G22" i="55"/>
  <c r="H22" i="55"/>
  <c r="I22" i="55"/>
  <c r="J22" i="55"/>
  <c r="K22" i="55"/>
  <c r="N22" i="55" s="1"/>
  <c r="F23" i="55"/>
  <c r="G23" i="55"/>
  <c r="K23" i="55"/>
  <c r="M23" i="55" s="1"/>
  <c r="F24" i="55"/>
  <c r="G24" i="55"/>
  <c r="H23" i="55" s="1"/>
  <c r="H24" i="55"/>
  <c r="I24" i="55"/>
  <c r="J24" i="55"/>
  <c r="K24" i="55"/>
  <c r="N24" i="55" s="1"/>
  <c r="F25" i="55"/>
  <c r="G25" i="55"/>
  <c r="K25" i="55"/>
  <c r="M25" i="55" s="1"/>
  <c r="F26" i="55"/>
  <c r="G26" i="55"/>
  <c r="H26" i="55"/>
  <c r="I26" i="55"/>
  <c r="J26" i="55"/>
  <c r="K26" i="55"/>
  <c r="N26" i="55" s="1"/>
  <c r="F27" i="55"/>
  <c r="G27" i="55"/>
  <c r="K27" i="55"/>
  <c r="N27" i="55" s="1"/>
  <c r="F28" i="55"/>
  <c r="G28" i="55"/>
  <c r="H28" i="55"/>
  <c r="I28" i="55"/>
  <c r="J28" i="55"/>
  <c r="K28" i="55"/>
  <c r="N28" i="55" s="1"/>
  <c r="F29" i="55"/>
  <c r="G29" i="55"/>
  <c r="K29" i="55"/>
  <c r="F30" i="55"/>
  <c r="G30" i="55"/>
  <c r="H30" i="55"/>
  <c r="I30" i="55"/>
  <c r="J30" i="55"/>
  <c r="K30" i="55"/>
  <c r="M30" i="55" s="1"/>
  <c r="F31" i="55"/>
  <c r="G31" i="55"/>
  <c r="K31" i="55"/>
  <c r="N31" i="55"/>
  <c r="F32" i="55"/>
  <c r="G32" i="55"/>
  <c r="H32" i="55"/>
  <c r="I32" i="55"/>
  <c r="J32" i="55"/>
  <c r="K32" i="55"/>
  <c r="N32" i="55" s="1"/>
  <c r="F33" i="55"/>
  <c r="G33" i="55"/>
  <c r="K33" i="55"/>
  <c r="M33" i="55" s="1"/>
  <c r="F34" i="55"/>
  <c r="G34" i="55"/>
  <c r="H33" i="55" s="1"/>
  <c r="H34" i="55"/>
  <c r="I34" i="55"/>
  <c r="J34" i="55"/>
  <c r="K34" i="55"/>
  <c r="M34" i="55" s="1"/>
  <c r="F35" i="55"/>
  <c r="G35" i="55"/>
  <c r="K35" i="55"/>
  <c r="M35" i="55" s="1"/>
  <c r="F36" i="55"/>
  <c r="G36" i="55"/>
  <c r="H36" i="55"/>
  <c r="I36" i="55"/>
  <c r="J36" i="55"/>
  <c r="K36" i="55"/>
  <c r="M36" i="55" s="1"/>
  <c r="F37" i="55"/>
  <c r="G37" i="55"/>
  <c r="K37" i="55"/>
  <c r="M37" i="55" s="1"/>
  <c r="F38" i="55"/>
  <c r="G38" i="55"/>
  <c r="H37" i="55" s="1"/>
  <c r="I37" i="55" s="1"/>
  <c r="H38" i="55"/>
  <c r="I38" i="55"/>
  <c r="J38" i="55"/>
  <c r="K38" i="55"/>
  <c r="N38" i="55" s="1"/>
  <c r="F39" i="55"/>
  <c r="G39" i="55"/>
  <c r="K39" i="55"/>
  <c r="M39" i="55" s="1"/>
  <c r="N39" i="55"/>
  <c r="F40" i="55"/>
  <c r="G40" i="55"/>
  <c r="H40" i="55"/>
  <c r="I40" i="55"/>
  <c r="J40" i="55"/>
  <c r="K40" i="55"/>
  <c r="N40" i="55" s="1"/>
  <c r="F41" i="55"/>
  <c r="G41" i="55"/>
  <c r="H41" i="55" s="1"/>
  <c r="K41" i="55"/>
  <c r="M41" i="55" s="1"/>
  <c r="F42" i="55"/>
  <c r="G42" i="55"/>
  <c r="H42" i="55"/>
  <c r="I42" i="55"/>
  <c r="J42" i="55"/>
  <c r="K42" i="55"/>
  <c r="N42" i="55" s="1"/>
  <c r="F43" i="55"/>
  <c r="G43" i="55"/>
  <c r="K43" i="55"/>
  <c r="N43" i="55" s="1"/>
  <c r="F44" i="55"/>
  <c r="G44" i="55"/>
  <c r="H44" i="55"/>
  <c r="I44" i="55"/>
  <c r="J44" i="55"/>
  <c r="K44" i="55"/>
  <c r="N44" i="55" s="1"/>
  <c r="F45" i="55"/>
  <c r="G45" i="55"/>
  <c r="H45" i="55"/>
  <c r="I45" i="55"/>
  <c r="J45" i="55"/>
  <c r="F46" i="55"/>
  <c r="G46" i="55"/>
  <c r="K45" i="55" s="1"/>
  <c r="N45" i="55" s="1"/>
  <c r="H46" i="55"/>
  <c r="I46" i="55"/>
  <c r="J46" i="55"/>
  <c r="K46" i="55"/>
  <c r="F47" i="55"/>
  <c r="G47" i="55"/>
  <c r="K47" i="55"/>
  <c r="N47" i="55" s="1"/>
  <c r="F48" i="55"/>
  <c r="G48" i="55"/>
  <c r="H48" i="55"/>
  <c r="I48" i="55"/>
  <c r="J48" i="55"/>
  <c r="K48" i="55"/>
  <c r="M48" i="55" s="1"/>
  <c r="F49" i="55"/>
  <c r="G49" i="55"/>
  <c r="K49" i="55"/>
  <c r="M49" i="55" s="1"/>
  <c r="F50" i="55"/>
  <c r="G50" i="55"/>
  <c r="H50" i="55"/>
  <c r="I50" i="55"/>
  <c r="J50" i="55"/>
  <c r="K50" i="55"/>
  <c r="M50" i="55" s="1"/>
  <c r="F51" i="55"/>
  <c r="G51" i="55"/>
  <c r="H51" i="55"/>
  <c r="I51" i="55"/>
  <c r="J51" i="55"/>
  <c r="F52" i="55"/>
  <c r="G52" i="55"/>
  <c r="K51" i="55" s="1"/>
  <c r="H52" i="55"/>
  <c r="I52" i="55"/>
  <c r="J52" i="55"/>
  <c r="K52" i="55"/>
  <c r="N52" i="55" s="1"/>
  <c r="I1" i="41"/>
  <c r="M31" i="55"/>
  <c r="M11" i="55"/>
  <c r="M12" i="55"/>
  <c r="M10" i="14"/>
  <c r="M28" i="55"/>
  <c r="N36" i="55"/>
  <c r="N14" i="55"/>
  <c r="N21" i="55"/>
  <c r="N25" i="55"/>
  <c r="H39" i="55"/>
  <c r="J39" i="55" s="1"/>
  <c r="N8" i="14"/>
  <c r="N17" i="55"/>
  <c r="H35" i="55"/>
  <c r="H31" i="55"/>
  <c r="I31" i="55" s="1"/>
  <c r="N9" i="14"/>
  <c r="L6" i="56"/>
  <c r="L6" i="67"/>
  <c r="G7" i="67"/>
  <c r="F7" i="67"/>
  <c r="I1" i="67"/>
  <c r="H7" i="67"/>
  <c r="I7" i="67"/>
  <c r="J6" i="9"/>
  <c r="D5" i="9" s="1"/>
  <c r="J3" i="9" s="1"/>
  <c r="K6" i="9"/>
  <c r="I6" i="9"/>
  <c r="J7" i="67"/>
  <c r="J3" i="48"/>
  <c r="L3" i="48" s="1"/>
  <c r="K3" i="9"/>
  <c r="J6" i="41"/>
  <c r="J3" i="57"/>
  <c r="L3" i="57" s="1"/>
  <c r="J3" i="20"/>
  <c r="L3" i="20" s="1"/>
  <c r="M6" i="56"/>
  <c r="K6" i="56"/>
  <c r="K3" i="56"/>
  <c r="N6" i="56"/>
  <c r="N3" i="56" s="1"/>
  <c r="I6" i="56"/>
  <c r="J6" i="56"/>
  <c r="H8" i="50"/>
  <c r="I8" i="50"/>
  <c r="J8" i="50"/>
  <c r="K8" i="50"/>
  <c r="M8" i="50" s="1"/>
  <c r="K9" i="50"/>
  <c r="M9" i="50" s="1"/>
  <c r="H10" i="50"/>
  <c r="I10" i="50"/>
  <c r="J10" i="50"/>
  <c r="K10" i="50"/>
  <c r="K11" i="50"/>
  <c r="N11" i="50" s="1"/>
  <c r="H12" i="50"/>
  <c r="I12" i="50"/>
  <c r="J12" i="50"/>
  <c r="K12" i="50"/>
  <c r="N12" i="50" s="1"/>
  <c r="M12" i="50"/>
  <c r="K13" i="50"/>
  <c r="N13" i="50"/>
  <c r="H14" i="50"/>
  <c r="I14" i="50"/>
  <c r="J14" i="50"/>
  <c r="K14" i="50"/>
  <c r="M14" i="50" s="1"/>
  <c r="K15" i="50"/>
  <c r="H16" i="50"/>
  <c r="I16" i="50"/>
  <c r="J16" i="50"/>
  <c r="K16" i="50"/>
  <c r="M16" i="50" s="1"/>
  <c r="K17" i="50"/>
  <c r="N17" i="50" s="1"/>
  <c r="H18" i="50"/>
  <c r="I18" i="50"/>
  <c r="J18" i="50"/>
  <c r="K18" i="50"/>
  <c r="M18" i="50" s="1"/>
  <c r="K7" i="50"/>
  <c r="N7" i="50" s="1"/>
  <c r="K7" i="55"/>
  <c r="J8" i="58"/>
  <c r="J10" i="58"/>
  <c r="J12" i="58"/>
  <c r="J14" i="58"/>
  <c r="J16" i="58"/>
  <c r="J18" i="58"/>
  <c r="J20" i="58"/>
  <c r="I8" i="58"/>
  <c r="I10" i="58"/>
  <c r="I12" i="58"/>
  <c r="I14" i="58"/>
  <c r="I16" i="58"/>
  <c r="I18" i="58"/>
  <c r="I20" i="58"/>
  <c r="H8" i="58"/>
  <c r="H10" i="58"/>
  <c r="H12" i="58"/>
  <c r="H14" i="58"/>
  <c r="H16" i="58"/>
  <c r="H18" i="58"/>
  <c r="H20" i="58"/>
  <c r="K7" i="58"/>
  <c r="N7" i="58" s="1"/>
  <c r="M7" i="58"/>
  <c r="K8" i="58"/>
  <c r="M8" i="58" s="1"/>
  <c r="K9" i="58"/>
  <c r="M9" i="58" s="1"/>
  <c r="K10" i="58"/>
  <c r="M10" i="58" s="1"/>
  <c r="K11" i="58"/>
  <c r="N11" i="58" s="1"/>
  <c r="M11" i="58"/>
  <c r="K12" i="58"/>
  <c r="M12" i="58" s="1"/>
  <c r="K13" i="58"/>
  <c r="M13" i="58" s="1"/>
  <c r="K14" i="58"/>
  <c r="M14" i="58" s="1"/>
  <c r="K15" i="58"/>
  <c r="M15" i="58" s="1"/>
  <c r="K16" i="58"/>
  <c r="M16" i="58"/>
  <c r="K17" i="58"/>
  <c r="M17" i="58" s="1"/>
  <c r="K18" i="58"/>
  <c r="M18" i="58" s="1"/>
  <c r="K19" i="58"/>
  <c r="M19" i="58" s="1"/>
  <c r="K20" i="58"/>
  <c r="M20" i="58" s="1"/>
  <c r="M13" i="50"/>
  <c r="M17" i="50"/>
  <c r="N9" i="50"/>
  <c r="I1" i="50"/>
  <c r="F9" i="50"/>
  <c r="G9" i="50"/>
  <c r="F10" i="50"/>
  <c r="G10" i="50"/>
  <c r="F11" i="50"/>
  <c r="G11" i="50"/>
  <c r="F12" i="50"/>
  <c r="G12" i="50"/>
  <c r="H11" i="50" s="1"/>
  <c r="F13" i="50"/>
  <c r="G13" i="50"/>
  <c r="F14" i="50"/>
  <c r="G14" i="50"/>
  <c r="F15" i="50"/>
  <c r="G15" i="50"/>
  <c r="F16" i="50"/>
  <c r="G16" i="50"/>
  <c r="H15" i="50" s="1"/>
  <c r="I15" i="50" s="1"/>
  <c r="F17" i="50"/>
  <c r="G17" i="50"/>
  <c r="F18" i="50"/>
  <c r="G18" i="50"/>
  <c r="G9" i="58"/>
  <c r="G10" i="58"/>
  <c r="G11" i="58"/>
  <c r="G12" i="58"/>
  <c r="G13" i="58"/>
  <c r="G14" i="58"/>
  <c r="N14" i="58"/>
  <c r="G15" i="58"/>
  <c r="G16" i="58"/>
  <c r="H15" i="58" s="1"/>
  <c r="G17" i="58"/>
  <c r="N17" i="58"/>
  <c r="G18" i="58"/>
  <c r="G19" i="58"/>
  <c r="G20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G8" i="58"/>
  <c r="H7" i="58" s="1"/>
  <c r="F8" i="58"/>
  <c r="G7" i="58"/>
  <c r="F7" i="58"/>
  <c r="L6" i="58"/>
  <c r="I1" i="58"/>
  <c r="I1" i="57"/>
  <c r="H17" i="50"/>
  <c r="J17" i="50" s="1"/>
  <c r="H9" i="58"/>
  <c r="I9" i="58" s="1"/>
  <c r="N16" i="58"/>
  <c r="N19" i="58"/>
  <c r="N10" i="58"/>
  <c r="F8" i="50"/>
  <c r="G8" i="50"/>
  <c r="G7" i="50"/>
  <c r="F7" i="50"/>
  <c r="L3" i="56"/>
  <c r="L3" i="41"/>
  <c r="J3" i="56"/>
  <c r="G7" i="55"/>
  <c r="H7" i="55"/>
  <c r="J7" i="55" s="1"/>
  <c r="F7" i="55"/>
  <c r="L6" i="55"/>
  <c r="I1" i="55"/>
  <c r="E2" i="21"/>
  <c r="F8" i="21"/>
  <c r="G8" i="21"/>
  <c r="H8" i="21"/>
  <c r="I8" i="21"/>
  <c r="J8" i="21" s="1"/>
  <c r="K8" i="21"/>
  <c r="M8" i="21" s="1"/>
  <c r="F9" i="21"/>
  <c r="G9" i="21"/>
  <c r="H9" i="21"/>
  <c r="I9" i="21"/>
  <c r="J9" i="21" s="1"/>
  <c r="F10" i="21"/>
  <c r="G10" i="21"/>
  <c r="K9" i="21" s="1"/>
  <c r="N9" i="21" s="1"/>
  <c r="H10" i="21"/>
  <c r="I10" i="21"/>
  <c r="J10" i="21" s="1"/>
  <c r="K10" i="21"/>
  <c r="N10" i="21" s="1"/>
  <c r="F11" i="21"/>
  <c r="G11" i="21"/>
  <c r="K11" i="21"/>
  <c r="M11" i="21" s="1"/>
  <c r="F12" i="21"/>
  <c r="G12" i="21"/>
  <c r="H12" i="21"/>
  <c r="I12" i="21"/>
  <c r="J12" i="21" s="1"/>
  <c r="K12" i="21"/>
  <c r="M12" i="21" s="1"/>
  <c r="F13" i="21"/>
  <c r="G13" i="21"/>
  <c r="H13" i="21"/>
  <c r="I13" i="21"/>
  <c r="J13" i="21" s="1"/>
  <c r="F14" i="21"/>
  <c r="G14" i="21"/>
  <c r="K13" i="21" s="1"/>
  <c r="H14" i="21"/>
  <c r="I14" i="21"/>
  <c r="J14" i="21" s="1"/>
  <c r="K14" i="21"/>
  <c r="M14" i="21" s="1"/>
  <c r="F15" i="21"/>
  <c r="G15" i="21"/>
  <c r="K15" i="21"/>
  <c r="M15" i="21" s="1"/>
  <c r="F16" i="21"/>
  <c r="G16" i="21"/>
  <c r="H15" i="21" s="1"/>
  <c r="I15" i="21" s="1"/>
  <c r="J15" i="21" s="1"/>
  <c r="H16" i="21"/>
  <c r="I16" i="21"/>
  <c r="J16" i="21" s="1"/>
  <c r="K16" i="21"/>
  <c r="N16" i="21" s="1"/>
  <c r="F17" i="21"/>
  <c r="G17" i="21"/>
  <c r="H17" i="21"/>
  <c r="I17" i="21"/>
  <c r="J17" i="21"/>
  <c r="F18" i="21"/>
  <c r="G18" i="21"/>
  <c r="K17" i="21" s="1"/>
  <c r="H18" i="21"/>
  <c r="I18" i="21"/>
  <c r="J18" i="21" s="1"/>
  <c r="K18" i="21"/>
  <c r="M18" i="21" s="1"/>
  <c r="F19" i="21"/>
  <c r="G19" i="21"/>
  <c r="K19" i="21"/>
  <c r="M19" i="21" s="1"/>
  <c r="F20" i="21"/>
  <c r="G20" i="21"/>
  <c r="H20" i="21"/>
  <c r="I20" i="21"/>
  <c r="J20" i="21" s="1"/>
  <c r="K20" i="21"/>
  <c r="N20" i="21" s="1"/>
  <c r="F21" i="21"/>
  <c r="G21" i="21"/>
  <c r="H21" i="21" s="1"/>
  <c r="I21" i="21" s="1"/>
  <c r="J21" i="21" s="1"/>
  <c r="K21" i="21"/>
  <c r="M21" i="21" s="1"/>
  <c r="F22" i="21"/>
  <c r="G22" i="21"/>
  <c r="H22" i="21"/>
  <c r="I22" i="21"/>
  <c r="J22" i="21" s="1"/>
  <c r="K22" i="21"/>
  <c r="M22" i="21" s="1"/>
  <c r="F23" i="21"/>
  <c r="G23" i="21"/>
  <c r="H23" i="21"/>
  <c r="I23" i="21"/>
  <c r="J23" i="21" s="1"/>
  <c r="F24" i="21"/>
  <c r="G24" i="21"/>
  <c r="H24" i="21"/>
  <c r="I24" i="21"/>
  <c r="J24" i="21" s="1"/>
  <c r="K24" i="21"/>
  <c r="M24" i="21" s="1"/>
  <c r="F25" i="21"/>
  <c r="G25" i="21"/>
  <c r="K25" i="21"/>
  <c r="M25" i="21" s="1"/>
  <c r="F26" i="21"/>
  <c r="G26" i="21"/>
  <c r="H26" i="21"/>
  <c r="I26" i="21"/>
  <c r="J26" i="21" s="1"/>
  <c r="K26" i="21"/>
  <c r="M26" i="21" s="1"/>
  <c r="F27" i="21"/>
  <c r="G27" i="21"/>
  <c r="H27" i="21"/>
  <c r="I27" i="21"/>
  <c r="J27" i="21" s="1"/>
  <c r="F28" i="21"/>
  <c r="G28" i="21"/>
  <c r="H28" i="21"/>
  <c r="I28" i="21"/>
  <c r="J28" i="21" s="1"/>
  <c r="K28" i="21"/>
  <c r="M28" i="21" s="1"/>
  <c r="F29" i="21"/>
  <c r="G29" i="21"/>
  <c r="K29" i="21"/>
  <c r="M29" i="21" s="1"/>
  <c r="F30" i="21"/>
  <c r="G30" i="21"/>
  <c r="H29" i="21" s="1"/>
  <c r="I29" i="21" s="1"/>
  <c r="J29" i="21" s="1"/>
  <c r="H30" i="21"/>
  <c r="I30" i="21"/>
  <c r="J30" i="21" s="1"/>
  <c r="K30" i="21"/>
  <c r="M30" i="21" s="1"/>
  <c r="F31" i="21"/>
  <c r="G31" i="21"/>
  <c r="K31" i="21"/>
  <c r="M31" i="21" s="1"/>
  <c r="F32" i="21"/>
  <c r="G32" i="21"/>
  <c r="H31" i="21" s="1"/>
  <c r="I31" i="21" s="1"/>
  <c r="J31" i="21" s="1"/>
  <c r="H32" i="21"/>
  <c r="I32" i="21"/>
  <c r="J32" i="21" s="1"/>
  <c r="K32" i="21"/>
  <c r="N32" i="21" s="1"/>
  <c r="F33" i="21"/>
  <c r="G33" i="21"/>
  <c r="H33" i="21"/>
  <c r="I33" i="21"/>
  <c r="J33" i="21" s="1"/>
  <c r="F34" i="21"/>
  <c r="G34" i="21"/>
  <c r="K33" i="21" s="1"/>
  <c r="H34" i="21"/>
  <c r="I34" i="21"/>
  <c r="J34" i="21"/>
  <c r="K34" i="21"/>
  <c r="M34" i="21" s="1"/>
  <c r="F35" i="21"/>
  <c r="G35" i="21"/>
  <c r="K35" i="21"/>
  <c r="M35" i="21"/>
  <c r="F36" i="21"/>
  <c r="G36" i="21"/>
  <c r="H36" i="21"/>
  <c r="I36" i="21"/>
  <c r="J36" i="21" s="1"/>
  <c r="K36" i="21"/>
  <c r="M36" i="21" s="1"/>
  <c r="F37" i="21"/>
  <c r="G37" i="21"/>
  <c r="H37" i="21"/>
  <c r="I37" i="21"/>
  <c r="J37" i="21" s="1"/>
  <c r="F38" i="21"/>
  <c r="G38" i="21"/>
  <c r="H38" i="21"/>
  <c r="I38" i="21"/>
  <c r="J38" i="21" s="1"/>
  <c r="K38" i="21"/>
  <c r="M38" i="21" s="1"/>
  <c r="F39" i="21"/>
  <c r="G39" i="21"/>
  <c r="H39" i="21" s="1"/>
  <c r="I39" i="21" s="1"/>
  <c r="J39" i="21" s="1"/>
  <c r="K39" i="21"/>
  <c r="M39" i="21" s="1"/>
  <c r="F40" i="21"/>
  <c r="G40" i="21"/>
  <c r="H40" i="21"/>
  <c r="I40" i="21"/>
  <c r="J40" i="21"/>
  <c r="K40" i="21"/>
  <c r="M40" i="21" s="1"/>
  <c r="F41" i="21"/>
  <c r="G41" i="21"/>
  <c r="K41" i="21"/>
  <c r="M41" i="21" s="1"/>
  <c r="F42" i="21"/>
  <c r="G42" i="21"/>
  <c r="H42" i="21"/>
  <c r="I42" i="21"/>
  <c r="J42" i="21" s="1"/>
  <c r="K42" i="21"/>
  <c r="F43" i="21"/>
  <c r="G43" i="21"/>
  <c r="K43" i="21"/>
  <c r="M43" i="21" s="1"/>
  <c r="F44" i="21"/>
  <c r="G44" i="21"/>
  <c r="H44" i="21"/>
  <c r="I44" i="21"/>
  <c r="J44" i="21" s="1"/>
  <c r="K44" i="21"/>
  <c r="N44" i="21" s="1"/>
  <c r="F45" i="21"/>
  <c r="G45" i="21"/>
  <c r="H45" i="21"/>
  <c r="I45" i="21"/>
  <c r="J45" i="21" s="1"/>
  <c r="F46" i="21"/>
  <c r="G46" i="21"/>
  <c r="H46" i="21"/>
  <c r="I46" i="21"/>
  <c r="J46" i="21" s="1"/>
  <c r="K46" i="21"/>
  <c r="N46" i="21" s="1"/>
  <c r="F47" i="21"/>
  <c r="G47" i="21"/>
  <c r="K47" i="21"/>
  <c r="M47" i="21" s="1"/>
  <c r="F48" i="21"/>
  <c r="G48" i="21"/>
  <c r="H47" i="21" s="1"/>
  <c r="I47" i="21" s="1"/>
  <c r="J47" i="21" s="1"/>
  <c r="H48" i="21"/>
  <c r="I48" i="21"/>
  <c r="J48" i="21" s="1"/>
  <c r="K48" i="21"/>
  <c r="M48" i="21" s="1"/>
  <c r="F49" i="21"/>
  <c r="G49" i="21"/>
  <c r="H49" i="21"/>
  <c r="I49" i="21"/>
  <c r="J49" i="21" s="1"/>
  <c r="F50" i="21"/>
  <c r="G50" i="21"/>
  <c r="K49" i="21" s="1"/>
  <c r="H50" i="21"/>
  <c r="I50" i="21"/>
  <c r="J50" i="21" s="1"/>
  <c r="K50" i="21"/>
  <c r="M50" i="21" s="1"/>
  <c r="F51" i="21"/>
  <c r="G51" i="21"/>
  <c r="K51" i="21"/>
  <c r="M51" i="21" s="1"/>
  <c r="F52" i="21"/>
  <c r="G52" i="21"/>
  <c r="H52" i="21"/>
  <c r="I52" i="21"/>
  <c r="J52" i="21" s="1"/>
  <c r="K52" i="21"/>
  <c r="N52" i="21" s="1"/>
  <c r="F53" i="21"/>
  <c r="G53" i="21"/>
  <c r="K53" i="21"/>
  <c r="M53" i="21" s="1"/>
  <c r="F54" i="21"/>
  <c r="G54" i="21"/>
  <c r="H54" i="21"/>
  <c r="I54" i="21"/>
  <c r="J54" i="21" s="1"/>
  <c r="K54" i="21"/>
  <c r="N54" i="21" s="1"/>
  <c r="F55" i="21"/>
  <c r="G55" i="21"/>
  <c r="K55" i="21"/>
  <c r="F56" i="21"/>
  <c r="G56" i="21"/>
  <c r="H56" i="21"/>
  <c r="I56" i="21"/>
  <c r="J56" i="21" s="1"/>
  <c r="K56" i="21"/>
  <c r="N56" i="21" s="1"/>
  <c r="F57" i="21"/>
  <c r="G57" i="21"/>
  <c r="K57" i="21" s="1"/>
  <c r="N57" i="21" s="1"/>
  <c r="H57" i="21"/>
  <c r="I57" i="21"/>
  <c r="J57" i="21" s="1"/>
  <c r="F58" i="21"/>
  <c r="G58" i="21"/>
  <c r="H58" i="21"/>
  <c r="I58" i="21"/>
  <c r="J58" i="21" s="1"/>
  <c r="K58" i="21"/>
  <c r="M58" i="21" s="1"/>
  <c r="F59" i="21"/>
  <c r="G59" i="21"/>
  <c r="H59" i="21" s="1"/>
  <c r="I59" i="21" s="1"/>
  <c r="J59" i="21" s="1"/>
  <c r="K59" i="21"/>
  <c r="N59" i="21" s="1"/>
  <c r="M59" i="21"/>
  <c r="F60" i="21"/>
  <c r="G60" i="21"/>
  <c r="H60" i="21"/>
  <c r="I60" i="21"/>
  <c r="J60" i="21" s="1"/>
  <c r="K60" i="21"/>
  <c r="M60" i="21" s="1"/>
  <c r="F61" i="21"/>
  <c r="G61" i="21"/>
  <c r="K61" i="21"/>
  <c r="M61" i="21" s="1"/>
  <c r="F62" i="21"/>
  <c r="G62" i="21"/>
  <c r="H62" i="21"/>
  <c r="I62" i="21"/>
  <c r="J62" i="21"/>
  <c r="K62" i="21"/>
  <c r="M62" i="21" s="1"/>
  <c r="F63" i="21"/>
  <c r="G63" i="21"/>
  <c r="H63" i="21"/>
  <c r="I63" i="21"/>
  <c r="J63" i="21" s="1"/>
  <c r="F64" i="21"/>
  <c r="G64" i="21"/>
  <c r="H64" i="21"/>
  <c r="I64" i="21"/>
  <c r="J64" i="21"/>
  <c r="K64" i="21"/>
  <c r="M64" i="21" s="1"/>
  <c r="F65" i="21"/>
  <c r="G65" i="21"/>
  <c r="H65" i="21" s="1"/>
  <c r="I65" i="21" s="1"/>
  <c r="J65" i="21" s="1"/>
  <c r="K65" i="21"/>
  <c r="N65" i="21" s="1"/>
  <c r="M65" i="21"/>
  <c r="F66" i="21"/>
  <c r="G66" i="21"/>
  <c r="H66" i="21"/>
  <c r="I66" i="21"/>
  <c r="J66" i="21" s="1"/>
  <c r="K66" i="21"/>
  <c r="M66" i="21" s="1"/>
  <c r="F67" i="21"/>
  <c r="G67" i="21"/>
  <c r="H67" i="21" s="1"/>
  <c r="I67" i="21" s="1"/>
  <c r="J67" i="21" s="1"/>
  <c r="K67" i="21"/>
  <c r="F68" i="21"/>
  <c r="G68" i="21"/>
  <c r="H68" i="21"/>
  <c r="I68" i="21"/>
  <c r="J68" i="21" s="1"/>
  <c r="K68" i="21"/>
  <c r="M68" i="21" s="1"/>
  <c r="F69" i="21"/>
  <c r="G69" i="21"/>
  <c r="K69" i="21"/>
  <c r="N69" i="21" s="1"/>
  <c r="M69" i="21"/>
  <c r="F70" i="21"/>
  <c r="G70" i="21"/>
  <c r="H70" i="21"/>
  <c r="I70" i="21"/>
  <c r="J70" i="21" s="1"/>
  <c r="K70" i="21"/>
  <c r="M70" i="21" s="1"/>
  <c r="N14" i="21"/>
  <c r="N40" i="21"/>
  <c r="N25" i="21"/>
  <c r="N11" i="21"/>
  <c r="H19" i="21"/>
  <c r="I19" i="21"/>
  <c r="J19" i="21" s="1"/>
  <c r="H35" i="21"/>
  <c r="I35" i="21" s="1"/>
  <c r="J35" i="21" s="1"/>
  <c r="N29" i="21"/>
  <c r="N17" i="21"/>
  <c r="H25" i="21"/>
  <c r="I25" i="21" s="1"/>
  <c r="J25" i="21"/>
  <c r="N70" i="21"/>
  <c r="N38" i="21"/>
  <c r="N35" i="21"/>
  <c r="N28" i="21"/>
  <c r="N66" i="21"/>
  <c r="H61" i="21"/>
  <c r="I61" i="21" s="1"/>
  <c r="J61" i="21" s="1"/>
  <c r="N47" i="21"/>
  <c r="K45" i="21"/>
  <c r="N45" i="21" s="1"/>
  <c r="N39" i="21"/>
  <c r="K37" i="21"/>
  <c r="N37" i="21" s="1"/>
  <c r="N34" i="21"/>
  <c r="N18" i="21"/>
  <c r="H55" i="21"/>
  <c r="I55" i="21"/>
  <c r="J55" i="21" s="1"/>
  <c r="M17" i="21"/>
  <c r="K6" i="50"/>
  <c r="M6" i="41"/>
  <c r="J3" i="37"/>
  <c r="L3" i="37" s="1"/>
  <c r="F7" i="21"/>
  <c r="G7" i="21"/>
  <c r="H7" i="21" s="1"/>
  <c r="I7" i="21" s="1"/>
  <c r="K7" i="21"/>
  <c r="N7" i="21" s="1"/>
  <c r="I1" i="46"/>
  <c r="I1" i="48"/>
  <c r="I1" i="20"/>
  <c r="I1" i="37"/>
  <c r="I1" i="9"/>
  <c r="J3" i="46"/>
  <c r="L3" i="46" s="1"/>
  <c r="L6" i="14"/>
  <c r="K6" i="14"/>
  <c r="J3" i="21"/>
  <c r="L3" i="21" s="1"/>
  <c r="L6" i="21"/>
  <c r="I1" i="33"/>
  <c r="F7" i="25"/>
  <c r="F8" i="25"/>
  <c r="K6" i="37"/>
  <c r="K3" i="37"/>
  <c r="N6" i="37"/>
  <c r="N3" i="37" s="1"/>
  <c r="M6" i="37"/>
  <c r="L6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10" i="16"/>
  <c r="F11" i="16"/>
  <c r="F12" i="16"/>
  <c r="F13" i="16"/>
  <c r="F14" i="16"/>
  <c r="F7" i="16"/>
  <c r="K8" i="16"/>
  <c r="N8" i="16" s="1"/>
  <c r="I8" i="16"/>
  <c r="J8" i="16" s="1"/>
  <c r="K7" i="16"/>
  <c r="M7" i="16"/>
  <c r="I11" i="16"/>
  <c r="J11" i="16" s="1"/>
  <c r="I12" i="16"/>
  <c r="J12" i="16" s="1"/>
  <c r="K12" i="16"/>
  <c r="N12" i="16" s="1"/>
  <c r="K13" i="16"/>
  <c r="N13" i="16" s="1"/>
  <c r="I14" i="16"/>
  <c r="J14" i="16" s="1"/>
  <c r="K14" i="16"/>
  <c r="N14" i="16" s="1"/>
  <c r="I15" i="16"/>
  <c r="J15" i="16"/>
  <c r="I16" i="16"/>
  <c r="J16" i="16" s="1"/>
  <c r="K16" i="16"/>
  <c r="M16" i="16" s="1"/>
  <c r="K17" i="16"/>
  <c r="M17" i="16" s="1"/>
  <c r="I18" i="16"/>
  <c r="J18" i="16" s="1"/>
  <c r="K18" i="16"/>
  <c r="M18" i="16" s="1"/>
  <c r="I19" i="16"/>
  <c r="J19" i="16"/>
  <c r="I20" i="16"/>
  <c r="J20" i="16" s="1"/>
  <c r="K20" i="16"/>
  <c r="M20" i="16"/>
  <c r="K21" i="16"/>
  <c r="N21" i="16" s="1"/>
  <c r="I22" i="16"/>
  <c r="J22" i="16" s="1"/>
  <c r="K22" i="16"/>
  <c r="N22" i="16" s="1"/>
  <c r="I23" i="16"/>
  <c r="J23" i="16" s="1"/>
  <c r="I24" i="16"/>
  <c r="J24" i="16" s="1"/>
  <c r="K24" i="16"/>
  <c r="N24" i="16" s="1"/>
  <c r="K25" i="16"/>
  <c r="M25" i="16" s="1"/>
  <c r="I26" i="16"/>
  <c r="J26" i="16" s="1"/>
  <c r="K26" i="16"/>
  <c r="M26" i="16" s="1"/>
  <c r="K27" i="16"/>
  <c r="M27" i="16" s="1"/>
  <c r="I28" i="16"/>
  <c r="J28" i="16" s="1"/>
  <c r="K28" i="16"/>
  <c r="M28" i="16" s="1"/>
  <c r="I29" i="16"/>
  <c r="J29" i="16" s="1"/>
  <c r="I30" i="16"/>
  <c r="J30" i="16" s="1"/>
  <c r="K30" i="16"/>
  <c r="N30" i="16" s="1"/>
  <c r="K31" i="16"/>
  <c r="M31" i="16" s="1"/>
  <c r="N31" i="16"/>
  <c r="I32" i="16"/>
  <c r="J32" i="16" s="1"/>
  <c r="K32" i="16"/>
  <c r="N32" i="16" s="1"/>
  <c r="I33" i="16"/>
  <c r="J33" i="16" s="1"/>
  <c r="I34" i="16"/>
  <c r="J34" i="16" s="1"/>
  <c r="K34" i="16"/>
  <c r="N34" i="16" s="1"/>
  <c r="K35" i="16"/>
  <c r="N35" i="16" s="1"/>
  <c r="I36" i="16"/>
  <c r="J36" i="16" s="1"/>
  <c r="K36" i="16"/>
  <c r="N36" i="16" s="1"/>
  <c r="H36" i="16"/>
  <c r="G36" i="16"/>
  <c r="G35" i="16"/>
  <c r="H35" i="16" s="1"/>
  <c r="I35" i="16" s="1"/>
  <c r="M13" i="16"/>
  <c r="N25" i="16"/>
  <c r="N7" i="16"/>
  <c r="M8" i="16"/>
  <c r="N27" i="16"/>
  <c r="N28" i="16"/>
  <c r="N20" i="16"/>
  <c r="I1" i="38"/>
  <c r="K16" i="35"/>
  <c r="M16" i="35" s="1"/>
  <c r="I16" i="35"/>
  <c r="H16" i="35"/>
  <c r="G16" i="35"/>
  <c r="F16" i="35"/>
  <c r="K15" i="35"/>
  <c r="N15" i="35" s="1"/>
  <c r="G15" i="35"/>
  <c r="F15" i="35"/>
  <c r="K14" i="35"/>
  <c r="N14" i="35" s="1"/>
  <c r="I14" i="35"/>
  <c r="H14" i="35"/>
  <c r="G14" i="35"/>
  <c r="F14" i="35"/>
  <c r="K13" i="35"/>
  <c r="G13" i="35"/>
  <c r="F13" i="35"/>
  <c r="I1" i="25"/>
  <c r="K8" i="38"/>
  <c r="N8" i="38" s="1"/>
  <c r="I8" i="38"/>
  <c r="I6" i="38" s="1"/>
  <c r="I3" i="38" s="1"/>
  <c r="H8" i="38"/>
  <c r="G8" i="38"/>
  <c r="H7" i="38" s="1"/>
  <c r="F8" i="38"/>
  <c r="K7" i="38"/>
  <c r="M7" i="38" s="1"/>
  <c r="G7" i="38"/>
  <c r="F7" i="38"/>
  <c r="L6" i="38"/>
  <c r="J6" i="38"/>
  <c r="K10" i="35"/>
  <c r="M10" i="35" s="1"/>
  <c r="I10" i="35"/>
  <c r="H10" i="35"/>
  <c r="G10" i="35"/>
  <c r="F10" i="35"/>
  <c r="K9" i="35"/>
  <c r="M9" i="35" s="1"/>
  <c r="G9" i="35"/>
  <c r="F9" i="35"/>
  <c r="I1" i="14"/>
  <c r="I12" i="35"/>
  <c r="I8" i="35"/>
  <c r="F8" i="35"/>
  <c r="G8" i="35"/>
  <c r="H8" i="35"/>
  <c r="K8" i="35"/>
  <c r="N8" i="35" s="1"/>
  <c r="M8" i="35"/>
  <c r="F11" i="35"/>
  <c r="G11" i="35"/>
  <c r="H11" i="35" s="1"/>
  <c r="I11" i="35" s="1"/>
  <c r="K11" i="35"/>
  <c r="N11" i="35" s="1"/>
  <c r="F12" i="35"/>
  <c r="G12" i="35"/>
  <c r="H12" i="35"/>
  <c r="K12" i="35"/>
  <c r="M12" i="35" s="1"/>
  <c r="G8" i="25"/>
  <c r="H8" i="25"/>
  <c r="I8" i="25"/>
  <c r="F8" i="16"/>
  <c r="G8" i="16"/>
  <c r="H8" i="16"/>
  <c r="F9" i="16"/>
  <c r="G9" i="16"/>
  <c r="K9" i="16"/>
  <c r="M9" i="16" s="1"/>
  <c r="G10" i="16"/>
  <c r="H9" i="16" s="1"/>
  <c r="I9" i="16" s="1"/>
  <c r="J9" i="16" s="1"/>
  <c r="H10" i="16"/>
  <c r="I10" i="16"/>
  <c r="J10" i="16" s="1"/>
  <c r="K10" i="16"/>
  <c r="N10" i="16" s="1"/>
  <c r="G11" i="16"/>
  <c r="G12" i="16"/>
  <c r="H12" i="16"/>
  <c r="G13" i="16"/>
  <c r="G14" i="16"/>
  <c r="H13" i="16" s="1"/>
  <c r="I13" i="16" s="1"/>
  <c r="J13" i="16" s="1"/>
  <c r="H14" i="16"/>
  <c r="F15" i="16"/>
  <c r="G15" i="16"/>
  <c r="H15" i="16"/>
  <c r="F16" i="16"/>
  <c r="G16" i="16"/>
  <c r="H16" i="16"/>
  <c r="F17" i="16"/>
  <c r="G17" i="16"/>
  <c r="F18" i="16"/>
  <c r="G18" i="16"/>
  <c r="H18" i="16"/>
  <c r="F19" i="16"/>
  <c r="G19" i="16"/>
  <c r="K19" i="16" s="1"/>
  <c r="N19" i="16" s="1"/>
  <c r="H19" i="16"/>
  <c r="F20" i="16"/>
  <c r="G20" i="16"/>
  <c r="H20" i="16"/>
  <c r="F21" i="16"/>
  <c r="G21" i="16"/>
  <c r="G22" i="16"/>
  <c r="H22" i="16"/>
  <c r="G23" i="16"/>
  <c r="G24" i="16"/>
  <c r="K23" i="16" s="1"/>
  <c r="H24" i="16"/>
  <c r="G25" i="16"/>
  <c r="G26" i="16"/>
  <c r="H26" i="16"/>
  <c r="G27" i="16"/>
  <c r="G28" i="16"/>
  <c r="H28" i="16"/>
  <c r="G29" i="16"/>
  <c r="K29" i="16" s="1"/>
  <c r="G30" i="16"/>
  <c r="H30" i="16"/>
  <c r="G31" i="16"/>
  <c r="H31" i="16" s="1"/>
  <c r="I31" i="16" s="1"/>
  <c r="J31" i="16" s="1"/>
  <c r="G32" i="16"/>
  <c r="H32" i="16"/>
  <c r="G33" i="16"/>
  <c r="H33" i="16"/>
  <c r="G34" i="16"/>
  <c r="K33" i="16" s="1"/>
  <c r="N33" i="16" s="1"/>
  <c r="H34" i="16"/>
  <c r="G7" i="16"/>
  <c r="H7" i="16" s="1"/>
  <c r="I7" i="16" s="1"/>
  <c r="H29" i="16"/>
  <c r="H11" i="16"/>
  <c r="K11" i="16"/>
  <c r="N11" i="16" s="1"/>
  <c r="H23" i="16"/>
  <c r="M10" i="16"/>
  <c r="I6" i="37"/>
  <c r="J6" i="37"/>
  <c r="N3" i="20"/>
  <c r="J6" i="35"/>
  <c r="I1" i="16"/>
  <c r="K7" i="35"/>
  <c r="N7" i="35" s="1"/>
  <c r="G7" i="35"/>
  <c r="F7" i="35"/>
  <c r="L6" i="35"/>
  <c r="K7" i="14"/>
  <c r="N7" i="14" s="1"/>
  <c r="N6" i="14" s="1"/>
  <c r="U4" i="13"/>
  <c r="J6" i="25"/>
  <c r="G7" i="25"/>
  <c r="I1" i="21"/>
  <c r="G7" i="14"/>
  <c r="F7" i="14"/>
  <c r="I13" i="55" l="1"/>
  <c r="J13" i="55"/>
  <c r="M73" i="67"/>
  <c r="N73" i="67"/>
  <c r="I23" i="33"/>
  <c r="J23" i="33"/>
  <c r="J17" i="33"/>
  <c r="I17" i="33"/>
  <c r="I23" i="55"/>
  <c r="J23" i="55"/>
  <c r="M33" i="67"/>
  <c r="N33" i="67"/>
  <c r="M51" i="67"/>
  <c r="N51" i="67"/>
  <c r="M43" i="67"/>
  <c r="N43" i="67"/>
  <c r="M68" i="67"/>
  <c r="H7" i="25"/>
  <c r="I7" i="25" s="1"/>
  <c r="J9" i="58"/>
  <c r="M27" i="55"/>
  <c r="N9" i="16"/>
  <c r="N6" i="16" s="1"/>
  <c r="N3" i="16" s="1"/>
  <c r="H21" i="16"/>
  <c r="I21" i="16" s="1"/>
  <c r="J21" i="16" s="1"/>
  <c r="M35" i="16"/>
  <c r="N26" i="16"/>
  <c r="N15" i="21"/>
  <c r="N60" i="21"/>
  <c r="N21" i="21"/>
  <c r="M52" i="21"/>
  <c r="H51" i="21"/>
  <c r="I51" i="21" s="1"/>
  <c r="J51" i="21" s="1"/>
  <c r="U4" i="9"/>
  <c r="N33" i="55"/>
  <c r="M32" i="55"/>
  <c r="M24" i="55"/>
  <c r="N48" i="55"/>
  <c r="H47" i="55"/>
  <c r="I47" i="55" s="1"/>
  <c r="H25" i="55"/>
  <c r="N23" i="55"/>
  <c r="H15" i="55"/>
  <c r="M34" i="67"/>
  <c r="H67" i="67"/>
  <c r="H37" i="67"/>
  <c r="I37" i="67" s="1"/>
  <c r="J37" i="67" s="1"/>
  <c r="K11" i="67"/>
  <c r="M11" i="67" s="1"/>
  <c r="M21" i="16"/>
  <c r="N58" i="21"/>
  <c r="K23" i="21"/>
  <c r="N23" i="21" s="1"/>
  <c r="H13" i="50"/>
  <c r="I13" i="50" s="1"/>
  <c r="H9" i="50"/>
  <c r="J9" i="50" s="1"/>
  <c r="N16" i="50"/>
  <c r="K7" i="67"/>
  <c r="N49" i="55"/>
  <c r="M79" i="67"/>
  <c r="M25" i="67"/>
  <c r="K81" i="67"/>
  <c r="N81" i="67" s="1"/>
  <c r="I21" i="33"/>
  <c r="H25" i="16"/>
  <c r="I25" i="16" s="1"/>
  <c r="J27" i="16" s="1"/>
  <c r="D5" i="16" s="1"/>
  <c r="J3" i="16" s="1"/>
  <c r="K15" i="16"/>
  <c r="N15" i="16" s="1"/>
  <c r="M37" i="21"/>
  <c r="K63" i="21"/>
  <c r="M63" i="21" s="1"/>
  <c r="H11" i="21"/>
  <c r="I11" i="21" s="1"/>
  <c r="J11" i="21" s="1"/>
  <c r="H13" i="58"/>
  <c r="N50" i="55"/>
  <c r="N37" i="55"/>
  <c r="M8" i="55"/>
  <c r="M9" i="67"/>
  <c r="M32" i="67"/>
  <c r="M28" i="67"/>
  <c r="N67" i="67"/>
  <c r="K39" i="67"/>
  <c r="K9" i="69"/>
  <c r="M9" i="69" s="1"/>
  <c r="H11" i="69"/>
  <c r="I11" i="69" s="1"/>
  <c r="J11" i="69" s="1"/>
  <c r="N8" i="21"/>
  <c r="I7" i="55"/>
  <c r="H15" i="35"/>
  <c r="N26" i="21"/>
  <c r="N24" i="21"/>
  <c r="N62" i="21"/>
  <c r="H29" i="55"/>
  <c r="J29" i="55" s="1"/>
  <c r="M12" i="67"/>
  <c r="M30" i="67"/>
  <c r="K69" i="67"/>
  <c r="M69" i="67" s="1"/>
  <c r="H7" i="14"/>
  <c r="I7" i="14" s="1"/>
  <c r="M15" i="35"/>
  <c r="N22" i="21"/>
  <c r="N68" i="21"/>
  <c r="M46" i="21"/>
  <c r="H43" i="21"/>
  <c r="I43" i="21" s="1"/>
  <c r="J43" i="21" s="1"/>
  <c r="H7" i="50"/>
  <c r="I7" i="50" s="1"/>
  <c r="N12" i="58"/>
  <c r="M47" i="67"/>
  <c r="H75" i="67"/>
  <c r="I75" i="67" s="1"/>
  <c r="J75" i="67" s="1"/>
  <c r="H57" i="67"/>
  <c r="N51" i="55"/>
  <c r="M51" i="55"/>
  <c r="J33" i="55"/>
  <c r="I33" i="55"/>
  <c r="N63" i="67"/>
  <c r="M63" i="67"/>
  <c r="M23" i="21"/>
  <c r="J9" i="55"/>
  <c r="I9" i="55"/>
  <c r="N49" i="21"/>
  <c r="M49" i="21"/>
  <c r="J41" i="55"/>
  <c r="I41" i="55"/>
  <c r="M7" i="14"/>
  <c r="M6" i="14" s="1"/>
  <c r="I3" i="14" s="1"/>
  <c r="M11" i="35"/>
  <c r="K6" i="35"/>
  <c r="M32" i="16"/>
  <c r="M7" i="21"/>
  <c r="N12" i="21"/>
  <c r="M56" i="21"/>
  <c r="M44" i="21"/>
  <c r="N20" i="58"/>
  <c r="M11" i="50"/>
  <c r="N10" i="55"/>
  <c r="N35" i="55"/>
  <c r="M42" i="55"/>
  <c r="M26" i="55"/>
  <c r="M31" i="67"/>
  <c r="M49" i="67"/>
  <c r="N80" i="67"/>
  <c r="N54" i="67"/>
  <c r="M32" i="21"/>
  <c r="M20" i="21"/>
  <c r="M10" i="21"/>
  <c r="I17" i="50"/>
  <c r="H11" i="58"/>
  <c r="J31" i="55"/>
  <c r="M47" i="55"/>
  <c r="J21" i="55"/>
  <c r="M64" i="67"/>
  <c r="K17" i="67"/>
  <c r="I6" i="14"/>
  <c r="K6" i="58"/>
  <c r="N15" i="58"/>
  <c r="M7" i="50"/>
  <c r="H43" i="55"/>
  <c r="J43" i="55" s="1"/>
  <c r="H27" i="55"/>
  <c r="H11" i="55"/>
  <c r="M72" i="67"/>
  <c r="H25" i="33"/>
  <c r="H15" i="33"/>
  <c r="I15" i="33" s="1"/>
  <c r="H9" i="33"/>
  <c r="J9" i="33" s="1"/>
  <c r="M14" i="69"/>
  <c r="O14" i="69" s="1"/>
  <c r="N36" i="21"/>
  <c r="N9" i="35"/>
  <c r="H9" i="35"/>
  <c r="M34" i="16"/>
  <c r="N50" i="21"/>
  <c r="N51" i="21"/>
  <c r="N41" i="21"/>
  <c r="H53" i="21"/>
  <c r="I53" i="21" s="1"/>
  <c r="J53" i="21" s="1"/>
  <c r="K27" i="21"/>
  <c r="K3" i="21" s="1"/>
  <c r="N8" i="58"/>
  <c r="H19" i="58"/>
  <c r="J19" i="58" s="1"/>
  <c r="N14" i="50"/>
  <c r="N18" i="55"/>
  <c r="M43" i="55"/>
  <c r="M52" i="55"/>
  <c r="H49" i="55"/>
  <c r="I49" i="55" s="1"/>
  <c r="K6" i="55"/>
  <c r="N15" i="67"/>
  <c r="M44" i="67"/>
  <c r="H83" i="67"/>
  <c r="K45" i="67"/>
  <c r="N45" i="67" s="1"/>
  <c r="I6" i="25"/>
  <c r="I3" i="25" s="1"/>
  <c r="H27" i="16"/>
  <c r="I27" i="16" s="1"/>
  <c r="N7" i="38"/>
  <c r="N6" i="38" s="1"/>
  <c r="M13" i="35"/>
  <c r="M14" i="35"/>
  <c r="M36" i="16"/>
  <c r="N31" i="21"/>
  <c r="M57" i="21"/>
  <c r="N18" i="50"/>
  <c r="N41" i="55"/>
  <c r="N30" i="55"/>
  <c r="J37" i="55"/>
  <c r="M38" i="55"/>
  <c r="M22" i="55"/>
  <c r="M19" i="55"/>
  <c r="N27" i="67"/>
  <c r="M86" i="67"/>
  <c r="M18" i="67"/>
  <c r="N76" i="67"/>
  <c r="N65" i="67"/>
  <c r="N55" i="67"/>
  <c r="K21" i="67"/>
  <c r="N18" i="58"/>
  <c r="N34" i="55"/>
  <c r="H17" i="16"/>
  <c r="I17" i="16" s="1"/>
  <c r="J17" i="16" s="1"/>
  <c r="H7" i="35"/>
  <c r="I7" i="35" s="1"/>
  <c r="I6" i="35" s="1"/>
  <c r="I3" i="35" s="1"/>
  <c r="N10" i="35"/>
  <c r="H13" i="35"/>
  <c r="N18" i="16"/>
  <c r="N53" i="21"/>
  <c r="N64" i="21"/>
  <c r="H69" i="21"/>
  <c r="I69" i="21" s="1"/>
  <c r="J69" i="21" s="1"/>
  <c r="H17" i="58"/>
  <c r="I17" i="58" s="1"/>
  <c r="N13" i="58"/>
  <c r="N8" i="50"/>
  <c r="N9" i="55"/>
  <c r="M45" i="55"/>
  <c r="M40" i="55"/>
  <c r="H19" i="55"/>
  <c r="J19" i="55" s="1"/>
  <c r="I11" i="33"/>
  <c r="N77" i="67"/>
  <c r="M40" i="67"/>
  <c r="M46" i="67"/>
  <c r="H55" i="67"/>
  <c r="I55" i="67" s="1"/>
  <c r="J55" i="67" s="1"/>
  <c r="J6" i="67" s="1"/>
  <c r="D5" i="67" s="1"/>
  <c r="J3" i="67" s="1"/>
  <c r="L3" i="67" s="1"/>
  <c r="H13" i="67"/>
  <c r="I13" i="67" s="1"/>
  <c r="J13" i="67" s="1"/>
  <c r="O12" i="69"/>
  <c r="M3" i="48"/>
  <c r="J7" i="21"/>
  <c r="J7" i="16"/>
  <c r="M29" i="16"/>
  <c r="N29" i="16"/>
  <c r="N23" i="16"/>
  <c r="M23" i="16"/>
  <c r="K3" i="16"/>
  <c r="N63" i="21"/>
  <c r="N17" i="16"/>
  <c r="N7" i="55"/>
  <c r="M7" i="55"/>
  <c r="I19" i="33"/>
  <c r="J19" i="33"/>
  <c r="N85" i="67"/>
  <c r="M85" i="67"/>
  <c r="N24" i="67"/>
  <c r="M24" i="67"/>
  <c r="N12" i="35"/>
  <c r="N13" i="35"/>
  <c r="N16" i="35"/>
  <c r="M30" i="16"/>
  <c r="N16" i="16"/>
  <c r="M45" i="21"/>
  <c r="M33" i="21"/>
  <c r="N33" i="21"/>
  <c r="M42" i="21"/>
  <c r="N42" i="21"/>
  <c r="R5" i="56"/>
  <c r="M3" i="56"/>
  <c r="J15" i="55"/>
  <c r="I15" i="55"/>
  <c r="I25" i="55"/>
  <c r="J25" i="55"/>
  <c r="H7" i="69"/>
  <c r="I7" i="69" s="1"/>
  <c r="I11" i="50"/>
  <c r="J11" i="50"/>
  <c r="M10" i="50"/>
  <c r="N10" i="50"/>
  <c r="I13" i="33"/>
  <c r="J13" i="33"/>
  <c r="N56" i="67"/>
  <c r="M56" i="67"/>
  <c r="N16" i="67"/>
  <c r="M16" i="67"/>
  <c r="M8" i="69"/>
  <c r="O8" i="69" s="1"/>
  <c r="N8" i="69"/>
  <c r="J15" i="58"/>
  <c r="I15" i="58"/>
  <c r="M11" i="16"/>
  <c r="N67" i="21"/>
  <c r="M67" i="21"/>
  <c r="J7" i="50"/>
  <c r="M20" i="55"/>
  <c r="N20" i="55"/>
  <c r="I19" i="55"/>
  <c r="L3" i="9"/>
  <c r="S5" i="9"/>
  <c r="N59" i="67"/>
  <c r="M59" i="67"/>
  <c r="K13" i="69"/>
  <c r="M29" i="55"/>
  <c r="N29" i="55"/>
  <c r="I11" i="58"/>
  <c r="J11" i="58"/>
  <c r="M8" i="38"/>
  <c r="M6" i="38" s="1"/>
  <c r="M22" i="16"/>
  <c r="M24" i="16"/>
  <c r="M12" i="16"/>
  <c r="M13" i="21"/>
  <c r="N13" i="21"/>
  <c r="M9" i="21"/>
  <c r="H41" i="21"/>
  <c r="I41" i="21" s="1"/>
  <c r="J41" i="21" s="1"/>
  <c r="N15" i="50"/>
  <c r="M15" i="50"/>
  <c r="J35" i="55"/>
  <c r="I35" i="55"/>
  <c r="I7" i="33"/>
  <c r="J7" i="33"/>
  <c r="N11" i="67"/>
  <c r="N70" i="67"/>
  <c r="M70" i="67"/>
  <c r="N17" i="67"/>
  <c r="M17" i="67"/>
  <c r="M7" i="35"/>
  <c r="J15" i="50"/>
  <c r="K6" i="38"/>
  <c r="M55" i="21"/>
  <c r="N55" i="21"/>
  <c r="I7" i="58"/>
  <c r="J7" i="58"/>
  <c r="N7" i="67"/>
  <c r="M7" i="67"/>
  <c r="M19" i="67"/>
  <c r="N19" i="67"/>
  <c r="N41" i="67"/>
  <c r="M41" i="67"/>
  <c r="N20" i="67"/>
  <c r="M20" i="67"/>
  <c r="J25" i="33"/>
  <c r="I25" i="33"/>
  <c r="J15" i="33"/>
  <c r="I9" i="33"/>
  <c r="M46" i="55"/>
  <c r="N46" i="55"/>
  <c r="M13" i="55"/>
  <c r="M6" i="55" s="1"/>
  <c r="N13" i="55"/>
  <c r="M33" i="16"/>
  <c r="K6" i="21"/>
  <c r="M19" i="16"/>
  <c r="M14" i="16"/>
  <c r="J13" i="58"/>
  <c r="I13" i="58"/>
  <c r="I9" i="50"/>
  <c r="M6" i="58"/>
  <c r="M45" i="67"/>
  <c r="N84" i="67"/>
  <c r="M84" i="67"/>
  <c r="M21" i="67"/>
  <c r="N21" i="67"/>
  <c r="N43" i="21"/>
  <c r="N61" i="21"/>
  <c r="J47" i="55"/>
  <c r="M44" i="55"/>
  <c r="M58" i="67"/>
  <c r="N19" i="21"/>
  <c r="J13" i="50"/>
  <c r="N9" i="58"/>
  <c r="I39" i="55"/>
  <c r="N7" i="69"/>
  <c r="O7" i="69" s="1"/>
  <c r="N30" i="21"/>
  <c r="N48" i="21"/>
  <c r="M54" i="21"/>
  <c r="M16" i="21"/>
  <c r="I17" i="55"/>
  <c r="N61" i="67"/>
  <c r="I3" i="75"/>
  <c r="M3" i="20"/>
  <c r="T4" i="56"/>
  <c r="U4" i="48"/>
  <c r="S5" i="48"/>
  <c r="U4" i="46"/>
  <c r="S5" i="46"/>
  <c r="M3" i="46"/>
  <c r="U4" i="37"/>
  <c r="S5" i="37"/>
  <c r="R5" i="74"/>
  <c r="T4" i="74"/>
  <c r="M3" i="71"/>
  <c r="S5" i="71"/>
  <c r="U4" i="71"/>
  <c r="S5" i="57"/>
  <c r="I3" i="70"/>
  <c r="M3" i="57"/>
  <c r="J3" i="41"/>
  <c r="I3" i="41" s="1"/>
  <c r="M3" i="74"/>
  <c r="R5" i="73"/>
  <c r="S5" i="20"/>
  <c r="M3" i="37"/>
  <c r="U4" i="20"/>
  <c r="J49" i="55" l="1"/>
  <c r="K6" i="16"/>
  <c r="M15" i="16"/>
  <c r="I43" i="55"/>
  <c r="N39" i="67"/>
  <c r="M39" i="67"/>
  <c r="K6" i="67"/>
  <c r="I29" i="55"/>
  <c r="J17" i="58"/>
  <c r="K3" i="67"/>
  <c r="M81" i="67"/>
  <c r="N9" i="69"/>
  <c r="O9" i="69" s="1"/>
  <c r="N6" i="58"/>
  <c r="N69" i="67"/>
  <c r="N6" i="67" s="1"/>
  <c r="N3" i="67" s="1"/>
  <c r="M6" i="35"/>
  <c r="J27" i="55"/>
  <c r="I27" i="55"/>
  <c r="N27" i="21"/>
  <c r="M27" i="21"/>
  <c r="M6" i="21" s="1"/>
  <c r="M6" i="16"/>
  <c r="S5" i="16" s="1"/>
  <c r="N6" i="55"/>
  <c r="M6" i="67"/>
  <c r="M3" i="67" s="1"/>
  <c r="I19" i="58"/>
  <c r="I6" i="58" s="1"/>
  <c r="I3" i="58" s="1"/>
  <c r="I6" i="16"/>
  <c r="I6" i="67"/>
  <c r="U4" i="67" s="1"/>
  <c r="J6" i="16"/>
  <c r="I11" i="55"/>
  <c r="J11" i="55"/>
  <c r="J6" i="55" s="1"/>
  <c r="I6" i="69"/>
  <c r="J7" i="69"/>
  <c r="J6" i="69" s="1"/>
  <c r="D5" i="69" s="1"/>
  <c r="J3" i="69" s="1"/>
  <c r="L3" i="69" s="1"/>
  <c r="N6" i="35"/>
  <c r="M13" i="69"/>
  <c r="N13" i="69"/>
  <c r="I6" i="50"/>
  <c r="I3" i="50" s="1"/>
  <c r="J6" i="50"/>
  <c r="J6" i="58"/>
  <c r="I6" i="33"/>
  <c r="I6" i="21"/>
  <c r="N6" i="21"/>
  <c r="N3" i="21" s="1"/>
  <c r="K6" i="69"/>
  <c r="J6" i="21"/>
  <c r="J6" i="33"/>
  <c r="M3" i="16" l="1"/>
  <c r="I6" i="55"/>
  <c r="N6" i="69"/>
  <c r="N3" i="69" s="1"/>
  <c r="U4" i="16"/>
  <c r="I3" i="55"/>
  <c r="S5" i="67"/>
  <c r="M3" i="21"/>
  <c r="S5" i="21"/>
  <c r="I3" i="33"/>
  <c r="U4" i="69"/>
  <c r="O13" i="69"/>
  <c r="O6" i="69" s="1"/>
  <c r="M6" i="69"/>
  <c r="U4" i="21"/>
  <c r="M3" i="69" l="1"/>
  <c r="S5" i="69"/>
</calcChain>
</file>

<file path=xl/sharedStrings.xml><?xml version="1.0" encoding="utf-8"?>
<sst xmlns="http://schemas.openxmlformats.org/spreadsheetml/2006/main" count="6462" uniqueCount="272">
  <si>
    <t>sId</t>
  </si>
  <si>
    <t>bEmpId</t>
  </si>
  <si>
    <t>bName</t>
  </si>
  <si>
    <t>bAttType</t>
  </si>
  <si>
    <t>bAttTime</t>
  </si>
  <si>
    <t>下班</t>
  </si>
  <si>
    <t>上班</t>
  </si>
  <si>
    <t>加班</t>
  </si>
  <si>
    <t>加班結束</t>
  </si>
  <si>
    <t>amber</t>
  </si>
  <si>
    <t>justin</t>
  </si>
  <si>
    <t>paul</t>
  </si>
  <si>
    <t>加班</t>
    <phoneticPr fontId="18" type="noConversion"/>
  </si>
  <si>
    <t>lz</t>
  </si>
  <si>
    <t>ruby</t>
  </si>
  <si>
    <t>tl</t>
  </si>
  <si>
    <t xml:space="preserve"> 加班時數</t>
    <phoneticPr fontId="18" type="noConversion"/>
  </si>
  <si>
    <t>1.34 時薪</t>
    <phoneticPr fontId="18" type="noConversion"/>
  </si>
  <si>
    <t>1.67 時薪</t>
    <phoneticPr fontId="18" type="noConversion"/>
  </si>
  <si>
    <t xml:space="preserve"> </t>
    <phoneticPr fontId="18" type="noConversion"/>
  </si>
  <si>
    <t>1.0時薪</t>
    <phoneticPr fontId="18" type="noConversion"/>
  </si>
  <si>
    <t>加班</t>
    <phoneticPr fontId="18" type="noConversion"/>
  </si>
  <si>
    <t>打卡上班</t>
    <phoneticPr fontId="18" type="noConversion"/>
  </si>
  <si>
    <t>出勤時數</t>
    <phoneticPr fontId="18" type="noConversion"/>
  </si>
  <si>
    <t>給薪時數</t>
    <phoneticPr fontId="18" type="noConversion"/>
  </si>
  <si>
    <t>請假</t>
    <phoneticPr fontId="18" type="noConversion"/>
  </si>
  <si>
    <t>小計</t>
    <phoneticPr fontId="18" type="noConversion"/>
  </si>
  <si>
    <t>備註</t>
    <phoneticPr fontId="18" type="noConversion"/>
  </si>
  <si>
    <t>統計</t>
    <phoneticPr fontId="18" type="noConversion"/>
  </si>
  <si>
    <t>出勤工時統計</t>
    <phoneticPr fontId="18" type="noConversion"/>
  </si>
  <si>
    <t>+</t>
    <phoneticPr fontId="18" type="noConversion"/>
  </si>
  <si>
    <t>=</t>
    <phoneticPr fontId="18" type="noConversion"/>
  </si>
  <si>
    <t>請假</t>
    <phoneticPr fontId="18" type="noConversion"/>
  </si>
  <si>
    <t>出勤</t>
    <phoneticPr fontId="18" type="noConversion"/>
  </si>
  <si>
    <t>假補工時</t>
    <phoneticPr fontId="18" type="noConversion"/>
  </si>
  <si>
    <t>2.依勞基法規定 平假日加班前2小時,以1.34時薪計,大於2小時以1.67時薪計</t>
    <phoneticPr fontId="18" type="noConversion"/>
  </si>
  <si>
    <t>1每月上班出勤工時為 176 小時(22天*8小時),周休二日另給8日薪(64小時),超過出勤工時乃以加班計</t>
    <phoneticPr fontId="18" type="noConversion"/>
  </si>
  <si>
    <t>BW</t>
  </si>
  <si>
    <t>lorah</t>
  </si>
  <si>
    <t>2.依勞基法規定 平假日加班前2小時,以1.34時薪計,大於2小時以1.67時薪計</t>
    <phoneticPr fontId="18" type="noConversion"/>
  </si>
  <si>
    <t>加班率</t>
    <phoneticPr fontId="18" type="noConversion"/>
  </si>
  <si>
    <t>加班申請</t>
    <phoneticPr fontId="18" type="noConversion"/>
  </si>
  <si>
    <t>albert</t>
  </si>
  <si>
    <t>事假</t>
    <phoneticPr fontId="18" type="noConversion"/>
  </si>
  <si>
    <t>病假</t>
    <phoneticPr fontId="18" type="noConversion"/>
  </si>
  <si>
    <t>事假</t>
    <phoneticPr fontId="18" type="noConversion"/>
  </si>
  <si>
    <t>特休</t>
    <phoneticPr fontId="18" type="noConversion"/>
  </si>
  <si>
    <t>時數</t>
    <phoneticPr fontId="18" type="noConversion"/>
  </si>
  <si>
    <t>sam</t>
  </si>
  <si>
    <t>1每月上班出勤工時為 176 小時(22天*8小時),周休二日另給8日薪(64小時),超過出勤工時乃以加班計</t>
    <phoneticPr fontId="18" type="noConversion"/>
  </si>
  <si>
    <t>SAM</t>
  </si>
  <si>
    <t>上班</t>
    <phoneticPr fontId="18" type="noConversion"/>
  </si>
  <si>
    <t>BW</t>
    <phoneticPr fontId="18" type="noConversion"/>
  </si>
  <si>
    <t>假補工時</t>
    <phoneticPr fontId="18" type="noConversion"/>
  </si>
  <si>
    <t>work at home</t>
    <phoneticPr fontId="18" type="noConversion"/>
  </si>
  <si>
    <t xml:space="preserve">  </t>
    <phoneticPr fontId="18" type="noConversion"/>
  </si>
  <si>
    <t>TL</t>
    <phoneticPr fontId="18" type="noConversion"/>
  </si>
  <si>
    <t>B6</t>
    <phoneticPr fontId="18" type="noConversion"/>
  </si>
  <si>
    <t>B6</t>
    <phoneticPr fontId="18" type="noConversion"/>
  </si>
  <si>
    <t>LZ</t>
    <phoneticPr fontId="18" type="noConversion"/>
  </si>
  <si>
    <t>討論 RCAD</t>
    <phoneticPr fontId="18" type="noConversion"/>
  </si>
  <si>
    <t>事假</t>
    <phoneticPr fontId="18" type="noConversion"/>
  </si>
  <si>
    <t>my</t>
  </si>
  <si>
    <t>3.請假以半小時為單位</t>
    <phoneticPr fontId="18" type="noConversion"/>
  </si>
  <si>
    <t>（1）全勤獎金 $1000</t>
  </si>
  <si>
    <t>（4）特休假超過1日部分，才計入計算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</si>
  <si>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</si>
  <si>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</si>
  <si>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t>（2）請假半日內 (一次) $ 800</t>
    <phoneticPr fontId="18" type="noConversion"/>
  </si>
  <si>
    <t>（3）請假 1日內 (一次)$ 500</t>
    <phoneticPr fontId="18" type="noConversion"/>
  </si>
  <si>
    <t>NICK</t>
  </si>
  <si>
    <t>nick</t>
  </si>
  <si>
    <t>jason</t>
  </si>
  <si>
    <t>yvonne</t>
  </si>
  <si>
    <t>特休剩餘</t>
    <phoneticPr fontId="18" type="noConversion"/>
  </si>
  <si>
    <t>小時</t>
    <phoneticPr fontId="18" type="noConversion"/>
  </si>
  <si>
    <t>全勤獎金</t>
    <phoneticPr fontId="18" type="noConversion"/>
  </si>
  <si>
    <t>JUSTIN</t>
  </si>
  <si>
    <t>MY</t>
  </si>
  <si>
    <t>anne</t>
  </si>
  <si>
    <t>特休</t>
    <phoneticPr fontId="18" type="noConversion"/>
  </si>
  <si>
    <t>出勤時數1</t>
    <phoneticPr fontId="18" type="noConversion"/>
  </si>
  <si>
    <t>出勤時數2</t>
  </si>
  <si>
    <t>加班申請</t>
    <phoneticPr fontId="18" type="noConversion"/>
  </si>
  <si>
    <t>(1)打卡時數</t>
    <phoneticPr fontId="18" type="noConversion"/>
  </si>
  <si>
    <t>(2)加班申請</t>
    <phoneticPr fontId="18" type="noConversion"/>
  </si>
  <si>
    <t>JASON</t>
  </si>
  <si>
    <t>owen</t>
  </si>
  <si>
    <t>willy</t>
  </si>
  <si>
    <t>wilson</t>
  </si>
  <si>
    <t>Wilson</t>
  </si>
  <si>
    <t>AMBER</t>
  </si>
  <si>
    <t>RUBY</t>
  </si>
  <si>
    <t>WILSON</t>
  </si>
  <si>
    <t>leo</t>
  </si>
  <si>
    <t>LEO</t>
  </si>
  <si>
    <t>denver</t>
    <phoneticPr fontId="18" type="noConversion"/>
  </si>
  <si>
    <t>1.34時薪</t>
    <phoneticPr fontId="18" type="noConversion"/>
  </si>
  <si>
    <t>1.67時薪</t>
    <phoneticPr fontId="18" type="noConversion"/>
  </si>
  <si>
    <t>&gt;8hr出勤時數</t>
    <phoneticPr fontId="18" type="noConversion"/>
  </si>
  <si>
    <t>出勤時數2</t>
    <phoneticPr fontId="18" type="noConversion"/>
  </si>
  <si>
    <t>1.34時薪</t>
    <phoneticPr fontId="18" type="noConversion"/>
  </si>
  <si>
    <t>&gt;10hr出勤時數</t>
    <phoneticPr fontId="18" type="noConversion"/>
  </si>
  <si>
    <t>交通費100</t>
    <phoneticPr fontId="18" type="noConversion"/>
  </si>
  <si>
    <t>交通費100(已領)</t>
    <phoneticPr fontId="18" type="noConversion"/>
  </si>
  <si>
    <t>ALBERT</t>
  </si>
  <si>
    <t>an</t>
  </si>
  <si>
    <t>AN</t>
  </si>
  <si>
    <t>kevin</t>
  </si>
  <si>
    <t>KEVIN</t>
  </si>
  <si>
    <t>Leo</t>
  </si>
  <si>
    <t>事假</t>
    <phoneticPr fontId="18" type="noConversion"/>
  </si>
  <si>
    <t>danny</t>
  </si>
  <si>
    <t>jessie</t>
  </si>
  <si>
    <t>Lorah</t>
  </si>
  <si>
    <t>-</t>
  </si>
  <si>
    <t>（4）特休假超過1日(1次)部分，才計入計算</t>
    <phoneticPr fontId="18" type="noConversion"/>
  </si>
  <si>
    <r>
      <t>7</t>
    </r>
    <r>
      <rPr>
        <sz val="12"/>
        <color rgb="FF111AD3"/>
        <rFont val="新細明體"/>
        <family val="1"/>
        <charset val="136"/>
        <scheme val="minor"/>
      </rPr>
      <t>0元/hr</t>
    </r>
    <phoneticPr fontId="18" type="noConversion"/>
  </si>
  <si>
    <t>獎金</t>
    <phoneticPr fontId="18" type="noConversion"/>
  </si>
  <si>
    <t>Amber</t>
  </si>
  <si>
    <t>wj</t>
  </si>
  <si>
    <t>WJ</t>
  </si>
  <si>
    <t>事假</t>
    <phoneticPr fontId="18" type="noConversion"/>
  </si>
  <si>
    <t>scott</t>
  </si>
  <si>
    <t>SCOTT</t>
  </si>
  <si>
    <r>
      <rPr>
        <sz val="12"/>
        <color theme="1"/>
        <rFont val="微軟正黑體"/>
        <family val="2"/>
        <charset val="136"/>
      </rPr>
      <t>上班</t>
    </r>
  </si>
  <si>
    <r>
      <rPr>
        <sz val="12"/>
        <color theme="1"/>
        <rFont val="微軟正黑體"/>
        <family val="2"/>
        <charset val="136"/>
      </rPr>
      <t>下班</t>
    </r>
  </si>
  <si>
    <r>
      <rPr>
        <sz val="12"/>
        <color theme="1"/>
        <rFont val="微軟正黑體"/>
        <family val="2"/>
        <charset val="136"/>
      </rPr>
      <t>加班</t>
    </r>
  </si>
  <si>
    <r>
      <rPr>
        <sz val="12"/>
        <color theme="1"/>
        <rFont val="微軟正黑體"/>
        <family val="2"/>
        <charset val="136"/>
      </rPr>
      <t>加班結束</t>
    </r>
  </si>
  <si>
    <r>
      <rPr>
        <sz val="12"/>
        <color rgb="FFFF0000"/>
        <rFont val="微軟正黑體"/>
        <family val="2"/>
        <charset val="136"/>
      </rPr>
      <t>下班</t>
    </r>
  </si>
  <si>
    <r>
      <rPr>
        <sz val="12"/>
        <color rgb="FF111AD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</si>
  <si>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下班</t>
    </r>
  </si>
  <si>
    <t>Danny</t>
  </si>
  <si>
    <t>DANNy</t>
  </si>
  <si>
    <t>dAnNy</t>
  </si>
  <si>
    <t>4. 2017-0201 起新設全勤獎金如下</t>
    <phoneticPr fontId="18" type="noConversion"/>
  </si>
  <si>
    <t>（5）晚到不超過9:00 且當日做滿8HR 不計請假 ，超過9:00應請假</t>
    <phoneticPr fontId="18" type="noConversion"/>
  </si>
  <si>
    <r>
      <rPr>
        <sz val="12"/>
        <color theme="5" tint="-0.249977111117893"/>
        <rFont val="微軟正黑體"/>
        <family val="2"/>
        <charset val="136"/>
      </rPr>
      <t>下班</t>
    </r>
  </si>
  <si>
    <r>
      <rPr>
        <sz val="12"/>
        <color theme="5" tint="-0.249977111117893"/>
        <rFont val="微軟正黑體"/>
        <family val="2"/>
        <charset val="136"/>
      </rPr>
      <t>加班</t>
    </r>
  </si>
  <si>
    <r>
      <rPr>
        <sz val="12"/>
        <color theme="5" tint="-0.249977111117893"/>
        <rFont val="微軟正黑體"/>
        <family val="2"/>
        <charset val="136"/>
      </rPr>
      <t>加班結束</t>
    </r>
  </si>
  <si>
    <t>特休</t>
    <phoneticPr fontId="18" type="noConversion"/>
  </si>
  <si>
    <r>
      <rPr>
        <sz val="12"/>
        <color rgb="FFFF0000"/>
        <rFont val="微軟正黑體"/>
        <family val="2"/>
        <charset val="136"/>
      </rPr>
      <t>上班</t>
    </r>
  </si>
  <si>
    <t xml:space="preserve"> </t>
    <phoneticPr fontId="18" type="noConversion"/>
  </si>
  <si>
    <t>jw</t>
  </si>
  <si>
    <t>Kevin</t>
  </si>
  <si>
    <t>lisa</t>
  </si>
  <si>
    <t>LISA</t>
  </si>
  <si>
    <r>
      <rPr>
        <sz val="12"/>
        <color theme="7" tint="-0.249977111117893"/>
        <rFont val="微軟正黑體"/>
        <family val="2"/>
        <charset val="136"/>
      </rPr>
      <t>上班</t>
    </r>
  </si>
  <si>
    <r>
      <rPr>
        <sz val="12"/>
        <color rgb="FF111AD3"/>
        <rFont val="微軟正黑體"/>
        <family val="2"/>
        <charset val="136"/>
      </rPr>
      <t>加班結束</t>
    </r>
  </si>
  <si>
    <t>JESSIE</t>
  </si>
  <si>
    <t>Jessie</t>
  </si>
  <si>
    <r>
      <rPr>
        <sz val="12"/>
        <color theme="1"/>
        <rFont val="微軟正黑體"/>
        <family val="2"/>
        <charset val="136"/>
      </rPr>
      <t>公出返回</t>
    </r>
  </si>
  <si>
    <t>NICk</t>
  </si>
  <si>
    <r>
      <rPr>
        <sz val="12"/>
        <color rgb="FFFF0000"/>
        <rFont val="微軟正黑體"/>
        <family val="2"/>
        <charset val="136"/>
      </rPr>
      <t>加班結束</t>
    </r>
  </si>
  <si>
    <t>WILLY</t>
  </si>
  <si>
    <t xml:space="preserve"> </t>
    <phoneticPr fontId="18" type="noConversion"/>
  </si>
  <si>
    <t>特休</t>
    <phoneticPr fontId="18" type="noConversion"/>
  </si>
  <si>
    <t>雙十節</t>
    <phoneticPr fontId="18" type="noConversion"/>
  </si>
  <si>
    <t>備註</t>
    <phoneticPr fontId="18" type="noConversion"/>
  </si>
  <si>
    <r>
      <rPr>
        <sz val="12"/>
        <rFont val="微軟正黑體"/>
        <family val="2"/>
        <charset val="136"/>
      </rPr>
      <t>下班</t>
    </r>
  </si>
  <si>
    <t>特休??</t>
    <phoneticPr fontId="18" type="noConversion"/>
  </si>
  <si>
    <t>病假</t>
    <phoneticPr fontId="18" type="noConversion"/>
  </si>
  <si>
    <t>公出</t>
    <phoneticPr fontId="18" type="noConversion"/>
  </si>
  <si>
    <t>新竹</t>
    <phoneticPr fontId="18" type="noConversion"/>
  </si>
  <si>
    <t>假日加班</t>
    <phoneticPr fontId="18" type="noConversion"/>
  </si>
  <si>
    <t>忘記打，桌球活動</t>
    <phoneticPr fontId="18" type="noConversion"/>
  </si>
  <si>
    <t>$250/hr</t>
    <phoneticPr fontId="18" type="noConversion"/>
  </si>
  <si>
    <t>事假</t>
    <phoneticPr fontId="18" type="noConversion"/>
  </si>
  <si>
    <t>Project</t>
    <phoneticPr fontId="18" type="noConversion"/>
  </si>
  <si>
    <t>Attendance Records</t>
    <phoneticPr fontId="18" type="noConversion"/>
  </si>
  <si>
    <t>Current version</t>
    <phoneticPr fontId="18" type="noConversion"/>
  </si>
  <si>
    <t>2.3.0</t>
    <phoneticPr fontId="18" type="noConversion"/>
  </si>
  <si>
    <t xml:space="preserve"> </t>
  </si>
  <si>
    <r>
      <rPr>
        <sz val="12"/>
        <color theme="1"/>
        <rFont val="微軟正黑體"/>
        <family val="2"/>
        <charset val="136"/>
      </rPr>
      <t>平日工時從</t>
    </r>
    <r>
      <rPr>
        <sz val="12"/>
        <color theme="1"/>
        <rFont val="Calibri"/>
        <family val="2"/>
      </rPr>
      <t xml:space="preserve"> 6:30 </t>
    </r>
    <r>
      <rPr>
        <sz val="12"/>
        <color theme="1"/>
        <rFont val="微軟正黑體"/>
        <family val="2"/>
        <charset val="136"/>
      </rPr>
      <t>之後才算加班</t>
    </r>
    <phoneticPr fontId="18" type="noConversion"/>
  </si>
  <si>
    <t>2.2.1</t>
    <phoneticPr fontId="18" type="noConversion"/>
  </si>
  <si>
    <t>2.1.1</t>
    <phoneticPr fontId="18" type="noConversion"/>
  </si>
  <si>
    <r>
      <rPr>
        <sz val="12"/>
        <color theme="1"/>
        <rFont val="微軟正黑體"/>
        <family val="2"/>
        <charset val="136"/>
      </rPr>
      <t>修正格式錯誤</t>
    </r>
    <r>
      <rPr>
        <sz val="12"/>
        <color theme="1"/>
        <rFont val="Calibri"/>
        <family val="2"/>
      </rPr>
      <t>(</t>
    </r>
    <r>
      <rPr>
        <sz val="12"/>
        <color theme="1"/>
        <rFont val="微軟正黑體"/>
        <family val="2"/>
        <charset val="136"/>
      </rPr>
      <t>週</t>
    </r>
    <r>
      <rPr>
        <sz val="12"/>
        <color theme="1"/>
        <rFont val="Calibri"/>
        <family val="2"/>
      </rPr>
      <t>)</t>
    </r>
    <phoneticPr fontId="18" type="noConversion"/>
  </si>
  <si>
    <t>2.1.0</t>
    <phoneticPr fontId="18" type="noConversion"/>
  </si>
  <si>
    <r>
      <t xml:space="preserve">Output </t>
    </r>
    <r>
      <rPr>
        <sz val="12"/>
        <color theme="1"/>
        <rFont val="微軟正黑體"/>
        <family val="2"/>
        <charset val="136"/>
      </rPr>
      <t>顏色同步</t>
    </r>
    <r>
      <rPr>
        <sz val="12"/>
        <color theme="1"/>
        <rFont val="Calibri"/>
        <family val="2"/>
      </rPr>
      <t xml:space="preserve"> Input</t>
    </r>
    <phoneticPr fontId="18" type="noConversion"/>
  </si>
  <si>
    <t>2.0.0</t>
    <phoneticPr fontId="18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</si>
  <si>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18" type="noConversion"/>
  </si>
  <si>
    <r>
      <rPr>
        <sz val="12"/>
        <color theme="1"/>
        <rFont val="微軟正黑體"/>
        <family val="2"/>
        <charset val="136"/>
      </rPr>
      <t>星期幾</t>
    </r>
    <phoneticPr fontId="18" type="noConversion"/>
  </si>
  <si>
    <r>
      <rPr>
        <sz val="12"/>
        <color theme="1"/>
        <rFont val="微軟正黑體"/>
        <family val="2"/>
        <charset val="136"/>
      </rPr>
      <t>時間</t>
    </r>
    <phoneticPr fontId="18" type="noConversion"/>
  </si>
  <si>
    <r>
      <rPr>
        <sz val="12"/>
        <color theme="1"/>
        <rFont val="微軟正黑體"/>
        <family val="2"/>
        <charset val="136"/>
      </rPr>
      <t>打卡上班時數</t>
    </r>
    <phoneticPr fontId="18" type="noConversion"/>
  </si>
  <si>
    <r>
      <rPr>
        <sz val="12"/>
        <color theme="1"/>
        <rFont val="微軟正黑體"/>
        <family val="2"/>
        <charset val="136"/>
      </rPr>
      <t>出勤時數</t>
    </r>
    <phoneticPr fontId="18" type="noConversion"/>
  </si>
  <si>
    <r>
      <rPr>
        <sz val="12"/>
        <color theme="1"/>
        <rFont val="微軟正黑體"/>
        <family val="2"/>
        <charset val="136"/>
      </rPr>
      <t>請假時數</t>
    </r>
    <phoneticPr fontId="18" type="noConversion"/>
  </si>
  <si>
    <r>
      <rPr>
        <sz val="12"/>
        <color theme="1"/>
        <rFont val="微軟正黑體"/>
        <family val="2"/>
        <charset val="136"/>
      </rPr>
      <t>加班時數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</si>
  <si>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1.0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</si>
  <si>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1.34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</si>
  <si>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r>
      <rPr>
        <sz val="12"/>
        <color theme="1"/>
        <rFont val="微軟正黑體"/>
        <family val="2"/>
        <charset val="136"/>
      </rPr>
      <t>加班</t>
    </r>
    <r>
      <rPr>
        <sz val="12"/>
        <color theme="1"/>
        <rFont val="Calibri"/>
        <family val="2"/>
      </rPr>
      <t xml:space="preserve"> 1.67 </t>
    </r>
    <r>
      <rPr>
        <sz val="12"/>
        <color theme="1"/>
        <rFont val="微軟正黑體"/>
        <family val="2"/>
        <charset val="136"/>
      </rPr>
      <t>時薪</t>
    </r>
    <phoneticPr fontId="18" type="noConversion"/>
  </si>
  <si>
    <t>input check</t>
    <phoneticPr fontId="18" type="noConversion"/>
  </si>
  <si>
    <t>2.4.0</t>
    <phoneticPr fontId="18" type="noConversion"/>
  </si>
  <si>
    <r>
      <rPr>
        <sz val="12"/>
        <color theme="1"/>
        <rFont val="微軟正黑體"/>
        <family val="2"/>
        <charset val="136"/>
      </rPr>
      <t>更新個人工作表</t>
    </r>
    <phoneticPr fontId="18" type="noConversion"/>
  </si>
  <si>
    <r>
      <rPr>
        <sz val="12"/>
        <color theme="1"/>
        <rFont val="微軟正黑體"/>
        <family val="2"/>
        <charset val="136"/>
      </rPr>
      <t>公出不會報錯</t>
    </r>
    <phoneticPr fontId="18" type="noConversion"/>
  </si>
  <si>
    <r>
      <rPr>
        <sz val="12"/>
        <color theme="1"/>
        <rFont val="微軟正黑體"/>
        <family val="2"/>
        <charset val="136"/>
      </rPr>
      <t>四捨五入到小數點三位</t>
    </r>
    <phoneticPr fontId="18" type="noConversion"/>
  </si>
  <si>
    <r>
      <rPr>
        <sz val="12"/>
        <color theme="1"/>
        <rFont val="微軟正黑體"/>
        <family val="2"/>
        <charset val="136"/>
      </rPr>
      <t>公出</t>
    </r>
  </si>
  <si>
    <t>2.4.1</t>
    <phoneticPr fontId="18" type="noConversion"/>
  </si>
  <si>
    <r>
      <rPr>
        <sz val="12"/>
        <color theme="1"/>
        <rFont val="微軟正黑體"/>
        <family val="2"/>
        <charset val="136"/>
      </rPr>
      <t>更新公出不會處理，需要先移出提示訊息。</t>
    </r>
    <phoneticPr fontId="18" type="noConversion"/>
  </si>
  <si>
    <t>2.5.0</t>
  </si>
  <si>
    <t>2.6.0</t>
    <phoneticPr fontId="18" type="noConversion"/>
  </si>
  <si>
    <r>
      <rPr>
        <sz val="12"/>
        <color theme="1"/>
        <rFont val="微軟正黑體"/>
        <family val="2"/>
        <charset val="136"/>
      </rPr>
      <t>忽略公出、公出返回，現在不用移出。</t>
    </r>
    <phoneticPr fontId="18" type="noConversion"/>
  </si>
  <si>
    <r>
      <rPr>
        <sz val="12"/>
        <color theme="1"/>
        <rFont val="微軟正黑體"/>
        <family val="2"/>
        <charset val="136"/>
      </rPr>
      <t>錯誤資訊一次提示</t>
    </r>
    <phoneticPr fontId="18" type="noConversion"/>
  </si>
  <si>
    <r>
      <rPr>
        <sz val="12"/>
        <color theme="1"/>
        <rFont val="微軟正黑體"/>
        <family val="2"/>
        <charset val="136"/>
      </rPr>
      <t>版本修正</t>
    </r>
  </si>
  <si>
    <t>3.0.0</t>
    <phoneticPr fontId="18" type="noConversion"/>
  </si>
  <si>
    <t>5f275aed5391c1000710d082</t>
  </si>
  <si>
    <t>E0024</t>
  </si>
  <si>
    <t>PAUL</t>
  </si>
  <si>
    <t>2020/08/03 08:31:39</t>
  </si>
  <si>
    <t>5f27e2195391c1000710d0bc</t>
  </si>
  <si>
    <t>2020/08/03 18:08:26</t>
  </si>
  <si>
    <t>5f28ae9b949ceb00070ef5a3</t>
  </si>
  <si>
    <t>2020/08/04 08:40:58</t>
  </si>
  <si>
    <t>5f2935c5949ceb00070ef5e1</t>
  </si>
  <si>
    <t>2020/08/04 18:17:41</t>
  </si>
  <si>
    <t>5f29fd83949ceb00070ef65a</t>
  </si>
  <si>
    <t>2020/08/05 08:29:55</t>
  </si>
  <si>
    <t>5f2a838b949ceb00070ef687</t>
  </si>
  <si>
    <t>2020/08/05 18:01:48</t>
  </si>
  <si>
    <t>5f2a8d34949ceb00070ef6fb</t>
  </si>
  <si>
    <t>2020/08/05 18:43:01</t>
  </si>
  <si>
    <t>5f2a9c6e949ceb00070ef724</t>
  </si>
  <si>
    <t>2020/08/05 19:48:00</t>
  </si>
  <si>
    <t>5f2b5169949ceb00070ef748</t>
  </si>
  <si>
    <t>2020/08/06 08:40:09</t>
  </si>
  <si>
    <t>5f2bd765949ceb00070ef7a8</t>
  </si>
  <si>
    <t>2020/08/06 18:11:48</t>
  </si>
  <si>
    <t>5f2ca296949ceb00070ef814</t>
  </si>
  <si>
    <t>2020/08/07 08:38:46</t>
  </si>
  <si>
    <t>5f2d2ad4949ceb00070ef867</t>
  </si>
  <si>
    <t>2020/08/07 18:20:04</t>
  </si>
  <si>
    <t>5f2d2d28949ceb00070ef882</t>
  </si>
  <si>
    <t>2020/08/07 18:30:00</t>
  </si>
  <si>
    <t>5f2d3471949ceb00070ef8a9</t>
  </si>
  <si>
    <t>2020/08/07 19:01:05</t>
  </si>
  <si>
    <t>5f309729949ceb00070ef8e6</t>
  </si>
  <si>
    <t>2020/08/10 08:39:05</t>
  </si>
  <si>
    <t>5f312192949ceb00070efa71</t>
  </si>
  <si>
    <t>2020/08/10 18:29:40</t>
  </si>
  <si>
    <t>5f312198949ceb00070efa72</t>
  </si>
  <si>
    <t>2020/08/10 18:29:47</t>
  </si>
  <si>
    <t>5f312885949ceb00070efa97</t>
  </si>
  <si>
    <t>2020/08/10 18:59:20</t>
  </si>
  <si>
    <t>5f31e8f0949ceb00070efacd</t>
  </si>
  <si>
    <t>2020/08/11 08:40:16</t>
  </si>
  <si>
    <t>5f325c509d51040007295369</t>
  </si>
  <si>
    <t>2020/08/11 16:52:32</t>
  </si>
  <si>
    <t>5f3337e69d510400072953f6</t>
  </si>
  <si>
    <t>2020/08/12 08:29:25</t>
  </si>
  <si>
    <t>5f33bf719d51040007295448</t>
  </si>
  <si>
    <t>2020/08/12 18:07:45</t>
  </si>
  <si>
    <t>5f33c6239d5104000729548d</t>
  </si>
  <si>
    <t>2020/08/12 18:36:19</t>
  </si>
  <si>
    <t>5f33cbfe9d510400072954a2</t>
  </si>
  <si>
    <t>2020/08/12 19:01:18</t>
  </si>
  <si>
    <t>5f3489d59d510400072954ed</t>
  </si>
  <si>
    <t>2020/08/13 08:31:17</t>
  </si>
  <si>
    <t>5f350fc29d51040007295524</t>
  </si>
  <si>
    <t>2020/08/13 18:02:42</t>
  </si>
  <si>
    <t>5f35dd889d510400072955b2</t>
  </si>
  <si>
    <t>2020/08/14 08:40:40</t>
  </si>
  <si>
    <t>5f36636b9d510400072955d5</t>
  </si>
  <si>
    <t>2020/08/14 18:11:55</t>
  </si>
  <si>
    <t>5f36716b9d51040007295618</t>
  </si>
  <si>
    <t>2020/08/14 19:11:40</t>
  </si>
  <si>
    <t>5f36807d0bf9140007d60127</t>
  </si>
  <si>
    <t>2020/08/14 20:15:57</t>
  </si>
  <si>
    <t>_id</t>
  </si>
  <si>
    <t>userId</t>
  </si>
  <si>
    <t>userName</t>
  </si>
  <si>
    <t>type</t>
  </si>
  <si>
    <t>date</t>
  </si>
  <si>
    <r>
      <rPr>
        <sz val="12"/>
        <color theme="1"/>
        <rFont val="微軟正黑體"/>
        <family val="2"/>
        <charset val="136"/>
      </rPr>
      <t>改變格式，向後不兼容。</t>
    </r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</si>
</sst>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[$-404]aaa;@"/>
    <numFmt numFmtId="177" formatCode="0.00_);[Red]\(0.00\)"/>
    <numFmt numFmtId="178" formatCode="[=0]&quot;-&quot;;0.00"/>
    <numFmt numFmtId="179" formatCode="0.0_ "/>
    <numFmt numFmtId="180" formatCode="[=0]&quot;-&quot;;0.0"/>
    <numFmt numFmtId="181" formatCode="0.0%"/>
    <numFmt numFmtId="182" formatCode="0.00_ "/>
    <numFmt numFmtId="183" formatCode="0.0"/>
    <numFmt numFmtId="184" formatCode="0.000"/>
    <numFmt numFmtId="185" formatCode="yyyy/m/d;@"/>
    <numFmt numFmtId="186" formatCode="0.000_);[Red]\(0.000\)"/>
    <numFmt numFmtId="187" formatCode="h:mm;@"/>
    <numFmt numFmtId="189" formatCode="yyyy/m/d\ h:mm;@"/>
  </numFmts>
  <fonts count="93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name val="新細明體"/>
      <family val="2"/>
      <charset val="136"/>
      <scheme val="minor"/>
    </font>
    <font>
      <sz val="20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111AD3"/>
      <name val="新細明體"/>
      <family val="2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20"/>
      <name val="新細明體"/>
      <family val="2"/>
      <charset val="136"/>
      <scheme val="minor"/>
    </font>
    <font>
      <sz val="20"/>
      <color rgb="FF111AD3"/>
      <name val="新細明體"/>
      <family val="2"/>
      <charset val="136"/>
      <scheme val="minor"/>
    </font>
    <font>
      <b/>
      <sz val="20"/>
      <color rgb="FF111AD3"/>
      <name val="新細明體"/>
      <family val="2"/>
      <charset val="136"/>
      <scheme val="minor"/>
    </font>
    <font>
      <sz val="20"/>
      <color rgb="FF111AD3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2"/>
      <charset val="136"/>
      <scheme val="minor"/>
    </font>
    <font>
      <sz val="12"/>
      <color rgb="FF111AD3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111AD3"/>
      <name val="新細明體"/>
      <family val="1"/>
      <charset val="136"/>
      <scheme val="minor"/>
    </font>
    <font>
      <sz val="12"/>
      <color rgb="FF111AD3"/>
      <name val="新細明體"/>
      <family val="2"/>
      <charset val="136"/>
    </font>
    <font>
      <sz val="12"/>
      <color theme="4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color theme="1"/>
      <name val="Calibri"/>
      <family val="2"/>
    </font>
    <font>
      <sz val="12"/>
      <color rgb="FF111AD3"/>
      <name val="Calibri"/>
      <family val="2"/>
    </font>
    <font>
      <sz val="12"/>
      <color rgb="FFFF0000"/>
      <name val="Calibri"/>
      <family val="2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name val="Calibri"/>
      <family val="2"/>
    </font>
    <font>
      <sz val="12"/>
      <color rgb="FFFF0000"/>
      <name val="微軟正黑體"/>
      <family val="2"/>
      <charset val="136"/>
    </font>
    <font>
      <sz val="12"/>
      <color rgb="FF111AD3"/>
      <name val="微軟正黑體"/>
      <family val="2"/>
      <charset val="136"/>
    </font>
    <font>
      <sz val="12"/>
      <color theme="5" tint="-0.249977111117893"/>
      <name val="Calibri"/>
      <family val="2"/>
    </font>
    <font>
      <sz val="12"/>
      <color theme="5" tint="-0.249977111117893"/>
      <name val="微軟正黑體"/>
      <family val="2"/>
      <charset val="136"/>
    </font>
    <font>
      <sz val="12"/>
      <color theme="1"/>
      <name val="Times New Roman"/>
      <family val="2"/>
      <charset val="136"/>
    </font>
    <font>
      <sz val="12"/>
      <color theme="1"/>
      <name val="細明體"/>
      <family val="3"/>
      <charset val="136"/>
    </font>
    <font>
      <sz val="12"/>
      <color theme="7" tint="-0.249977111117893"/>
      <name val="Calibri"/>
      <family val="2"/>
    </font>
    <font>
      <sz val="12"/>
      <color theme="7" tint="-0.249977111117893"/>
      <name val="微軟正黑體"/>
      <family val="2"/>
      <charset val="136"/>
    </font>
    <font>
      <sz val="12"/>
      <color rgb="FF111AD3"/>
      <name val="新細明體"/>
      <family val="1"/>
      <charset val="136"/>
    </font>
    <font>
      <sz val="12"/>
      <name val="微軟正黑體"/>
      <family val="2"/>
      <charset val="136"/>
    </font>
    <font>
      <sz val="12"/>
      <color theme="9"/>
      <name val="Calibri"/>
      <family val="2"/>
    </font>
    <font>
      <sz val="12"/>
      <color theme="9"/>
      <name val="微軟正黑體"/>
      <family val="2"/>
      <charset val="136"/>
    </font>
    <font>
      <sz val="12"/>
      <color theme="9"/>
      <name val="新細明體"/>
      <family val="1"/>
      <charset val="136"/>
      <scheme val="minor"/>
    </font>
    <font>
      <sz val="12"/>
      <color theme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新細明體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</borders>
  <cellStyleXfs count="5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" fillId="0" borderId="0">
      <alignment vertical="center"/>
    </xf>
    <xf numFmtId="0" fontId="80" fillId="0" borderId="0">
      <alignment vertical="center"/>
    </xf>
    <xf numFmtId="0" fontId="90" fillId="0" borderId="0" applyNumberFormat="0" applyFill="0" applyBorder="0" applyAlignment="0" applyProtection="0">
      <alignment vertical="center"/>
    </xf>
    <xf numFmtId="0" fontId="92" fillId="0" borderId="0"/>
  </cellStyleXfs>
  <cellXfs count="700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14" fillId="0" borderId="0" xfId="0" applyFont="1">
      <alignment vertical="center"/>
    </xf>
    <xf numFmtId="0" fontId="0" fillId="0" borderId="0" xfId="0" applyAlignment="1">
      <alignment horizontal="center" vertical="center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5" borderId="0" xfId="0" applyFont="1" applyFill="1" applyBorder="1" applyAlignment="1">
      <alignment horizontal="center" vertical="center"/>
    </xf>
    <xf numFmtId="0" fontId="0" fillId="34" borderId="10" xfId="0" applyFill="1" applyBorder="1" applyAlignment="1">
      <alignment horizontal="center" vertical="center"/>
    </xf>
    <xf numFmtId="0" fontId="14" fillId="35" borderId="0" xfId="0" applyFont="1" applyFill="1">
      <alignment vertical="center"/>
    </xf>
    <xf numFmtId="0" fontId="0" fillId="35" borderId="0" xfId="0" applyFill="1">
      <alignment vertical="center"/>
    </xf>
    <xf numFmtId="0" fontId="24" fillId="35" borderId="0" xfId="0" applyFont="1" applyFill="1" applyBorder="1">
      <alignment vertical="center"/>
    </xf>
    <xf numFmtId="0" fontId="24" fillId="35" borderId="0" xfId="0" applyFont="1" applyFill="1" applyBorder="1" applyAlignment="1">
      <alignment horizontal="right" vertical="center"/>
    </xf>
    <xf numFmtId="177" fontId="25" fillId="35" borderId="0" xfId="0" applyNumberFormat="1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center" vertical="center"/>
    </xf>
    <xf numFmtId="0" fontId="26" fillId="35" borderId="0" xfId="8" applyFont="1" applyFill="1" applyBorder="1" applyAlignment="1">
      <alignment horizontal="center" vertical="center"/>
    </xf>
    <xf numFmtId="0" fontId="27" fillId="34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19" fillId="35" borderId="0" xfId="0" applyFont="1" applyFill="1">
      <alignment vertical="center"/>
    </xf>
    <xf numFmtId="0" fontId="21" fillId="35" borderId="0" xfId="0" applyFont="1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7" applyFont="1" applyFill="1" applyAlignment="1">
      <alignment horizontal="center" vertical="center"/>
    </xf>
    <xf numFmtId="0" fontId="27" fillId="35" borderId="0" xfId="8" applyFont="1" applyFill="1" applyAlignment="1">
      <alignment horizontal="center" vertical="center"/>
    </xf>
    <xf numFmtId="0" fontId="0" fillId="33" borderId="12" xfId="0" applyFill="1" applyBorder="1" applyAlignment="1">
      <alignment horizontal="center" vertical="center"/>
    </xf>
    <xf numFmtId="0" fontId="0" fillId="33" borderId="15" xfId="0" applyFill="1" applyBorder="1" applyAlignment="1">
      <alignment horizontal="center" vertical="center"/>
    </xf>
    <xf numFmtId="0" fontId="27" fillId="33" borderId="16" xfId="0" applyFont="1" applyFill="1" applyBorder="1">
      <alignment vertical="center"/>
    </xf>
    <xf numFmtId="0" fontId="27" fillId="33" borderId="16" xfId="0" applyFont="1" applyFill="1" applyBorder="1" applyAlignment="1">
      <alignment horizontal="right" vertical="center"/>
    </xf>
    <xf numFmtId="0" fontId="26" fillId="35" borderId="0" xfId="0" applyFont="1" applyFill="1" applyBorder="1" applyAlignment="1">
      <alignment horizontal="center" vertical="center"/>
    </xf>
    <xf numFmtId="0" fontId="27" fillId="35" borderId="0" xfId="0" applyFont="1" applyFill="1" applyAlignment="1">
      <alignment horizontal="center" vertical="center"/>
    </xf>
    <xf numFmtId="0" fontId="0" fillId="33" borderId="13" xfId="0" applyFill="1" applyBorder="1" applyAlignment="1">
      <alignment horizontal="center" vertical="center"/>
    </xf>
    <xf numFmtId="0" fontId="0" fillId="33" borderId="16" xfId="0" applyFill="1" applyBorder="1" applyAlignment="1">
      <alignment horizontal="center" vertical="center"/>
    </xf>
    <xf numFmtId="176" fontId="27" fillId="35" borderId="11" xfId="0" applyNumberFormat="1" applyFont="1" applyFill="1" applyBorder="1">
      <alignment vertical="center"/>
    </xf>
    <xf numFmtId="22" fontId="27" fillId="35" borderId="11" xfId="0" applyNumberFormat="1" applyFont="1" applyFill="1" applyBorder="1" applyAlignment="1">
      <alignment horizontal="right" vertical="center"/>
    </xf>
    <xf numFmtId="177" fontId="27" fillId="35" borderId="11" xfId="0" applyNumberFormat="1" applyFont="1" applyFill="1" applyBorder="1" applyAlignment="1">
      <alignment horizontal="center" vertical="center"/>
    </xf>
    <xf numFmtId="2" fontId="27" fillId="35" borderId="11" xfId="8" applyNumberFormat="1" applyFont="1" applyFill="1" applyBorder="1" applyAlignment="1">
      <alignment horizontal="center" vertical="center"/>
    </xf>
    <xf numFmtId="178" fontId="27" fillId="35" borderId="11" xfId="8" applyNumberFormat="1" applyFont="1" applyFill="1" applyBorder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0" fontId="0" fillId="34" borderId="12" xfId="0" applyFill="1" applyBorder="1" applyAlignment="1">
      <alignment horizontal="center" vertical="center"/>
    </xf>
    <xf numFmtId="0" fontId="0" fillId="34" borderId="13" xfId="0" applyFill="1" applyBorder="1" applyAlignment="1">
      <alignment horizontal="center" vertical="center"/>
    </xf>
    <xf numFmtId="0" fontId="27" fillId="34" borderId="14" xfId="0" applyFont="1" applyFill="1" applyBorder="1" applyAlignment="1">
      <alignment horizontal="center" vertical="center"/>
    </xf>
    <xf numFmtId="0" fontId="0" fillId="34" borderId="18" xfId="0" applyFill="1" applyBorder="1" applyAlignment="1">
      <alignment horizontal="center" vertical="center"/>
    </xf>
    <xf numFmtId="0" fontId="27" fillId="34" borderId="19" xfId="0" applyFont="1" applyFill="1" applyBorder="1" applyAlignment="1">
      <alignment horizontal="center" vertical="center"/>
    </xf>
    <xf numFmtId="0" fontId="0" fillId="34" borderId="15" xfId="0" applyFill="1" applyBorder="1" applyAlignment="1">
      <alignment horizontal="center" vertical="center"/>
    </xf>
    <xf numFmtId="0" fontId="0" fillId="34" borderId="16" xfId="0" applyFill="1" applyBorder="1" applyAlignment="1">
      <alignment horizontal="center" vertical="center"/>
    </xf>
    <xf numFmtId="2" fontId="27" fillId="34" borderId="16" xfId="7" applyNumberFormat="1" applyFont="1" applyFill="1" applyBorder="1" applyAlignment="1">
      <alignment horizontal="center" vertical="center"/>
    </xf>
    <xf numFmtId="0" fontId="27" fillId="34" borderId="17" xfId="0" applyFont="1" applyFill="1" applyBorder="1" applyAlignment="1">
      <alignment horizontal="center" vertical="center"/>
    </xf>
    <xf numFmtId="0" fontId="24" fillId="35" borderId="0" xfId="7" applyFont="1" applyFill="1" applyBorder="1" applyAlignment="1">
      <alignment horizontal="left" vertical="center"/>
    </xf>
    <xf numFmtId="179" fontId="0" fillId="35" borderId="0" xfId="0" applyNumberFormat="1" applyFill="1">
      <alignment vertical="center"/>
    </xf>
    <xf numFmtId="0" fontId="0" fillId="35" borderId="0" xfId="0" applyFill="1" applyBorder="1">
      <alignment vertical="center"/>
    </xf>
    <xf numFmtId="179" fontId="0" fillId="0" borderId="0" xfId="0" applyNumberFormat="1">
      <alignment vertical="center"/>
    </xf>
    <xf numFmtId="0" fontId="19" fillId="33" borderId="17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2" fontId="19" fillId="33" borderId="16" xfId="7" applyNumberFormat="1" applyFont="1" applyFill="1" applyBorder="1" applyAlignment="1">
      <alignment horizontal="center" vertical="center"/>
    </xf>
    <xf numFmtId="2" fontId="19" fillId="33" borderId="16" xfId="8" applyNumberFormat="1" applyFont="1" applyFill="1" applyBorder="1" applyAlignment="1">
      <alignment horizontal="center" vertical="center"/>
    </xf>
    <xf numFmtId="2" fontId="22" fillId="33" borderId="16" xfId="7" applyNumberFormat="1" applyFont="1" applyFill="1" applyBorder="1" applyAlignment="1">
      <alignment horizontal="center" vertical="center"/>
    </xf>
    <xf numFmtId="0" fontId="0" fillId="35" borderId="0" xfId="0" applyFill="1" applyAlignment="1">
      <alignment horizontal="center" vertical="center"/>
    </xf>
    <xf numFmtId="180" fontId="27" fillId="35" borderId="0" xfId="8" applyNumberFormat="1" applyFont="1" applyFill="1" applyAlignment="1">
      <alignment horizontal="center" vertical="center"/>
    </xf>
    <xf numFmtId="181" fontId="0" fillId="35" borderId="0" xfId="42" applyNumberFormat="1" applyFont="1" applyFill="1">
      <alignment vertical="center"/>
    </xf>
    <xf numFmtId="2" fontId="27" fillId="35" borderId="11" xfId="0" applyNumberFormat="1" applyFont="1" applyFill="1" applyBorder="1" applyAlignment="1">
      <alignment horizontal="center" vertical="center"/>
    </xf>
    <xf numFmtId="2" fontId="27" fillId="35" borderId="0" xfId="8" applyNumberFormat="1" applyFont="1" applyFill="1" applyAlignment="1">
      <alignment horizontal="center" vertical="center"/>
    </xf>
    <xf numFmtId="2" fontId="0" fillId="35" borderId="0" xfId="0" applyNumberFormat="1" applyFill="1" applyAlignment="1">
      <alignment horizontal="center" vertical="center"/>
    </xf>
    <xf numFmtId="2" fontId="0" fillId="35" borderId="0" xfId="0" applyNumberFormat="1" applyFill="1">
      <alignment vertical="center"/>
    </xf>
    <xf numFmtId="2" fontId="0" fillId="0" borderId="0" xfId="0" applyNumberFormat="1">
      <alignment vertical="center"/>
    </xf>
    <xf numFmtId="0" fontId="19" fillId="0" borderId="0" xfId="0" applyFont="1">
      <alignment vertical="center"/>
    </xf>
    <xf numFmtId="177" fontId="19" fillId="35" borderId="11" xfId="0" applyNumberFormat="1" applyFont="1" applyFill="1" applyBorder="1" applyAlignment="1">
      <alignment horizontal="center" vertical="center"/>
    </xf>
    <xf numFmtId="178" fontId="19" fillId="35" borderId="11" xfId="8" applyNumberFormat="1" applyFont="1" applyFill="1" applyBorder="1" applyAlignment="1">
      <alignment horizontal="center" vertical="center"/>
    </xf>
    <xf numFmtId="2" fontId="19" fillId="35" borderId="11" xfId="0" applyNumberFormat="1" applyFont="1" applyFill="1" applyBorder="1" applyAlignment="1">
      <alignment horizontal="center" vertical="center"/>
    </xf>
    <xf numFmtId="22" fontId="19" fillId="35" borderId="11" xfId="0" applyNumberFormat="1" applyFont="1" applyFill="1" applyBorder="1" applyAlignment="1">
      <alignment horizontal="right" vertical="center"/>
    </xf>
    <xf numFmtId="2" fontId="19" fillId="35" borderId="11" xfId="8" applyNumberFormat="1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center" vertical="center"/>
    </xf>
    <xf numFmtId="0" fontId="23" fillId="34" borderId="13" xfId="0" applyFont="1" applyFill="1" applyBorder="1" applyAlignment="1">
      <alignment horizontal="right" vertical="center"/>
    </xf>
    <xf numFmtId="2" fontId="23" fillId="34" borderId="13" xfId="0" applyNumberFormat="1" applyFont="1" applyFill="1" applyBorder="1" applyAlignment="1">
      <alignment horizontal="center" vertical="center"/>
    </xf>
    <xf numFmtId="0" fontId="23" fillId="34" borderId="10" xfId="0" applyFont="1" applyFill="1" applyBorder="1" applyAlignment="1">
      <alignment horizontal="right" vertical="center"/>
    </xf>
    <xf numFmtId="2" fontId="23" fillId="34" borderId="10" xfId="0" applyNumberFormat="1" applyFont="1" applyFill="1" applyBorder="1" applyAlignment="1">
      <alignment horizontal="center" vertical="center"/>
    </xf>
    <xf numFmtId="0" fontId="23" fillId="34" borderId="15" xfId="0" applyFont="1" applyFill="1" applyBorder="1" applyAlignment="1">
      <alignment horizontal="center" vertical="center"/>
    </xf>
    <xf numFmtId="0" fontId="23" fillId="34" borderId="16" xfId="0" applyFont="1" applyFill="1" applyBorder="1" applyAlignment="1">
      <alignment horizontal="center" vertical="center"/>
    </xf>
    <xf numFmtId="0" fontId="23" fillId="34" borderId="16" xfId="0" applyFont="1" applyFill="1" applyBorder="1">
      <alignment vertical="center"/>
    </xf>
    <xf numFmtId="0" fontId="23" fillId="34" borderId="16" xfId="0" applyFont="1" applyFill="1" applyBorder="1" applyAlignment="1">
      <alignment horizontal="right" vertical="center"/>
    </xf>
    <xf numFmtId="2" fontId="23" fillId="34" borderId="16" xfId="7" applyNumberFormat="1" applyFont="1" applyFill="1" applyBorder="1" applyAlignment="1">
      <alignment horizontal="center" vertical="center"/>
    </xf>
    <xf numFmtId="0" fontId="23" fillId="33" borderId="13" xfId="0" applyFont="1" applyFill="1" applyBorder="1">
      <alignment vertical="center"/>
    </xf>
    <xf numFmtId="0" fontId="23" fillId="33" borderId="13" xfId="0" applyFont="1" applyFill="1" applyBorder="1" applyAlignment="1">
      <alignment horizontal="right" vertical="center"/>
    </xf>
    <xf numFmtId="0" fontId="23" fillId="33" borderId="13" xfId="7" applyFont="1" applyFill="1" applyBorder="1" applyAlignment="1">
      <alignment horizontal="center" vertical="center"/>
    </xf>
    <xf numFmtId="0" fontId="23" fillId="33" borderId="13" xfId="8" applyFont="1" applyFill="1" applyBorder="1" applyAlignment="1">
      <alignment horizontal="center" vertical="center"/>
    </xf>
    <xf numFmtId="0" fontId="23" fillId="33" borderId="13" xfId="0" applyFont="1" applyFill="1" applyBorder="1" applyAlignment="1">
      <alignment horizontal="center" vertical="center"/>
    </xf>
    <xf numFmtId="177" fontId="23" fillId="33" borderId="13" xfId="0" applyNumberFormat="1" applyFont="1" applyFill="1" applyBorder="1" applyAlignment="1">
      <alignment horizontal="center" vertical="center"/>
    </xf>
    <xf numFmtId="0" fontId="23" fillId="33" borderId="14" xfId="0" applyFont="1" applyFill="1" applyBorder="1" applyAlignment="1">
      <alignment horizontal="center" vertical="center"/>
    </xf>
    <xf numFmtId="0" fontId="19" fillId="34" borderId="10" xfId="0" applyFont="1" applyFill="1" applyBorder="1" applyAlignment="1">
      <alignment horizontal="center" vertical="center"/>
    </xf>
    <xf numFmtId="0" fontId="19" fillId="34" borderId="18" xfId="0" applyFont="1" applyFill="1" applyBorder="1" applyAlignment="1">
      <alignment horizontal="center" vertical="center"/>
    </xf>
    <xf numFmtId="2" fontId="23" fillId="33" borderId="16" xfId="7" applyNumberFormat="1" applyFont="1" applyFill="1" applyBorder="1" applyAlignment="1">
      <alignment horizontal="center" vertical="center"/>
    </xf>
    <xf numFmtId="176" fontId="23" fillId="35" borderId="11" xfId="0" applyNumberFormat="1" applyFont="1" applyFill="1" applyBorder="1">
      <alignment vertical="center"/>
    </xf>
    <xf numFmtId="22" fontId="23" fillId="35" borderId="11" xfId="0" applyNumberFormat="1" applyFont="1" applyFill="1" applyBorder="1" applyAlignment="1">
      <alignment horizontal="right" vertical="center"/>
    </xf>
    <xf numFmtId="177" fontId="23" fillId="35" borderId="11" xfId="0" applyNumberFormat="1" applyFont="1" applyFill="1" applyBorder="1" applyAlignment="1">
      <alignment horizontal="center" vertical="center"/>
    </xf>
    <xf numFmtId="2" fontId="23" fillId="35" borderId="11" xfId="0" applyNumberFormat="1" applyFont="1" applyFill="1" applyBorder="1" applyAlignment="1">
      <alignment horizontal="center" vertical="center"/>
    </xf>
    <xf numFmtId="2" fontId="23" fillId="35" borderId="11" xfId="8" applyNumberFormat="1" applyFont="1" applyFill="1" applyBorder="1" applyAlignment="1">
      <alignment horizontal="center" vertical="center"/>
    </xf>
    <xf numFmtId="178" fontId="23" fillId="35" borderId="11" xfId="8" applyNumberFormat="1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23" fillId="34" borderId="13" xfId="0" applyFont="1" applyFill="1" applyBorder="1">
      <alignment vertical="center"/>
    </xf>
    <xf numFmtId="177" fontId="23" fillId="34" borderId="13" xfId="0" applyNumberFormat="1" applyFont="1" applyFill="1" applyBorder="1" applyAlignment="1">
      <alignment horizontal="center" vertical="center"/>
    </xf>
    <xf numFmtId="0" fontId="23" fillId="34" borderId="14" xfId="0" applyFont="1" applyFill="1" applyBorder="1" applyAlignment="1">
      <alignment horizontal="center" vertical="center"/>
    </xf>
    <xf numFmtId="0" fontId="23" fillId="34" borderId="10" xfId="0" applyFont="1" applyFill="1" applyBorder="1">
      <alignment vertical="center"/>
    </xf>
    <xf numFmtId="0" fontId="23" fillId="34" borderId="10" xfId="0" applyFont="1" applyFill="1" applyBorder="1" applyAlignment="1">
      <alignment horizontal="center" vertical="center"/>
    </xf>
    <xf numFmtId="177" fontId="23" fillId="34" borderId="10" xfId="0" applyNumberFormat="1" applyFont="1" applyFill="1" applyBorder="1" applyAlignment="1">
      <alignment horizontal="center" vertical="center"/>
    </xf>
    <xf numFmtId="0" fontId="23" fillId="34" borderId="19" xfId="0" applyFont="1" applyFill="1" applyBorder="1" applyAlignment="1">
      <alignment horizontal="center" vertical="center"/>
    </xf>
    <xf numFmtId="0" fontId="23" fillId="34" borderId="17" xfId="0" applyFont="1" applyFill="1" applyBorder="1" applyAlignment="1">
      <alignment horizontal="center" vertical="center"/>
    </xf>
    <xf numFmtId="176" fontId="22" fillId="35" borderId="11" xfId="0" applyNumberFormat="1" applyFont="1" applyFill="1" applyBorder="1">
      <alignment vertical="center"/>
    </xf>
    <xf numFmtId="0" fontId="22" fillId="33" borderId="13" xfId="0" applyFont="1" applyFill="1" applyBorder="1">
      <alignment vertical="center"/>
    </xf>
    <xf numFmtId="0" fontId="22" fillId="33" borderId="13" xfId="0" applyFont="1" applyFill="1" applyBorder="1" applyAlignment="1">
      <alignment horizontal="right" vertical="center"/>
    </xf>
    <xf numFmtId="0" fontId="22" fillId="33" borderId="13" xfId="7" applyFont="1" applyFill="1" applyBorder="1" applyAlignment="1">
      <alignment horizontal="center" vertical="center"/>
    </xf>
    <xf numFmtId="0" fontId="22" fillId="33" borderId="13" xfId="8" applyFont="1" applyFill="1" applyBorder="1" applyAlignment="1">
      <alignment horizontal="center" vertical="center"/>
    </xf>
    <xf numFmtId="0" fontId="22" fillId="33" borderId="13" xfId="0" applyFont="1" applyFill="1" applyBorder="1" applyAlignment="1">
      <alignment horizontal="center" vertical="center"/>
    </xf>
    <xf numFmtId="177" fontId="22" fillId="33" borderId="13" xfId="0" applyNumberFormat="1" applyFont="1" applyFill="1" applyBorder="1" applyAlignment="1">
      <alignment horizontal="center" vertical="center"/>
    </xf>
    <xf numFmtId="0" fontId="22" fillId="33" borderId="14" xfId="0" applyFont="1" applyFill="1" applyBorder="1" applyAlignment="1">
      <alignment horizontal="center" vertical="center"/>
    </xf>
    <xf numFmtId="0" fontId="22" fillId="34" borderId="13" xfId="0" applyFont="1" applyFill="1" applyBorder="1">
      <alignment vertical="center"/>
    </xf>
    <xf numFmtId="0" fontId="22" fillId="34" borderId="13" xfId="0" applyFont="1" applyFill="1" applyBorder="1" applyAlignment="1">
      <alignment horizontal="right" vertical="center"/>
    </xf>
    <xf numFmtId="177" fontId="22" fillId="34" borderId="13" xfId="0" applyNumberFormat="1" applyFont="1" applyFill="1" applyBorder="1" applyAlignment="1">
      <alignment horizontal="center" vertical="center"/>
    </xf>
    <xf numFmtId="0" fontId="22" fillId="34" borderId="14" xfId="0" applyFont="1" applyFill="1" applyBorder="1" applyAlignment="1">
      <alignment horizontal="center" vertical="center"/>
    </xf>
    <xf numFmtId="0" fontId="22" fillId="34" borderId="10" xfId="0" applyFont="1" applyFill="1" applyBorder="1">
      <alignment vertical="center"/>
    </xf>
    <xf numFmtId="0" fontId="22" fillId="34" borderId="10" xfId="0" applyFont="1" applyFill="1" applyBorder="1" applyAlignment="1">
      <alignment horizontal="right" vertical="center"/>
    </xf>
    <xf numFmtId="0" fontId="22" fillId="34" borderId="10" xfId="0" applyFont="1" applyFill="1" applyBorder="1" applyAlignment="1">
      <alignment horizontal="center" vertical="center"/>
    </xf>
    <xf numFmtId="177" fontId="22" fillId="34" borderId="10" xfId="0" applyNumberFormat="1" applyFont="1" applyFill="1" applyBorder="1" applyAlignment="1">
      <alignment horizontal="center" vertical="center"/>
    </xf>
    <xf numFmtId="0" fontId="22" fillId="34" borderId="19" xfId="0" applyFont="1" applyFill="1" applyBorder="1" applyAlignment="1">
      <alignment horizontal="center" vertical="center"/>
    </xf>
    <xf numFmtId="0" fontId="22" fillId="34" borderId="16" xfId="0" applyFont="1" applyFill="1" applyBorder="1">
      <alignment vertical="center"/>
    </xf>
    <xf numFmtId="0" fontId="22" fillId="34" borderId="16" xfId="0" applyFont="1" applyFill="1" applyBorder="1" applyAlignment="1">
      <alignment horizontal="right" vertical="center"/>
    </xf>
    <xf numFmtId="0" fontId="22" fillId="34" borderId="16" xfId="0" applyFont="1" applyFill="1" applyBorder="1" applyAlignment="1">
      <alignment horizontal="center" vertical="center"/>
    </xf>
    <xf numFmtId="2" fontId="22" fillId="34" borderId="16" xfId="7" applyNumberFormat="1" applyFont="1" applyFill="1" applyBorder="1" applyAlignment="1">
      <alignment horizontal="center" vertical="center"/>
    </xf>
    <xf numFmtId="22" fontId="22" fillId="35" borderId="11" xfId="0" applyNumberFormat="1" applyFont="1" applyFill="1" applyBorder="1" applyAlignment="1">
      <alignment horizontal="right" vertical="center"/>
    </xf>
    <xf numFmtId="177" fontId="22" fillId="35" borderId="11" xfId="0" applyNumberFormat="1" applyFont="1" applyFill="1" applyBorder="1" applyAlignment="1">
      <alignment horizontal="center" vertical="center"/>
    </xf>
    <xf numFmtId="2" fontId="22" fillId="35" borderId="11" xfId="0" applyNumberFormat="1" applyFont="1" applyFill="1" applyBorder="1" applyAlignment="1">
      <alignment horizontal="center" vertical="center"/>
    </xf>
    <xf numFmtId="2" fontId="22" fillId="35" borderId="11" xfId="8" applyNumberFormat="1" applyFont="1" applyFill="1" applyBorder="1" applyAlignment="1">
      <alignment horizontal="center" vertical="center"/>
    </xf>
    <xf numFmtId="178" fontId="22" fillId="35" borderId="11" xfId="8" applyNumberFormat="1" applyFont="1" applyFill="1" applyBorder="1" applyAlignment="1">
      <alignment horizontal="center" vertical="center"/>
    </xf>
    <xf numFmtId="0" fontId="23" fillId="0" borderId="0" xfId="0" applyFont="1">
      <alignment vertical="center"/>
    </xf>
    <xf numFmtId="0" fontId="20" fillId="33" borderId="13" xfId="0" applyFont="1" applyFill="1" applyBorder="1" applyAlignment="1">
      <alignment horizontal="center" vertical="center"/>
    </xf>
    <xf numFmtId="0" fontId="20" fillId="33" borderId="13" xfId="0" applyFont="1" applyFill="1" applyBorder="1">
      <alignment vertical="center"/>
    </xf>
    <xf numFmtId="0" fontId="23" fillId="33" borderId="12" xfId="0" applyFont="1" applyFill="1" applyBorder="1" applyAlignment="1">
      <alignment horizontal="center" vertical="center"/>
    </xf>
    <xf numFmtId="0" fontId="23" fillId="34" borderId="12" xfId="0" applyFont="1" applyFill="1" applyBorder="1" applyAlignment="1">
      <alignment horizontal="center" vertical="center"/>
    </xf>
    <xf numFmtId="176" fontId="19" fillId="35" borderId="11" xfId="0" applyNumberFormat="1" applyFont="1" applyFill="1" applyBorder="1">
      <alignment vertical="center"/>
    </xf>
    <xf numFmtId="2" fontId="19" fillId="34" borderId="10" xfId="0" applyNumberFormat="1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7" fillId="0" borderId="10" xfId="0" applyFont="1" applyBorder="1">
      <alignment vertical="center"/>
    </xf>
    <xf numFmtId="2" fontId="19" fillId="34" borderId="21" xfId="0" applyNumberFormat="1" applyFont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1" xfId="0" applyBorder="1">
      <alignment vertical="center"/>
    </xf>
    <xf numFmtId="22" fontId="0" fillId="0" borderId="11" xfId="0" applyNumberFormat="1" applyBorder="1">
      <alignment vertical="center"/>
    </xf>
    <xf numFmtId="0" fontId="0" fillId="0" borderId="10" xfId="0" applyBorder="1">
      <alignment vertical="center"/>
    </xf>
    <xf numFmtId="22" fontId="0" fillId="0" borderId="10" xfId="0" applyNumberFormat="1" applyBorder="1">
      <alignment vertical="center"/>
    </xf>
    <xf numFmtId="0" fontId="29" fillId="0" borderId="0" xfId="0" applyFont="1" applyBorder="1">
      <alignment vertical="center"/>
    </xf>
    <xf numFmtId="22" fontId="27" fillId="0" borderId="10" xfId="0" applyNumberFormat="1" applyFont="1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0" fillId="0" borderId="0" xfId="0" applyFont="1" applyBorder="1">
      <alignment vertical="center"/>
    </xf>
    <xf numFmtId="0" fontId="23" fillId="35" borderId="0" xfId="0" applyFont="1" applyFill="1">
      <alignment vertical="center"/>
    </xf>
    <xf numFmtId="182" fontId="19" fillId="34" borderId="10" xfId="0" applyNumberFormat="1" applyFont="1" applyFill="1" applyBorder="1" applyAlignment="1">
      <alignment horizontal="center" vertical="center"/>
    </xf>
    <xf numFmtId="0" fontId="23" fillId="0" borderId="0" xfId="0" applyFont="1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22" fontId="0" fillId="0" borderId="11" xfId="0" applyNumberFormat="1" applyBorder="1" applyAlignment="1">
      <alignment horizontal="right" vertical="center"/>
    </xf>
    <xf numFmtId="0" fontId="0" fillId="0" borderId="10" xfId="0" applyBorder="1" applyAlignment="1">
      <alignment horizontal="center" vertical="center"/>
    </xf>
    <xf numFmtId="22" fontId="0" fillId="0" borderId="10" xfId="0" applyNumberFormat="1" applyBorder="1" applyAlignment="1">
      <alignment horizontal="right" vertical="center"/>
    </xf>
    <xf numFmtId="0" fontId="29" fillId="0" borderId="0" xfId="0" applyFont="1" applyBorder="1" applyAlignment="1">
      <alignment horizontal="center" vertical="center"/>
    </xf>
    <xf numFmtId="22" fontId="27" fillId="0" borderId="10" xfId="0" applyNumberFormat="1" applyFont="1" applyBorder="1" applyAlignment="1">
      <alignment horizontal="right" vertical="center"/>
    </xf>
    <xf numFmtId="0" fontId="27" fillId="0" borderId="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22" fontId="0" fillId="0" borderId="0" xfId="0" applyNumberFormat="1" applyBorder="1" applyAlignment="1">
      <alignment horizontal="right" vertical="center"/>
    </xf>
    <xf numFmtId="2" fontId="19" fillId="34" borderId="18" xfId="0" applyNumberFormat="1" applyFont="1" applyFill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2" fillId="3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9" fillId="0" borderId="0" xfId="0" applyFont="1" applyAlignment="1">
      <alignment horizontal="right" vertical="center"/>
    </xf>
    <xf numFmtId="177" fontId="30" fillId="35" borderId="0" xfId="0" applyNumberFormat="1" applyFont="1" applyFill="1" applyAlignment="1">
      <alignment horizontal="center" vertical="center"/>
    </xf>
    <xf numFmtId="0" fontId="19" fillId="35" borderId="0" xfId="7" applyFont="1" applyFill="1" applyAlignment="1">
      <alignment horizontal="center" vertical="center"/>
    </xf>
    <xf numFmtId="0" fontId="19" fillId="35" borderId="0" xfId="8" applyFont="1" applyFill="1" applyAlignment="1">
      <alignment horizontal="center" vertical="center"/>
    </xf>
    <xf numFmtId="0" fontId="19" fillId="35" borderId="0" xfId="0" applyFont="1" applyFill="1" applyAlignment="1">
      <alignment horizontal="center" vertical="center"/>
    </xf>
    <xf numFmtId="0" fontId="23" fillId="35" borderId="11" xfId="0" applyFont="1" applyFill="1" applyBorder="1" applyAlignment="1">
      <alignment horizontal="center" vertical="center"/>
    </xf>
    <xf numFmtId="0" fontId="20" fillId="35" borderId="0" xfId="0" applyFont="1" applyFill="1">
      <alignment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right" vertical="center"/>
    </xf>
    <xf numFmtId="177" fontId="31" fillId="35" borderId="0" xfId="0" applyNumberFormat="1" applyFont="1" applyFill="1" applyAlignment="1">
      <alignment horizontal="center" vertical="center"/>
    </xf>
    <xf numFmtId="0" fontId="23" fillId="35" borderId="0" xfId="7" applyFont="1" applyFill="1" applyAlignment="1">
      <alignment horizontal="center" vertical="center"/>
    </xf>
    <xf numFmtId="0" fontId="23" fillId="35" borderId="0" xfId="8" applyFont="1" applyFill="1" applyAlignment="1">
      <alignment horizontal="center" vertical="center"/>
    </xf>
    <xf numFmtId="0" fontId="29" fillId="0" borderId="0" xfId="0" applyFont="1" applyAlignment="1">
      <alignment horizontal="left" vertical="center"/>
    </xf>
    <xf numFmtId="0" fontId="27" fillId="0" borderId="0" xfId="0" applyFont="1" applyAlignment="1">
      <alignment horizontal="center" vertical="center"/>
    </xf>
    <xf numFmtId="22" fontId="19" fillId="0" borderId="10" xfId="0" applyNumberFormat="1" applyFont="1" applyBorder="1">
      <alignment vertical="center"/>
    </xf>
    <xf numFmtId="0" fontId="19" fillId="0" borderId="10" xfId="0" applyFont="1" applyBorder="1">
      <alignment vertical="center"/>
    </xf>
    <xf numFmtId="0" fontId="0" fillId="34" borderId="22" xfId="0" applyFill="1" applyBorder="1" applyAlignment="1">
      <alignment horizontal="center" vertical="center"/>
    </xf>
    <xf numFmtId="0" fontId="0" fillId="34" borderId="23" xfId="0" applyFill="1" applyBorder="1" applyAlignment="1">
      <alignment horizontal="center" vertical="center"/>
    </xf>
    <xf numFmtId="0" fontId="14" fillId="33" borderId="13" xfId="0" applyFont="1" applyFill="1" applyBorder="1" applyAlignment="1">
      <alignment horizontal="center" vertical="center"/>
    </xf>
    <xf numFmtId="0" fontId="14" fillId="33" borderId="16" xfId="0" applyFont="1" applyFill="1" applyBorder="1" applyAlignment="1">
      <alignment horizontal="center" vertical="center"/>
    </xf>
    <xf numFmtId="0" fontId="19" fillId="35" borderId="11" xfId="0" applyFont="1" applyFill="1" applyBorder="1" applyAlignment="1">
      <alignment horizontal="center" vertical="center"/>
    </xf>
    <xf numFmtId="0" fontId="19" fillId="0" borderId="0" xfId="0" applyFont="1" applyFill="1">
      <alignment vertical="center"/>
    </xf>
    <xf numFmtId="0" fontId="19" fillId="33" borderId="16" xfId="0" applyFont="1" applyFill="1" applyBorder="1" applyAlignment="1">
      <alignment horizontal="center" vertical="center"/>
    </xf>
    <xf numFmtId="2" fontId="0" fillId="33" borderId="16" xfId="0" applyNumberFormat="1" applyFill="1" applyBorder="1" applyAlignment="1">
      <alignment horizontal="center" vertical="center"/>
    </xf>
    <xf numFmtId="0" fontId="32" fillId="0" borderId="0" xfId="0" applyFont="1">
      <alignment vertical="center"/>
    </xf>
    <xf numFmtId="0" fontId="32" fillId="0" borderId="0" xfId="0" applyFont="1" applyAlignment="1">
      <alignment horizontal="center" vertical="center"/>
    </xf>
    <xf numFmtId="0" fontId="32" fillId="35" borderId="0" xfId="0" applyFont="1" applyFill="1" applyBorder="1" applyAlignment="1">
      <alignment horizontal="center" vertical="center"/>
    </xf>
    <xf numFmtId="0" fontId="33" fillId="35" borderId="0" xfId="0" applyFont="1" applyFill="1" applyBorder="1">
      <alignment vertical="center"/>
    </xf>
    <xf numFmtId="0" fontId="33" fillId="35" borderId="0" xfId="0" applyFont="1" applyFill="1" applyBorder="1" applyAlignment="1">
      <alignment horizontal="right" vertical="center"/>
    </xf>
    <xf numFmtId="177" fontId="34" fillId="35" borderId="0" xfId="0" applyNumberFormat="1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center" vertical="center"/>
    </xf>
    <xf numFmtId="0" fontId="33" fillId="35" borderId="0" xfId="7" applyFont="1" applyFill="1" applyBorder="1" applyAlignment="1">
      <alignment horizontal="left" vertical="center"/>
    </xf>
    <xf numFmtId="0" fontId="35" fillId="35" borderId="0" xfId="8" applyFont="1" applyFill="1" applyBorder="1" applyAlignment="1">
      <alignment horizontal="center" vertical="center"/>
    </xf>
    <xf numFmtId="0" fontId="35" fillId="35" borderId="0" xfId="0" applyFont="1" applyFill="1" applyBorder="1" applyAlignment="1">
      <alignment horizontal="center" vertical="center"/>
    </xf>
    <xf numFmtId="0" fontId="32" fillId="35" borderId="0" xfId="0" applyFont="1" applyFill="1">
      <alignment vertical="center"/>
    </xf>
    <xf numFmtId="0" fontId="36" fillId="0" borderId="0" xfId="0" applyFont="1">
      <alignment vertical="center"/>
    </xf>
    <xf numFmtId="0" fontId="36" fillId="0" borderId="0" xfId="0" applyFont="1" applyAlignment="1">
      <alignment horizontal="center" vertical="center"/>
    </xf>
    <xf numFmtId="0" fontId="36" fillId="33" borderId="12" xfId="0" applyFont="1" applyFill="1" applyBorder="1" applyAlignment="1">
      <alignment horizontal="center" vertical="center"/>
    </xf>
    <xf numFmtId="0" fontId="36" fillId="33" borderId="13" xfId="0" applyFont="1" applyFill="1" applyBorder="1" applyAlignment="1">
      <alignment horizontal="center" vertical="center"/>
    </xf>
    <xf numFmtId="0" fontId="37" fillId="33" borderId="13" xfId="0" applyFont="1" applyFill="1" applyBorder="1">
      <alignment vertical="center"/>
    </xf>
    <xf numFmtId="0" fontId="37" fillId="33" borderId="13" xfId="0" applyFont="1" applyFill="1" applyBorder="1" applyAlignment="1">
      <alignment horizontal="right" vertical="center"/>
    </xf>
    <xf numFmtId="0" fontId="37" fillId="33" borderId="13" xfId="7" applyFont="1" applyFill="1" applyBorder="1" applyAlignment="1">
      <alignment horizontal="center" vertical="center"/>
    </xf>
    <xf numFmtId="0" fontId="37" fillId="33" borderId="13" xfId="8" applyFont="1" applyFill="1" applyBorder="1" applyAlignment="1">
      <alignment horizontal="center" vertical="center"/>
    </xf>
    <xf numFmtId="0" fontId="37" fillId="33" borderId="13" xfId="0" applyFont="1" applyFill="1" applyBorder="1" applyAlignment="1">
      <alignment horizontal="center" vertical="center"/>
    </xf>
    <xf numFmtId="177" fontId="37" fillId="33" borderId="13" xfId="0" applyNumberFormat="1" applyFont="1" applyFill="1" applyBorder="1" applyAlignment="1">
      <alignment horizontal="center" vertical="center"/>
    </xf>
    <xf numFmtId="0" fontId="37" fillId="33" borderId="14" xfId="0" applyFont="1" applyFill="1" applyBorder="1" applyAlignment="1">
      <alignment horizontal="center" vertical="center"/>
    </xf>
    <xf numFmtId="0" fontId="36" fillId="35" borderId="0" xfId="0" applyFont="1" applyFill="1">
      <alignment vertical="center"/>
    </xf>
    <xf numFmtId="0" fontId="36" fillId="33" borderId="15" xfId="0" applyFont="1" applyFill="1" applyBorder="1" applyAlignment="1">
      <alignment horizontal="center" vertical="center"/>
    </xf>
    <xf numFmtId="0" fontId="36" fillId="33" borderId="16" xfId="0" applyFont="1" applyFill="1" applyBorder="1" applyAlignment="1">
      <alignment horizontal="center" vertical="center"/>
    </xf>
    <xf numFmtId="0" fontId="38" fillId="33" borderId="16" xfId="0" applyFont="1" applyFill="1" applyBorder="1">
      <alignment vertical="center"/>
    </xf>
    <xf numFmtId="0" fontId="38" fillId="33" borderId="16" xfId="0" applyFont="1" applyFill="1" applyBorder="1" applyAlignment="1">
      <alignment horizontal="right" vertical="center"/>
    </xf>
    <xf numFmtId="2" fontId="39" fillId="33" borderId="16" xfId="7" applyNumberFormat="1" applyFont="1" applyFill="1" applyBorder="1" applyAlignment="1">
      <alignment horizontal="center" vertical="center"/>
    </xf>
    <xf numFmtId="2" fontId="37" fillId="33" borderId="16" xfId="7" applyNumberFormat="1" applyFont="1" applyFill="1" applyBorder="1" applyAlignment="1">
      <alignment horizontal="center" vertical="center"/>
    </xf>
    <xf numFmtId="2" fontId="39" fillId="33" borderId="16" xfId="8" applyNumberFormat="1" applyFont="1" applyFill="1" applyBorder="1" applyAlignment="1">
      <alignment horizontal="center" vertical="center"/>
    </xf>
    <xf numFmtId="0" fontId="39" fillId="33" borderId="17" xfId="0" applyFont="1" applyFill="1" applyBorder="1" applyAlignment="1">
      <alignment horizontal="center" vertical="center"/>
    </xf>
    <xf numFmtId="0" fontId="36" fillId="34" borderId="12" xfId="0" applyFont="1" applyFill="1" applyBorder="1" applyAlignment="1">
      <alignment horizontal="center" vertical="center"/>
    </xf>
    <xf numFmtId="0" fontId="36" fillId="34" borderId="13" xfId="0" applyFont="1" applyFill="1" applyBorder="1" applyAlignment="1">
      <alignment horizontal="center" vertical="center"/>
    </xf>
    <xf numFmtId="0" fontId="37" fillId="34" borderId="13" xfId="0" applyFont="1" applyFill="1" applyBorder="1">
      <alignment vertical="center"/>
    </xf>
    <xf numFmtId="0" fontId="37" fillId="34" borderId="13" xfId="0" applyFont="1" applyFill="1" applyBorder="1" applyAlignment="1">
      <alignment horizontal="right" vertical="center"/>
    </xf>
    <xf numFmtId="177" fontId="37" fillId="34" borderId="13" xfId="0" applyNumberFormat="1" applyFont="1" applyFill="1" applyBorder="1" applyAlignment="1">
      <alignment horizontal="center" vertical="center"/>
    </xf>
    <xf numFmtId="0" fontId="37" fillId="34" borderId="14" xfId="0" applyFont="1" applyFill="1" applyBorder="1" applyAlignment="1">
      <alignment horizontal="center" vertical="center"/>
    </xf>
    <xf numFmtId="0" fontId="36" fillId="34" borderId="18" xfId="0" applyFont="1" applyFill="1" applyBorder="1" applyAlignment="1">
      <alignment horizontal="center" vertical="center"/>
    </xf>
    <xf numFmtId="0" fontId="36" fillId="34" borderId="10" xfId="0" applyFont="1" applyFill="1" applyBorder="1" applyAlignment="1">
      <alignment horizontal="center" vertical="center"/>
    </xf>
    <xf numFmtId="0" fontId="37" fillId="34" borderId="10" xfId="0" applyFont="1" applyFill="1" applyBorder="1">
      <alignment vertical="center"/>
    </xf>
    <xf numFmtId="0" fontId="37" fillId="34" borderId="10" xfId="0" applyFont="1" applyFill="1" applyBorder="1" applyAlignment="1">
      <alignment horizontal="right" vertical="center"/>
    </xf>
    <xf numFmtId="0" fontId="37" fillId="34" borderId="10" xfId="0" applyFont="1" applyFill="1" applyBorder="1" applyAlignment="1">
      <alignment horizontal="center" vertical="center"/>
    </xf>
    <xf numFmtId="177" fontId="37" fillId="34" borderId="10" xfId="0" applyNumberFormat="1" applyFont="1" applyFill="1" applyBorder="1" applyAlignment="1">
      <alignment horizontal="center" vertical="center"/>
    </xf>
    <xf numFmtId="0" fontId="37" fillId="34" borderId="19" xfId="0" applyFont="1" applyFill="1" applyBorder="1" applyAlignment="1">
      <alignment horizontal="center" vertical="center"/>
    </xf>
    <xf numFmtId="0" fontId="36" fillId="34" borderId="15" xfId="0" applyFont="1" applyFill="1" applyBorder="1" applyAlignment="1">
      <alignment horizontal="center" vertical="center"/>
    </xf>
    <xf numFmtId="0" fontId="36" fillId="34" borderId="16" xfId="0" applyFont="1" applyFill="1" applyBorder="1" applyAlignment="1">
      <alignment horizontal="center" vertical="center"/>
    </xf>
    <xf numFmtId="0" fontId="37" fillId="34" borderId="16" xfId="0" applyFont="1" applyFill="1" applyBorder="1">
      <alignment vertical="center"/>
    </xf>
    <xf numFmtId="0" fontId="37" fillId="34" borderId="16" xfId="0" applyFont="1" applyFill="1" applyBorder="1" applyAlignment="1">
      <alignment horizontal="right" vertical="center"/>
    </xf>
    <xf numFmtId="0" fontId="37" fillId="34" borderId="16" xfId="0" applyFont="1" applyFill="1" applyBorder="1" applyAlignment="1">
      <alignment horizontal="center" vertical="center"/>
    </xf>
    <xf numFmtId="2" fontId="37" fillId="34" borderId="16" xfId="7" applyNumberFormat="1" applyFont="1" applyFill="1" applyBorder="1" applyAlignment="1">
      <alignment horizontal="center" vertical="center"/>
    </xf>
    <xf numFmtId="0" fontId="38" fillId="34" borderId="17" xfId="0" applyFont="1" applyFill="1" applyBorder="1" applyAlignment="1">
      <alignment horizontal="center" vertical="center"/>
    </xf>
    <xf numFmtId="176" fontId="37" fillId="35" borderId="11" xfId="0" applyNumberFormat="1" applyFont="1" applyFill="1" applyBorder="1">
      <alignment vertical="center"/>
    </xf>
    <xf numFmtId="22" fontId="37" fillId="35" borderId="11" xfId="0" applyNumberFormat="1" applyFont="1" applyFill="1" applyBorder="1" applyAlignment="1">
      <alignment horizontal="right" vertical="center"/>
    </xf>
    <xf numFmtId="0" fontId="37" fillId="35" borderId="11" xfId="0" applyFont="1" applyFill="1" applyBorder="1" applyAlignment="1">
      <alignment horizontal="center" vertical="center"/>
    </xf>
    <xf numFmtId="0" fontId="40" fillId="0" borderId="0" xfId="0" applyFont="1" applyAlignment="1">
      <alignment horizontal="left" vertical="center"/>
    </xf>
    <xf numFmtId="0" fontId="38" fillId="0" borderId="0" xfId="0" applyFont="1">
      <alignment vertical="center"/>
    </xf>
    <xf numFmtId="0" fontId="38" fillId="0" borderId="0" xfId="0" applyFont="1" applyAlignment="1">
      <alignment horizontal="right" vertical="center"/>
    </xf>
    <xf numFmtId="177" fontId="41" fillId="35" borderId="0" xfId="0" applyNumberFormat="1" applyFont="1" applyFill="1" applyAlignment="1">
      <alignment horizontal="center" vertical="center"/>
    </xf>
    <xf numFmtId="0" fontId="38" fillId="35" borderId="0" xfId="7" applyFont="1" applyFill="1" applyAlignment="1">
      <alignment horizontal="center" vertical="center"/>
    </xf>
    <xf numFmtId="0" fontId="38" fillId="35" borderId="0" xfId="8" applyFont="1" applyFill="1" applyAlignment="1">
      <alignment horizontal="center" vertical="center"/>
    </xf>
    <xf numFmtId="0" fontId="38" fillId="35" borderId="0" xfId="0" applyFont="1" applyFill="1" applyAlignment="1">
      <alignment horizontal="center" vertical="center"/>
    </xf>
    <xf numFmtId="0" fontId="42" fillId="0" borderId="0" xfId="0" applyFont="1">
      <alignment vertical="center"/>
    </xf>
    <xf numFmtId="0" fontId="42" fillId="0" borderId="0" xfId="0" applyFont="1" applyAlignment="1">
      <alignment horizontal="center" vertical="center"/>
    </xf>
    <xf numFmtId="0" fontId="42" fillId="35" borderId="0" xfId="0" applyFont="1" applyFill="1" applyBorder="1" applyAlignment="1">
      <alignment horizontal="center" vertical="center"/>
    </xf>
    <xf numFmtId="0" fontId="43" fillId="35" borderId="0" xfId="0" applyFont="1" applyFill="1" applyBorder="1">
      <alignment vertical="center"/>
    </xf>
    <xf numFmtId="0" fontId="43" fillId="35" borderId="0" xfId="0" applyFont="1" applyFill="1" applyBorder="1" applyAlignment="1">
      <alignment horizontal="right" vertical="center"/>
    </xf>
    <xf numFmtId="177" fontId="44" fillId="35" borderId="0" xfId="0" applyNumberFormat="1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center" vertical="center"/>
    </xf>
    <xf numFmtId="0" fontId="43" fillId="35" borderId="0" xfId="7" applyFont="1" applyFill="1" applyBorder="1" applyAlignment="1">
      <alignment horizontal="left" vertical="center"/>
    </xf>
    <xf numFmtId="0" fontId="45" fillId="35" borderId="0" xfId="8" applyFont="1" applyFill="1" applyBorder="1" applyAlignment="1">
      <alignment horizontal="center" vertical="center"/>
    </xf>
    <xf numFmtId="0" fontId="45" fillId="35" borderId="0" xfId="0" applyFont="1" applyFill="1" applyBorder="1" applyAlignment="1">
      <alignment horizontal="center" vertical="center"/>
    </xf>
    <xf numFmtId="0" fontId="46" fillId="0" borderId="0" xfId="0" applyFont="1">
      <alignment vertical="center"/>
    </xf>
    <xf numFmtId="0" fontId="46" fillId="0" borderId="0" xfId="0" applyFont="1" applyAlignment="1">
      <alignment horizontal="center" vertical="center"/>
    </xf>
    <xf numFmtId="0" fontId="47" fillId="33" borderId="12" xfId="0" applyFont="1" applyFill="1" applyBorder="1" applyAlignment="1">
      <alignment horizontal="center" vertical="center"/>
    </xf>
    <xf numFmtId="182" fontId="48" fillId="33" borderId="13" xfId="0" applyNumberFormat="1" applyFont="1" applyFill="1" applyBorder="1" applyAlignment="1">
      <alignment horizontal="center" vertical="center"/>
    </xf>
    <xf numFmtId="0" fontId="47" fillId="33" borderId="13" xfId="0" applyFont="1" applyFill="1" applyBorder="1">
      <alignment vertical="center"/>
    </xf>
    <xf numFmtId="0" fontId="47" fillId="33" borderId="13" xfId="0" applyFont="1" applyFill="1" applyBorder="1" applyAlignment="1">
      <alignment horizontal="right" vertical="center"/>
    </xf>
    <xf numFmtId="0" fontId="47" fillId="33" borderId="13" xfId="7" applyFont="1" applyFill="1" applyBorder="1" applyAlignment="1">
      <alignment horizontal="center" vertical="center"/>
    </xf>
    <xf numFmtId="0" fontId="47" fillId="33" borderId="13" xfId="8" applyFont="1" applyFill="1" applyBorder="1" applyAlignment="1">
      <alignment horizontal="center" vertical="center"/>
    </xf>
    <xf numFmtId="0" fontId="47" fillId="33" borderId="13" xfId="0" applyFont="1" applyFill="1" applyBorder="1" applyAlignment="1">
      <alignment horizontal="center" vertical="center"/>
    </xf>
    <xf numFmtId="177" fontId="47" fillId="33" borderId="13" xfId="0" applyNumberFormat="1" applyFont="1" applyFill="1" applyBorder="1" applyAlignment="1">
      <alignment horizontal="center" vertical="center"/>
    </xf>
    <xf numFmtId="0" fontId="47" fillId="33" borderId="14" xfId="0" applyFont="1" applyFill="1" applyBorder="1" applyAlignment="1">
      <alignment horizontal="center" vertical="center"/>
    </xf>
    <xf numFmtId="0" fontId="46" fillId="33" borderId="15" xfId="0" applyFont="1" applyFill="1" applyBorder="1" applyAlignment="1">
      <alignment horizontal="center" vertical="center"/>
    </xf>
    <xf numFmtId="0" fontId="48" fillId="33" borderId="16" xfId="0" applyFont="1" applyFill="1" applyBorder="1" applyAlignment="1">
      <alignment horizontal="center" vertical="center"/>
    </xf>
    <xf numFmtId="0" fontId="49" fillId="33" borderId="16" xfId="0" applyFont="1" applyFill="1" applyBorder="1">
      <alignment vertical="center"/>
    </xf>
    <xf numFmtId="0" fontId="49" fillId="33" borderId="16" xfId="0" applyFont="1" applyFill="1" applyBorder="1" applyAlignment="1">
      <alignment horizontal="right" vertical="center"/>
    </xf>
    <xf numFmtId="2" fontId="47" fillId="33" borderId="16" xfId="7" applyNumberFormat="1" applyFont="1" applyFill="1" applyBorder="1" applyAlignment="1">
      <alignment horizontal="center" vertical="center"/>
    </xf>
    <xf numFmtId="2" fontId="50" fillId="33" borderId="16" xfId="7" applyNumberFormat="1" applyFont="1" applyFill="1" applyBorder="1" applyAlignment="1">
      <alignment horizontal="center" vertical="center"/>
    </xf>
    <xf numFmtId="2" fontId="51" fillId="33" borderId="16" xfId="8" applyNumberFormat="1" applyFont="1" applyFill="1" applyBorder="1" applyAlignment="1">
      <alignment horizontal="center" vertical="center"/>
    </xf>
    <xf numFmtId="0" fontId="51" fillId="33" borderId="17" xfId="0" applyFont="1" applyFill="1" applyBorder="1" applyAlignment="1">
      <alignment horizontal="center" vertical="center"/>
    </xf>
    <xf numFmtId="0" fontId="47" fillId="34" borderId="12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center" vertical="center"/>
    </xf>
    <xf numFmtId="0" fontId="47" fillId="34" borderId="13" xfId="0" applyFont="1" applyFill="1" applyBorder="1" applyAlignment="1">
      <alignment horizontal="right" vertical="center"/>
    </xf>
    <xf numFmtId="2" fontId="47" fillId="34" borderId="13" xfId="0" applyNumberFormat="1" applyFont="1" applyFill="1" applyBorder="1" applyAlignment="1">
      <alignment horizontal="center" vertical="center"/>
    </xf>
    <xf numFmtId="0" fontId="49" fillId="34" borderId="14" xfId="0" applyFont="1" applyFill="1" applyBorder="1" applyAlignment="1">
      <alignment horizontal="center" vertical="center"/>
    </xf>
    <xf numFmtId="0" fontId="51" fillId="34" borderId="18" xfId="0" applyFont="1" applyFill="1" applyBorder="1" applyAlignment="1">
      <alignment horizontal="center" vertical="center"/>
    </xf>
    <xf numFmtId="0" fontId="51" fillId="34" borderId="10" xfId="0" applyFont="1" applyFill="1" applyBorder="1" applyAlignment="1">
      <alignment horizontal="center" vertical="center"/>
    </xf>
    <xf numFmtId="2" fontId="51" fillId="34" borderId="10" xfId="0" applyNumberFormat="1" applyFont="1" applyFill="1" applyBorder="1" applyAlignment="1">
      <alignment horizontal="center" vertical="center"/>
    </xf>
    <xf numFmtId="0" fontId="47" fillId="34" borderId="10" xfId="0" applyFont="1" applyFill="1" applyBorder="1" applyAlignment="1">
      <alignment horizontal="right" vertical="center"/>
    </xf>
    <xf numFmtId="2" fontId="47" fillId="34" borderId="10" xfId="0" applyNumberFormat="1" applyFont="1" applyFill="1" applyBorder="1" applyAlignment="1">
      <alignment horizontal="center" vertical="center"/>
    </xf>
    <xf numFmtId="0" fontId="49" fillId="34" borderId="19" xfId="0" applyFont="1" applyFill="1" applyBorder="1" applyAlignment="1">
      <alignment horizontal="center" vertical="center"/>
    </xf>
    <xf numFmtId="0" fontId="47" fillId="34" borderId="15" xfId="0" applyFont="1" applyFill="1" applyBorder="1" applyAlignment="1">
      <alignment horizontal="center" vertical="center"/>
    </xf>
    <xf numFmtId="0" fontId="47" fillId="34" borderId="16" xfId="0" applyFont="1" applyFill="1" applyBorder="1" applyAlignment="1">
      <alignment horizontal="center" vertical="center"/>
    </xf>
    <xf numFmtId="0" fontId="47" fillId="34" borderId="16" xfId="0" applyFont="1" applyFill="1" applyBorder="1">
      <alignment vertical="center"/>
    </xf>
    <xf numFmtId="0" fontId="47" fillId="34" borderId="16" xfId="0" applyFont="1" applyFill="1" applyBorder="1" applyAlignment="1">
      <alignment horizontal="right" vertical="center"/>
    </xf>
    <xf numFmtId="2" fontId="47" fillId="34" borderId="16" xfId="7" applyNumberFormat="1" applyFont="1" applyFill="1" applyBorder="1" applyAlignment="1">
      <alignment horizontal="center" vertical="center"/>
    </xf>
    <xf numFmtId="0" fontId="49" fillId="34" borderId="17" xfId="0" applyFont="1" applyFill="1" applyBorder="1" applyAlignment="1">
      <alignment horizontal="center" vertical="center"/>
    </xf>
    <xf numFmtId="176" fontId="50" fillId="35" borderId="11" xfId="0" applyNumberFormat="1" applyFont="1" applyFill="1" applyBorder="1">
      <alignment vertical="center"/>
    </xf>
    <xf numFmtId="22" fontId="50" fillId="35" borderId="11" xfId="0" applyNumberFormat="1" applyFont="1" applyFill="1" applyBorder="1" applyAlignment="1">
      <alignment horizontal="right" vertical="center"/>
    </xf>
    <xf numFmtId="177" fontId="50" fillId="35" borderId="11" xfId="0" applyNumberFormat="1" applyFont="1" applyFill="1" applyBorder="1" applyAlignment="1">
      <alignment horizontal="center" vertical="center"/>
    </xf>
    <xf numFmtId="2" fontId="50" fillId="35" borderId="11" xfId="0" applyNumberFormat="1" applyFont="1" applyFill="1" applyBorder="1" applyAlignment="1">
      <alignment horizontal="center" vertical="center"/>
    </xf>
    <xf numFmtId="2" fontId="50" fillId="35" borderId="11" xfId="8" applyNumberFormat="1" applyFont="1" applyFill="1" applyBorder="1" applyAlignment="1">
      <alignment horizontal="center" vertical="center"/>
    </xf>
    <xf numFmtId="178" fontId="50" fillId="35" borderId="11" xfId="8" applyNumberFormat="1" applyFont="1" applyFill="1" applyBorder="1" applyAlignment="1">
      <alignment horizontal="center" vertical="center"/>
    </xf>
    <xf numFmtId="0" fontId="49" fillId="0" borderId="0" xfId="0" applyFont="1">
      <alignment vertical="center"/>
    </xf>
    <xf numFmtId="0" fontId="51" fillId="35" borderId="0" xfId="0" applyFont="1" applyFill="1">
      <alignment vertical="center"/>
    </xf>
    <xf numFmtId="0" fontId="51" fillId="0" borderId="0" xfId="0" applyFont="1">
      <alignment vertical="center"/>
    </xf>
    <xf numFmtId="0" fontId="51" fillId="36" borderId="0" xfId="0" applyFont="1" applyFill="1">
      <alignment vertical="center"/>
    </xf>
    <xf numFmtId="0" fontId="49" fillId="35" borderId="0" xfId="8" applyFont="1" applyFill="1" applyAlignment="1">
      <alignment horizontal="center" vertical="center"/>
    </xf>
    <xf numFmtId="0" fontId="49" fillId="35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177" fontId="52" fillId="35" borderId="0" xfId="0" applyNumberFormat="1" applyFont="1" applyFill="1" applyAlignment="1">
      <alignment horizontal="center" vertical="center"/>
    </xf>
    <xf numFmtId="0" fontId="49" fillId="35" borderId="0" xfId="7" applyFont="1" applyFill="1" applyAlignment="1">
      <alignment horizontal="center"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53" fillId="0" borderId="0" xfId="0" applyFont="1" applyBorder="1">
      <alignment vertical="center"/>
    </xf>
    <xf numFmtId="0" fontId="53" fillId="0" borderId="11" xfId="0" applyFont="1" applyBorder="1">
      <alignment vertical="center"/>
    </xf>
    <xf numFmtId="22" fontId="53" fillId="0" borderId="11" xfId="0" applyNumberFormat="1" applyFont="1" applyBorder="1">
      <alignment vertical="center"/>
    </xf>
    <xf numFmtId="0" fontId="53" fillId="0" borderId="10" xfId="0" applyFont="1" applyBorder="1">
      <alignment vertical="center"/>
    </xf>
    <xf numFmtId="22" fontId="53" fillId="0" borderId="10" xfId="0" applyNumberFormat="1" applyFont="1" applyBorder="1">
      <alignment vertical="center"/>
    </xf>
    <xf numFmtId="0" fontId="54" fillId="0" borderId="10" xfId="0" applyFont="1" applyBorder="1">
      <alignment vertical="center"/>
    </xf>
    <xf numFmtId="22" fontId="55" fillId="0" borderId="10" xfId="0" applyNumberFormat="1" applyFont="1" applyBorder="1">
      <alignment vertical="center"/>
    </xf>
    <xf numFmtId="0" fontId="55" fillId="0" borderId="10" xfId="0" applyFont="1" applyBorder="1">
      <alignment vertical="center"/>
    </xf>
    <xf numFmtId="0" fontId="55" fillId="0" borderId="0" xfId="0" applyFont="1">
      <alignment vertical="center"/>
    </xf>
    <xf numFmtId="0" fontId="14" fillId="37" borderId="0" xfId="0" applyFont="1" applyFill="1">
      <alignment vertical="center"/>
    </xf>
    <xf numFmtId="0" fontId="56" fillId="0" borderId="0" xfId="0" applyFont="1">
      <alignment vertical="center"/>
    </xf>
    <xf numFmtId="0" fontId="56" fillId="0" borderId="0" xfId="0" applyFont="1" applyAlignment="1">
      <alignment horizontal="center" vertical="center"/>
    </xf>
    <xf numFmtId="0" fontId="56" fillId="35" borderId="0" xfId="0" applyFont="1" applyFill="1" applyBorder="1" applyAlignment="1">
      <alignment horizontal="center" vertical="center"/>
    </xf>
    <xf numFmtId="0" fontId="57" fillId="35" borderId="0" xfId="0" applyFont="1" applyFill="1" applyBorder="1">
      <alignment vertical="center"/>
    </xf>
    <xf numFmtId="0" fontId="57" fillId="35" borderId="0" xfId="0" applyFont="1" applyFill="1" applyBorder="1" applyAlignment="1">
      <alignment horizontal="right" vertical="center"/>
    </xf>
    <xf numFmtId="177" fontId="58" fillId="35" borderId="0" xfId="0" applyNumberFormat="1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center" vertical="center"/>
    </xf>
    <xf numFmtId="0" fontId="57" fillId="35" borderId="0" xfId="7" applyFont="1" applyFill="1" applyBorder="1" applyAlignment="1">
      <alignment horizontal="left" vertical="center"/>
    </xf>
    <xf numFmtId="0" fontId="59" fillId="35" borderId="0" xfId="8" applyFont="1" applyFill="1" applyBorder="1" applyAlignment="1">
      <alignment horizontal="center" vertical="center"/>
    </xf>
    <xf numFmtId="0" fontId="59" fillId="35" borderId="0" xfId="0" applyFont="1" applyFill="1" applyBorder="1" applyAlignment="1">
      <alignment horizontal="center" vertical="center"/>
    </xf>
    <xf numFmtId="0" fontId="56" fillId="35" borderId="0" xfId="0" applyFont="1" applyFill="1">
      <alignment vertical="center"/>
    </xf>
    <xf numFmtId="0" fontId="60" fillId="0" borderId="0" xfId="0" applyFont="1">
      <alignment vertical="center"/>
    </xf>
    <xf numFmtId="0" fontId="60" fillId="0" borderId="0" xfId="0" applyFont="1" applyAlignment="1">
      <alignment horizontal="center" vertical="center"/>
    </xf>
    <xf numFmtId="0" fontId="61" fillId="33" borderId="12" xfId="0" applyFont="1" applyFill="1" applyBorder="1" applyAlignment="1">
      <alignment horizontal="center" vertical="center"/>
    </xf>
    <xf numFmtId="0" fontId="61" fillId="33" borderId="13" xfId="0" applyFont="1" applyFill="1" applyBorder="1">
      <alignment vertical="center"/>
    </xf>
    <xf numFmtId="0" fontId="61" fillId="33" borderId="13" xfId="0" applyFont="1" applyFill="1" applyBorder="1" applyAlignment="1">
      <alignment horizontal="right" vertical="center"/>
    </xf>
    <xf numFmtId="0" fontId="61" fillId="33" borderId="13" xfId="7" applyFont="1" applyFill="1" applyBorder="1" applyAlignment="1">
      <alignment horizontal="center" vertical="center"/>
    </xf>
    <xf numFmtId="0" fontId="61" fillId="33" borderId="13" xfId="8" applyFont="1" applyFill="1" applyBorder="1" applyAlignment="1">
      <alignment horizontal="center" vertical="center"/>
    </xf>
    <xf numFmtId="0" fontId="61" fillId="33" borderId="13" xfId="0" applyFont="1" applyFill="1" applyBorder="1" applyAlignment="1">
      <alignment horizontal="center" vertical="center"/>
    </xf>
    <xf numFmtId="177" fontId="61" fillId="33" borderId="13" xfId="0" applyNumberFormat="1" applyFont="1" applyFill="1" applyBorder="1" applyAlignment="1">
      <alignment horizontal="center" vertical="center"/>
    </xf>
    <xf numFmtId="0" fontId="61" fillId="33" borderId="14" xfId="0" applyFont="1" applyFill="1" applyBorder="1" applyAlignment="1">
      <alignment horizontal="center" vertical="center"/>
    </xf>
    <xf numFmtId="0" fontId="60" fillId="35" borderId="0" xfId="0" applyFont="1" applyFill="1">
      <alignment vertical="center"/>
    </xf>
    <xf numFmtId="0" fontId="60" fillId="33" borderId="15" xfId="0" applyFont="1" applyFill="1" applyBorder="1" applyAlignment="1">
      <alignment horizontal="center" vertical="center"/>
    </xf>
    <xf numFmtId="0" fontId="63" fillId="33" borderId="16" xfId="0" applyFont="1" applyFill="1" applyBorder="1">
      <alignment vertical="center"/>
    </xf>
    <xf numFmtId="0" fontId="63" fillId="33" borderId="16" xfId="0" applyFont="1" applyFill="1" applyBorder="1" applyAlignment="1">
      <alignment horizontal="right" vertical="center"/>
    </xf>
    <xf numFmtId="2" fontId="61" fillId="33" borderId="16" xfId="7" applyNumberFormat="1" applyFont="1" applyFill="1" applyBorder="1" applyAlignment="1">
      <alignment horizontal="center" vertical="center"/>
    </xf>
    <xf numFmtId="2" fontId="64" fillId="33" borderId="16" xfId="7" applyNumberFormat="1" applyFont="1" applyFill="1" applyBorder="1" applyAlignment="1">
      <alignment horizontal="center" vertical="center"/>
    </xf>
    <xf numFmtId="2" fontId="65" fillId="33" borderId="16" xfId="8" applyNumberFormat="1" applyFont="1" applyFill="1" applyBorder="1" applyAlignment="1">
      <alignment horizontal="center" vertical="center"/>
    </xf>
    <xf numFmtId="0" fontId="65" fillId="33" borderId="17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center" vertical="center"/>
    </xf>
    <xf numFmtId="0" fontId="61" fillId="34" borderId="13" xfId="0" applyFont="1" applyFill="1" applyBorder="1" applyAlignment="1">
      <alignment horizontal="right" vertical="center"/>
    </xf>
    <xf numFmtId="2" fontId="61" fillId="34" borderId="13" xfId="0" applyNumberFormat="1" applyFont="1" applyFill="1" applyBorder="1" applyAlignment="1">
      <alignment horizontal="center" vertical="center"/>
    </xf>
    <xf numFmtId="0" fontId="63" fillId="34" borderId="10" xfId="0" applyFont="1" applyFill="1" applyBorder="1" applyAlignment="1">
      <alignment horizontal="center" vertical="center"/>
    </xf>
    <xf numFmtId="0" fontId="60" fillId="35" borderId="0" xfId="0" applyFont="1" applyFill="1" applyBorder="1">
      <alignment vertical="center"/>
    </xf>
    <xf numFmtId="179" fontId="60" fillId="0" borderId="0" xfId="0" applyNumberFormat="1" applyFont="1">
      <alignment vertical="center"/>
    </xf>
    <xf numFmtId="0" fontId="65" fillId="34" borderId="10" xfId="0" applyFont="1" applyFill="1" applyBorder="1" applyAlignment="1">
      <alignment horizontal="center" vertical="center"/>
    </xf>
    <xf numFmtId="0" fontId="61" fillId="34" borderId="10" xfId="0" applyFont="1" applyFill="1" applyBorder="1" applyAlignment="1">
      <alignment horizontal="right" vertical="center"/>
    </xf>
    <xf numFmtId="2" fontId="61" fillId="34" borderId="10" xfId="0" applyNumberFormat="1" applyFont="1" applyFill="1" applyBorder="1" applyAlignment="1">
      <alignment horizontal="center" vertical="center"/>
    </xf>
    <xf numFmtId="181" fontId="60" fillId="35" borderId="0" xfId="42" applyNumberFormat="1" applyFont="1" applyFill="1">
      <alignment vertical="center"/>
    </xf>
    <xf numFmtId="0" fontId="61" fillId="34" borderId="15" xfId="0" applyFont="1" applyFill="1" applyBorder="1" applyAlignment="1">
      <alignment horizontal="center" vertical="center"/>
    </xf>
    <xf numFmtId="0" fontId="61" fillId="34" borderId="16" xfId="0" applyFont="1" applyFill="1" applyBorder="1" applyAlignment="1">
      <alignment horizontal="center" vertical="center"/>
    </xf>
    <xf numFmtId="0" fontId="61" fillId="34" borderId="16" xfId="0" applyFont="1" applyFill="1" applyBorder="1">
      <alignment vertical="center"/>
    </xf>
    <xf numFmtId="0" fontId="61" fillId="34" borderId="16" xfId="0" applyFont="1" applyFill="1" applyBorder="1" applyAlignment="1">
      <alignment horizontal="right" vertical="center"/>
    </xf>
    <xf numFmtId="2" fontId="61" fillId="34" borderId="16" xfId="7" applyNumberFormat="1" applyFont="1" applyFill="1" applyBorder="1" applyAlignment="1">
      <alignment horizontal="center" vertical="center"/>
    </xf>
    <xf numFmtId="179" fontId="60" fillId="35" borderId="0" xfId="0" applyNumberFormat="1" applyFont="1" applyFill="1">
      <alignment vertical="center"/>
    </xf>
    <xf numFmtId="0" fontId="65" fillId="35" borderId="0" xfId="0" applyFont="1" applyFill="1">
      <alignment vertical="center"/>
    </xf>
    <xf numFmtId="0" fontId="65" fillId="0" borderId="0" xfId="0" applyFont="1">
      <alignment vertical="center"/>
    </xf>
    <xf numFmtId="0" fontId="63" fillId="35" borderId="0" xfId="0" applyFont="1" applyFill="1">
      <alignment vertical="center"/>
    </xf>
    <xf numFmtId="0" fontId="63" fillId="0" borderId="0" xfId="0" applyFont="1">
      <alignment vertical="center"/>
    </xf>
    <xf numFmtId="0" fontId="62" fillId="35" borderId="0" xfId="0" applyFont="1" applyFill="1">
      <alignment vertical="center"/>
    </xf>
    <xf numFmtId="0" fontId="62" fillId="0" borderId="0" xfId="0" applyFont="1">
      <alignment vertical="center"/>
    </xf>
    <xf numFmtId="0" fontId="63" fillId="0" borderId="0" xfId="0" applyFont="1" applyAlignment="1">
      <alignment horizontal="right" vertical="center"/>
    </xf>
    <xf numFmtId="177" fontId="66" fillId="35" borderId="0" xfId="0" applyNumberFormat="1" applyFont="1" applyFill="1" applyAlignment="1">
      <alignment horizontal="center" vertical="center"/>
    </xf>
    <xf numFmtId="0" fontId="63" fillId="35" borderId="0" xfId="7" applyFont="1" applyFill="1" applyAlignment="1">
      <alignment horizontal="center" vertical="center"/>
    </xf>
    <xf numFmtId="0" fontId="63" fillId="35" borderId="0" xfId="8" applyFont="1" applyFill="1" applyAlignment="1">
      <alignment horizontal="center" vertical="center"/>
    </xf>
    <xf numFmtId="0" fontId="63" fillId="35" borderId="0" xfId="0" applyFont="1" applyFill="1" applyAlignment="1">
      <alignment horizontal="center" vertical="center"/>
    </xf>
    <xf numFmtId="179" fontId="14" fillId="35" borderId="0" xfId="0" applyNumberFormat="1" applyFont="1" applyFill="1">
      <alignment vertical="center"/>
    </xf>
    <xf numFmtId="177" fontId="27" fillId="35" borderId="0" xfId="0" applyNumberFormat="1" applyFont="1" applyFill="1">
      <alignment vertical="center"/>
    </xf>
    <xf numFmtId="0" fontId="19" fillId="36" borderId="0" xfId="0" applyFont="1" applyFill="1">
      <alignment vertical="center"/>
    </xf>
    <xf numFmtId="0" fontId="0" fillId="36" borderId="0" xfId="0" applyFill="1">
      <alignment vertical="center"/>
    </xf>
    <xf numFmtId="22" fontId="27" fillId="0" borderId="0" xfId="0" applyNumberFormat="1" applyFont="1">
      <alignment vertical="center"/>
    </xf>
    <xf numFmtId="0" fontId="14" fillId="33" borderId="13" xfId="0" applyNumberFormat="1" applyFont="1" applyFill="1" applyBorder="1" applyAlignment="1">
      <alignment horizontal="center" vertical="center"/>
    </xf>
    <xf numFmtId="2" fontId="19" fillId="34" borderId="20" xfId="0" applyNumberFormat="1" applyFont="1" applyFill="1" applyBorder="1" applyAlignment="1">
      <alignment horizontal="center" vertical="center"/>
    </xf>
    <xf numFmtId="0" fontId="50" fillId="35" borderId="11" xfId="0" applyFont="1" applyFill="1" applyBorder="1" applyAlignment="1">
      <alignment horizontal="center" vertical="center"/>
    </xf>
    <xf numFmtId="0" fontId="19" fillId="38" borderId="0" xfId="0" applyFont="1" applyFill="1">
      <alignment vertical="center"/>
    </xf>
    <xf numFmtId="179" fontId="19" fillId="35" borderId="0" xfId="0" applyNumberFormat="1" applyFont="1" applyFill="1">
      <alignment vertical="center"/>
    </xf>
    <xf numFmtId="0" fontId="1" fillId="0" borderId="0" xfId="0" applyFont="1">
      <alignment vertical="center"/>
    </xf>
    <xf numFmtId="0" fontId="27" fillId="0" borderId="0" xfId="0" applyFont="1" applyFill="1">
      <alignment vertical="center"/>
    </xf>
    <xf numFmtId="177" fontId="23" fillId="35" borderId="10" xfId="0" applyNumberFormat="1" applyFont="1" applyFill="1" applyBorder="1" applyAlignment="1">
      <alignment horizontal="center" vertical="center"/>
    </xf>
    <xf numFmtId="2" fontId="65" fillId="34" borderId="18" xfId="0" applyNumberFormat="1" applyFont="1" applyFill="1" applyBorder="1" applyAlignment="1">
      <alignment horizontal="center" vertical="center"/>
    </xf>
    <xf numFmtId="0" fontId="67" fillId="0" borderId="0" xfId="0" applyFont="1" applyFill="1" applyBorder="1">
      <alignment vertical="center"/>
    </xf>
    <xf numFmtId="0" fontId="22" fillId="35" borderId="0" xfId="0" applyFont="1" applyFill="1">
      <alignment vertical="center"/>
    </xf>
    <xf numFmtId="179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0" fontId="60" fillId="37" borderId="0" xfId="0" applyFont="1" applyFill="1">
      <alignment vertical="center"/>
    </xf>
    <xf numFmtId="179" fontId="60" fillId="37" borderId="0" xfId="0" applyNumberFormat="1" applyFont="1" applyFill="1">
      <alignment vertical="center"/>
    </xf>
    <xf numFmtId="0" fontId="63" fillId="37" borderId="0" xfId="0" applyFont="1" applyFill="1">
      <alignment vertical="center"/>
    </xf>
    <xf numFmtId="177" fontId="19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19" fillId="37" borderId="0" xfId="0" applyFont="1" applyFill="1">
      <alignment vertical="center"/>
    </xf>
    <xf numFmtId="179" fontId="20" fillId="35" borderId="0" xfId="0" applyNumberFormat="1" applyFont="1" applyFill="1">
      <alignment vertical="center"/>
    </xf>
    <xf numFmtId="177" fontId="27" fillId="0" borderId="0" xfId="0" applyNumberFormat="1" applyFont="1">
      <alignment vertical="center"/>
    </xf>
    <xf numFmtId="0" fontId="26" fillId="35" borderId="0" xfId="8" applyFont="1" applyFill="1" applyBorder="1" applyAlignment="1">
      <alignment horizontal="left" vertical="center"/>
    </xf>
    <xf numFmtId="176" fontId="22" fillId="35" borderId="10" xfId="0" applyNumberFormat="1" applyFont="1" applyFill="1" applyBorder="1">
      <alignment vertical="center"/>
    </xf>
    <xf numFmtId="22" fontId="22" fillId="35" borderId="10" xfId="0" applyNumberFormat="1" applyFont="1" applyFill="1" applyBorder="1" applyAlignment="1">
      <alignment horizontal="right" vertical="center"/>
    </xf>
    <xf numFmtId="0" fontId="68" fillId="0" borderId="0" xfId="0" applyFont="1">
      <alignment vertical="center"/>
    </xf>
    <xf numFmtId="0" fontId="68" fillId="0" borderId="10" xfId="0" applyFont="1" applyBorder="1">
      <alignment vertical="center"/>
    </xf>
    <xf numFmtId="22" fontId="68" fillId="0" borderId="10" xfId="0" applyNumberFormat="1" applyFont="1" applyBorder="1">
      <alignment vertical="center"/>
    </xf>
    <xf numFmtId="176" fontId="68" fillId="35" borderId="10" xfId="0" applyNumberFormat="1" applyFont="1" applyFill="1" applyBorder="1">
      <alignment vertical="center"/>
    </xf>
    <xf numFmtId="22" fontId="68" fillId="35" borderId="10" xfId="0" applyNumberFormat="1" applyFont="1" applyFill="1" applyBorder="1" applyAlignment="1">
      <alignment horizontal="right" vertical="center"/>
    </xf>
    <xf numFmtId="0" fontId="68" fillId="35" borderId="0" xfId="0" applyFont="1" applyFill="1">
      <alignment vertical="center"/>
    </xf>
    <xf numFmtId="0" fontId="27" fillId="35" borderId="10" xfId="7" applyFont="1" applyFill="1" applyBorder="1" applyAlignment="1">
      <alignment horizontal="center" vertical="center"/>
    </xf>
    <xf numFmtId="0" fontId="27" fillId="35" borderId="10" xfId="8" applyFont="1" applyFill="1" applyBorder="1" applyAlignment="1">
      <alignment horizontal="center" vertical="center"/>
    </xf>
    <xf numFmtId="2" fontId="69" fillId="35" borderId="11" xfId="0" applyNumberFormat="1" applyFont="1" applyFill="1" applyBorder="1" applyAlignment="1">
      <alignment horizontal="center" vertical="center"/>
    </xf>
    <xf numFmtId="2" fontId="23" fillId="35" borderId="10" xfId="0" applyNumberFormat="1" applyFont="1" applyFill="1" applyBorder="1" applyAlignment="1">
      <alignment horizontal="center" vertical="center"/>
    </xf>
    <xf numFmtId="2" fontId="51" fillId="34" borderId="18" xfId="0" applyNumberFormat="1" applyFont="1" applyFill="1" applyBorder="1" applyAlignment="1">
      <alignment horizontal="center" vertical="center"/>
    </xf>
    <xf numFmtId="0" fontId="27" fillId="38" borderId="0" xfId="0" applyFont="1" applyFill="1">
      <alignment vertical="center"/>
    </xf>
    <xf numFmtId="0" fontId="27" fillId="36" borderId="0" xfId="0" applyFont="1" applyFill="1">
      <alignment vertical="center"/>
    </xf>
    <xf numFmtId="0" fontId="27" fillId="37" borderId="0" xfId="0" applyFont="1" applyFill="1">
      <alignment vertical="center"/>
    </xf>
    <xf numFmtId="0" fontId="70" fillId="0" borderId="0" xfId="0" applyFont="1" applyBorder="1" applyAlignment="1">
      <alignment horizontal="center" vertical="center"/>
    </xf>
    <xf numFmtId="0" fontId="70" fillId="0" borderId="11" xfId="0" applyFont="1" applyBorder="1" applyAlignment="1">
      <alignment horizontal="left" vertical="center"/>
    </xf>
    <xf numFmtId="22" fontId="70" fillId="0" borderId="11" xfId="0" applyNumberFormat="1" applyFont="1" applyBorder="1" applyAlignment="1">
      <alignment horizontal="center" vertical="center"/>
    </xf>
    <xf numFmtId="176" fontId="70" fillId="0" borderId="11" xfId="0" applyNumberFormat="1" applyFont="1" applyBorder="1" applyAlignment="1">
      <alignment horizontal="center" vertical="center"/>
    </xf>
    <xf numFmtId="20" fontId="70" fillId="0" borderId="11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left" vertical="center"/>
    </xf>
    <xf numFmtId="22" fontId="70" fillId="0" borderId="10" xfId="0" applyNumberFormat="1" applyFont="1" applyBorder="1" applyAlignment="1">
      <alignment horizontal="center" vertical="center"/>
    </xf>
    <xf numFmtId="0" fontId="71" fillId="0" borderId="0" xfId="0" applyFont="1" applyBorder="1" applyAlignment="1">
      <alignment horizontal="center" vertical="center"/>
    </xf>
    <xf numFmtId="0" fontId="71" fillId="0" borderId="10" xfId="0" applyFont="1" applyBorder="1" applyAlignment="1">
      <alignment horizontal="left" vertical="center"/>
    </xf>
    <xf numFmtId="22" fontId="71" fillId="0" borderId="10" xfId="0" applyNumberFormat="1" applyFont="1" applyBorder="1" applyAlignment="1">
      <alignment horizontal="center" vertical="center"/>
    </xf>
    <xf numFmtId="176" fontId="71" fillId="0" borderId="11" xfId="0" applyNumberFormat="1" applyFont="1" applyBorder="1" applyAlignment="1">
      <alignment horizontal="center" vertical="center"/>
    </xf>
    <xf numFmtId="20" fontId="71" fillId="0" borderId="11" xfId="0" applyNumberFormat="1" applyFont="1" applyBorder="1" applyAlignment="1">
      <alignment horizontal="center" vertical="center"/>
    </xf>
    <xf numFmtId="177" fontId="71" fillId="0" borderId="11" xfId="0" applyNumberFormat="1" applyFont="1" applyBorder="1" applyAlignment="1">
      <alignment horizontal="center" vertical="center"/>
    </xf>
    <xf numFmtId="176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1" fillId="0" borderId="10" xfId="0" applyNumberFormat="1" applyFont="1" applyBorder="1" applyAlignment="1">
      <alignment horizontal="center" vertical="center"/>
    </xf>
    <xf numFmtId="20" fontId="71" fillId="0" borderId="10" xfId="0" applyNumberFormat="1" applyFont="1" applyBorder="1" applyAlignment="1">
      <alignment horizontal="center" vertical="center"/>
    </xf>
    <xf numFmtId="177" fontId="71" fillId="0" borderId="10" xfId="0" applyNumberFormat="1" applyFont="1" applyBorder="1" applyAlignment="1">
      <alignment horizontal="center" vertical="center"/>
    </xf>
    <xf numFmtId="0" fontId="29" fillId="35" borderId="0" xfId="0" applyFont="1" applyFill="1">
      <alignment vertical="center"/>
    </xf>
    <xf numFmtId="0" fontId="70" fillId="0" borderId="10" xfId="0" applyFont="1" applyBorder="1" applyAlignment="1">
      <alignment horizontal="center" vertical="center"/>
    </xf>
    <xf numFmtId="0" fontId="22" fillId="0" borderId="0" xfId="0" applyFont="1">
      <alignment vertical="center"/>
    </xf>
    <xf numFmtId="22" fontId="22" fillId="0" borderId="0" xfId="0" applyNumberFormat="1" applyFont="1">
      <alignment vertical="center"/>
    </xf>
    <xf numFmtId="0" fontId="0" fillId="35" borderId="0" xfId="0" applyFont="1" applyFill="1">
      <alignment vertical="center"/>
    </xf>
    <xf numFmtId="0" fontId="0" fillId="0" borderId="0" xfId="0" applyFont="1">
      <alignment vertical="center"/>
    </xf>
    <xf numFmtId="0" fontId="29" fillId="0" borderId="11" xfId="0" applyFont="1" applyBorder="1">
      <alignment vertical="center"/>
    </xf>
    <xf numFmtId="22" fontId="27" fillId="0" borderId="11" xfId="0" applyNumberFormat="1" applyFont="1" applyBorder="1">
      <alignment vertical="center"/>
    </xf>
    <xf numFmtId="182" fontId="27" fillId="0" borderId="0" xfId="0" applyNumberFormat="1" applyFont="1">
      <alignment vertical="center"/>
    </xf>
    <xf numFmtId="179" fontId="29" fillId="35" borderId="0" xfId="0" applyNumberFormat="1" applyFont="1" applyFill="1">
      <alignment vertical="center"/>
    </xf>
    <xf numFmtId="0" fontId="27" fillId="35" borderId="0" xfId="0" applyFont="1" applyFill="1" applyBorder="1" applyAlignment="1">
      <alignment horizontal="center" vertical="center"/>
    </xf>
    <xf numFmtId="177" fontId="71" fillId="35" borderId="11" xfId="0" applyNumberFormat="1" applyFont="1" applyFill="1" applyBorder="1" applyAlignment="1">
      <alignment horizontal="center" vertical="center"/>
    </xf>
    <xf numFmtId="0" fontId="0" fillId="0" borderId="0" xfId="0">
      <alignment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179" fontId="14" fillId="33" borderId="13" xfId="0" applyNumberFormat="1" applyFont="1" applyFill="1" applyBorder="1" applyAlignment="1">
      <alignment horizontal="center" vertical="center"/>
    </xf>
    <xf numFmtId="183" fontId="51" fillId="34" borderId="10" xfId="0" applyNumberFormat="1" applyFont="1" applyFill="1" applyBorder="1" applyAlignment="1">
      <alignment horizontal="center" vertical="center"/>
    </xf>
    <xf numFmtId="0" fontId="27" fillId="34" borderId="21" xfId="0" applyFont="1" applyFill="1" applyBorder="1" applyAlignment="1">
      <alignment horizontal="center" vertical="center"/>
    </xf>
    <xf numFmtId="0" fontId="21" fillId="0" borderId="10" xfId="0" applyFont="1" applyBorder="1">
      <alignment vertical="center"/>
    </xf>
    <xf numFmtId="0" fontId="0" fillId="33" borderId="10" xfId="0" applyFill="1" applyBorder="1" applyAlignment="1">
      <alignment horizontal="center" vertical="center"/>
    </xf>
    <xf numFmtId="0" fontId="27" fillId="33" borderId="10" xfId="0" applyFont="1" applyFill="1" applyBorder="1">
      <alignment vertical="center"/>
    </xf>
    <xf numFmtId="0" fontId="27" fillId="33" borderId="10" xfId="0" applyFont="1" applyFill="1" applyBorder="1" applyAlignment="1">
      <alignment horizontal="right" vertical="center"/>
    </xf>
    <xf numFmtId="2" fontId="23" fillId="33" borderId="10" xfId="7" applyNumberFormat="1" applyFont="1" applyFill="1" applyBorder="1" applyAlignment="1">
      <alignment horizontal="center" vertical="center"/>
    </xf>
    <xf numFmtId="2" fontId="22" fillId="33" borderId="10" xfId="7" applyNumberFormat="1" applyFont="1" applyFill="1" applyBorder="1" applyAlignment="1">
      <alignment horizontal="center" vertical="center"/>
    </xf>
    <xf numFmtId="2" fontId="19" fillId="33" borderId="10" xfId="8" applyNumberFormat="1" applyFont="1" applyFill="1" applyBorder="1" applyAlignment="1">
      <alignment horizontal="center" vertical="center"/>
    </xf>
    <xf numFmtId="0" fontId="19" fillId="33" borderId="10" xfId="0" applyFont="1" applyFill="1" applyBorder="1" applyAlignment="1">
      <alignment horizontal="center" vertical="center"/>
    </xf>
    <xf numFmtId="2" fontId="23" fillId="34" borderId="10" xfId="7" applyNumberFormat="1" applyFont="1" applyFill="1" applyBorder="1" applyAlignment="1">
      <alignment horizontal="center" vertical="center"/>
    </xf>
    <xf numFmtId="0" fontId="27" fillId="0" borderId="10" xfId="0" applyFont="1" applyBorder="1" applyAlignment="1">
      <alignment horizontal="right" vertical="center"/>
    </xf>
    <xf numFmtId="177" fontId="28" fillId="35" borderId="10" xfId="0" applyNumberFormat="1" applyFont="1" applyFill="1" applyBorder="1" applyAlignment="1">
      <alignment horizontal="center" vertical="center"/>
    </xf>
    <xf numFmtId="0" fontId="0" fillId="35" borderId="10" xfId="0" applyFill="1" applyBorder="1">
      <alignment vertical="center"/>
    </xf>
    <xf numFmtId="0" fontId="0" fillId="0" borderId="24" xfId="0" applyBorder="1" applyAlignment="1">
      <alignment horizontal="center" vertical="center"/>
    </xf>
    <xf numFmtId="0" fontId="27" fillId="0" borderId="0" xfId="0" applyFont="1" applyBorder="1">
      <alignment vertical="center"/>
    </xf>
    <xf numFmtId="0" fontId="27" fillId="0" borderId="0" xfId="0" applyFont="1" applyBorder="1" applyAlignment="1">
      <alignment horizontal="right" vertical="center"/>
    </xf>
    <xf numFmtId="177" fontId="28" fillId="35" borderId="0" xfId="0" applyNumberFormat="1" applyFont="1" applyFill="1" applyBorder="1" applyAlignment="1">
      <alignment horizontal="center" vertical="center"/>
    </xf>
    <xf numFmtId="0" fontId="27" fillId="35" borderId="0" xfId="7" applyFont="1" applyFill="1" applyBorder="1" applyAlignment="1">
      <alignment horizontal="center" vertical="center"/>
    </xf>
    <xf numFmtId="0" fontId="27" fillId="35" borderId="0" xfId="8" applyFont="1" applyFill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3" fillId="33" borderId="11" xfId="0" applyFont="1" applyFill="1" applyBorder="1" applyAlignment="1">
      <alignment horizontal="center" vertical="center"/>
    </xf>
    <xf numFmtId="0" fontId="14" fillId="33" borderId="11" xfId="0" applyFont="1" applyFill="1" applyBorder="1" applyAlignment="1">
      <alignment horizontal="center" vertical="center"/>
    </xf>
    <xf numFmtId="0" fontId="23" fillId="33" borderId="11" xfId="0" applyFont="1" applyFill="1" applyBorder="1">
      <alignment vertical="center"/>
    </xf>
    <xf numFmtId="0" fontId="23" fillId="33" borderId="11" xfId="0" applyFont="1" applyFill="1" applyBorder="1" applyAlignment="1">
      <alignment horizontal="right" vertical="center"/>
    </xf>
    <xf numFmtId="0" fontId="23" fillId="33" borderId="11" xfId="7" applyFont="1" applyFill="1" applyBorder="1" applyAlignment="1">
      <alignment horizontal="center" vertical="center"/>
    </xf>
    <xf numFmtId="0" fontId="23" fillId="33" borderId="11" xfId="8" applyFont="1" applyFill="1" applyBorder="1" applyAlignment="1">
      <alignment horizontal="center" vertical="center"/>
    </xf>
    <xf numFmtId="177" fontId="23" fillId="33" borderId="11" xfId="0" applyNumberFormat="1" applyFont="1" applyFill="1" applyBorder="1" applyAlignment="1">
      <alignment horizontal="center" vertical="center"/>
    </xf>
    <xf numFmtId="0" fontId="21" fillId="0" borderId="0" xfId="0" applyFont="1" applyBorder="1">
      <alignment vertical="center"/>
    </xf>
    <xf numFmtId="0" fontId="21" fillId="0" borderId="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63" fillId="35" borderId="0" xfId="7" applyFont="1" applyFill="1" applyBorder="1" applyAlignment="1">
      <alignment horizontal="center" vertical="center"/>
    </xf>
    <xf numFmtId="0" fontId="63" fillId="35" borderId="0" xfId="8" applyFont="1" applyFill="1" applyBorder="1" applyAlignment="1">
      <alignment horizontal="center" vertical="center"/>
    </xf>
    <xf numFmtId="0" fontId="29" fillId="35" borderId="10" xfId="0" applyFont="1" applyFill="1" applyBorder="1">
      <alignment vertical="center"/>
    </xf>
    <xf numFmtId="0" fontId="22" fillId="34" borderId="23" xfId="0" applyFont="1" applyFill="1" applyBorder="1">
      <alignment vertical="center"/>
    </xf>
    <xf numFmtId="0" fontId="22" fillId="34" borderId="23" xfId="0" applyFont="1" applyFill="1" applyBorder="1" applyAlignment="1">
      <alignment horizontal="right" vertical="center"/>
    </xf>
    <xf numFmtId="0" fontId="22" fillId="34" borderId="23" xfId="0" applyFont="1" applyFill="1" applyBorder="1" applyAlignment="1">
      <alignment horizontal="center" vertical="center"/>
    </xf>
    <xf numFmtId="2" fontId="22" fillId="34" borderId="23" xfId="7" applyNumberFormat="1" applyFont="1" applyFill="1" applyBorder="1" applyAlignment="1">
      <alignment horizontal="center" vertical="center"/>
    </xf>
    <xf numFmtId="0" fontId="27" fillId="34" borderId="26" xfId="0" applyFont="1" applyFill="1" applyBorder="1" applyAlignment="1">
      <alignment horizontal="center" vertical="center"/>
    </xf>
    <xf numFmtId="177" fontId="70" fillId="0" borderId="21" xfId="0" applyNumberFormat="1" applyFont="1" applyBorder="1" applyAlignment="1">
      <alignment horizontal="center" vertical="center"/>
    </xf>
    <xf numFmtId="179" fontId="1" fillId="0" borderId="0" xfId="0" applyNumberFormat="1" applyFont="1">
      <alignment vertical="center"/>
    </xf>
    <xf numFmtId="0" fontId="1" fillId="35" borderId="0" xfId="0" applyFont="1" applyFill="1">
      <alignment vertical="center"/>
    </xf>
    <xf numFmtId="177" fontId="29" fillId="35" borderId="0" xfId="0" applyNumberFormat="1" applyFont="1" applyFill="1">
      <alignment vertical="center"/>
    </xf>
    <xf numFmtId="177" fontId="0" fillId="0" borderId="0" xfId="0" applyNumberFormat="1">
      <alignment vertical="center"/>
    </xf>
    <xf numFmtId="0" fontId="1" fillId="0" borderId="0" xfId="0" applyFont="1" applyAlignment="1">
      <alignment horizontal="center" vertical="center"/>
    </xf>
    <xf numFmtId="0" fontId="63" fillId="35" borderId="19" xfId="0" applyFont="1" applyFill="1" applyBorder="1" applyAlignment="1">
      <alignment horizontal="center" vertical="center"/>
    </xf>
    <xf numFmtId="0" fontId="27" fillId="35" borderId="21" xfId="0" applyFont="1" applyFill="1" applyBorder="1" applyAlignment="1">
      <alignment horizontal="center" vertical="center"/>
    </xf>
    <xf numFmtId="0" fontId="23" fillId="34" borderId="23" xfId="0" applyFont="1" applyFill="1" applyBorder="1">
      <alignment vertical="center"/>
    </xf>
    <xf numFmtId="0" fontId="19" fillId="35" borderId="19" xfId="0" applyFont="1" applyFill="1" applyBorder="1" applyAlignment="1">
      <alignment horizontal="center" vertical="center"/>
    </xf>
    <xf numFmtId="2" fontId="23" fillId="34" borderId="23" xfId="7" applyNumberFormat="1" applyFont="1" applyFill="1" applyBorder="1" applyAlignment="1">
      <alignment horizontal="center" vertical="center"/>
    </xf>
    <xf numFmtId="0" fontId="23" fillId="35" borderId="19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35" borderId="19" xfId="0" applyFill="1" applyBorder="1">
      <alignment vertical="center"/>
    </xf>
    <xf numFmtId="0" fontId="27" fillId="34" borderId="23" xfId="0" applyFont="1" applyFill="1" applyBorder="1" applyAlignment="1">
      <alignment horizontal="center" vertical="center"/>
    </xf>
    <xf numFmtId="0" fontId="23" fillId="35" borderId="14" xfId="0" applyFont="1" applyFill="1" applyBorder="1" applyAlignment="1">
      <alignment horizontal="center" vertical="center"/>
    </xf>
    <xf numFmtId="0" fontId="23" fillId="35" borderId="21" xfId="0" applyFont="1" applyFill="1" applyBorder="1" applyAlignment="1">
      <alignment horizontal="center" vertical="center"/>
    </xf>
    <xf numFmtId="0" fontId="63" fillId="35" borderId="28" xfId="0" applyFont="1" applyFill="1" applyBorder="1" applyAlignment="1">
      <alignment horizontal="center" vertical="center"/>
    </xf>
    <xf numFmtId="0" fontId="0" fillId="0" borderId="23" xfId="0" applyBorder="1">
      <alignment vertical="center"/>
    </xf>
    <xf numFmtId="0" fontId="23" fillId="35" borderId="28" xfId="0" applyFont="1" applyFill="1" applyBorder="1" applyAlignment="1">
      <alignment horizontal="center" vertical="center"/>
    </xf>
    <xf numFmtId="0" fontId="23" fillId="35" borderId="27" xfId="0" applyFont="1" applyFill="1" applyBorder="1" applyAlignment="1">
      <alignment horizontal="center" vertical="center"/>
    </xf>
    <xf numFmtId="0" fontId="27" fillId="35" borderId="28" xfId="0" applyFont="1" applyFill="1" applyBorder="1" applyAlignment="1">
      <alignment horizontal="center" vertical="center"/>
    </xf>
    <xf numFmtId="177" fontId="72" fillId="37" borderId="10" xfId="0" applyNumberFormat="1" applyFont="1" applyFill="1" applyBorder="1" applyAlignment="1">
      <alignment horizontal="center" vertical="center"/>
    </xf>
    <xf numFmtId="177" fontId="81" fillId="0" borderId="11" xfId="0" applyNumberFormat="1" applyFont="1" applyBorder="1" applyAlignment="1">
      <alignment horizontal="center" vertical="center"/>
    </xf>
    <xf numFmtId="0" fontId="23" fillId="34" borderId="23" xfId="0" applyFont="1" applyFill="1" applyBorder="1" applyAlignment="1">
      <alignment horizontal="right" vertical="center"/>
    </xf>
    <xf numFmtId="0" fontId="23" fillId="34" borderId="22" xfId="0" applyFont="1" applyFill="1" applyBorder="1" applyAlignment="1">
      <alignment horizontal="center" vertical="center"/>
    </xf>
    <xf numFmtId="0" fontId="23" fillId="34" borderId="23" xfId="0" applyFont="1" applyFill="1" applyBorder="1" applyAlignment="1">
      <alignment horizontal="center" vertical="center"/>
    </xf>
    <xf numFmtId="0" fontId="19" fillId="35" borderId="28" xfId="0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22" fontId="72" fillId="37" borderId="10" xfId="0" applyNumberFormat="1" applyFont="1" applyFill="1" applyBorder="1" applyAlignment="1">
      <alignment horizontal="center"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83" fontId="14" fillId="33" borderId="13" xfId="0" applyNumberFormat="1" applyFont="1" applyFill="1" applyBorder="1" applyAlignment="1">
      <alignment horizontal="center" vertical="center"/>
    </xf>
    <xf numFmtId="20" fontId="72" fillId="37" borderId="10" xfId="0" applyNumberFormat="1" applyFont="1" applyFill="1" applyBorder="1" applyAlignment="1">
      <alignment horizontal="center" vertical="center"/>
    </xf>
    <xf numFmtId="0" fontId="27" fillId="35" borderId="19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0" fontId="27" fillId="35" borderId="11" xfId="0" applyFont="1" applyFill="1" applyBorder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7" fillId="35" borderId="0" xfId="0" applyFont="1" applyFill="1">
      <alignment vertical="center"/>
    </xf>
    <xf numFmtId="0" fontId="20" fillId="35" borderId="0" xfId="0" applyFont="1" applyFill="1">
      <alignment vertical="center"/>
    </xf>
    <xf numFmtId="177" fontId="27" fillId="35" borderId="0" xfId="0" applyNumberFormat="1" applyFont="1" applyFill="1">
      <alignment vertical="center"/>
    </xf>
    <xf numFmtId="0" fontId="29" fillId="0" borderId="0" xfId="0" applyFont="1">
      <alignment vertical="center"/>
    </xf>
    <xf numFmtId="177" fontId="27" fillId="0" borderId="0" xfId="0" applyNumberFormat="1" applyFont="1">
      <alignment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0" borderId="0" xfId="0" applyFont="1">
      <alignment vertical="center"/>
    </xf>
    <xf numFmtId="0" fontId="27" fillId="0" borderId="0" xfId="0" applyFont="1" applyAlignment="1">
      <alignment horizontal="right" vertical="center"/>
    </xf>
    <xf numFmtId="0" fontId="27" fillId="35" borderId="0" xfId="7" applyFont="1" applyFill="1" applyAlignment="1">
      <alignment horizontal="center" vertical="center"/>
    </xf>
    <xf numFmtId="177" fontId="28" fillId="35" borderId="0" xfId="0" applyNumberFormat="1" applyFont="1" applyFill="1" applyAlignment="1">
      <alignment horizontal="center" vertical="center"/>
    </xf>
    <xf numFmtId="0" fontId="20" fillId="35" borderId="0" xfId="0" applyFont="1" applyFill="1">
      <alignment vertical="center"/>
    </xf>
    <xf numFmtId="0" fontId="1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0" fillId="0" borderId="10" xfId="0" applyBorder="1">
      <alignment vertical="center"/>
    </xf>
    <xf numFmtId="179" fontId="27" fillId="35" borderId="0" xfId="0" applyNumberFormat="1" applyFont="1" applyFill="1">
      <alignment vertical="center"/>
    </xf>
    <xf numFmtId="0" fontId="29" fillId="0" borderId="10" xfId="0" applyFont="1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21" xfId="0" applyNumberFormat="1" applyFont="1" applyFill="1" applyBorder="1" applyAlignment="1">
      <alignment horizontal="center" vertical="center"/>
    </xf>
    <xf numFmtId="176" fontId="72" fillId="37" borderId="10" xfId="0" applyNumberFormat="1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0" xfId="0" applyFont="1" applyFill="1">
      <alignment vertical="center"/>
    </xf>
    <xf numFmtId="0" fontId="72" fillId="37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27" fillId="35" borderId="0" xfId="0" applyFont="1" applyFill="1">
      <alignment vertical="center"/>
    </xf>
    <xf numFmtId="0" fontId="29" fillId="0" borderId="0" xfId="0" applyFont="1">
      <alignment vertical="center"/>
    </xf>
    <xf numFmtId="0" fontId="0" fillId="0" borderId="10" xfId="0" applyBorder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23" fillId="35" borderId="10" xfId="0" applyFont="1" applyFill="1" applyBorder="1" applyAlignment="1">
      <alignment horizontal="center" vertical="center"/>
    </xf>
    <xf numFmtId="0" fontId="19" fillId="35" borderId="10" xfId="0" applyFont="1" applyFill="1" applyBorder="1" applyAlignment="1">
      <alignment horizontal="center"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Fill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0" fontId="78" fillId="0" borderId="10" xfId="0" applyFont="1" applyBorder="1" applyAlignment="1">
      <alignment horizontal="center" vertical="center"/>
    </xf>
    <xf numFmtId="22" fontId="78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177" fontId="70" fillId="0" borderId="11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10" xfId="0" applyBorder="1">
      <alignment vertical="center"/>
    </xf>
    <xf numFmtId="177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Fill="1" applyBorder="1" applyAlignment="1">
      <alignment horizontal="center" vertical="center"/>
    </xf>
    <xf numFmtId="0" fontId="70" fillId="0" borderId="10" xfId="0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35" borderId="0" xfId="0" applyFill="1">
      <alignment vertical="center"/>
    </xf>
    <xf numFmtId="0" fontId="27" fillId="35" borderId="10" xfId="0" applyFont="1" applyFill="1" applyBorder="1" applyAlignment="1">
      <alignment horizontal="center" vertical="center"/>
    </xf>
    <xf numFmtId="0" fontId="0" fillId="0" borderId="11" xfId="0" applyBorder="1">
      <alignment vertical="center"/>
    </xf>
    <xf numFmtId="0" fontId="19" fillId="35" borderId="10" xfId="0" applyFont="1" applyFill="1" applyBorder="1" applyAlignment="1">
      <alignment horizontal="center" vertical="center"/>
    </xf>
    <xf numFmtId="0" fontId="29" fillId="0" borderId="0" xfId="0" applyFont="1">
      <alignment vertical="center"/>
    </xf>
    <xf numFmtId="0" fontId="70" fillId="0" borderId="10" xfId="0" applyFont="1" applyBorder="1" applyAlignment="1">
      <alignment horizontal="center" vertical="center"/>
    </xf>
    <xf numFmtId="22" fontId="70" fillId="0" borderId="10" xfId="0" applyNumberFormat="1" applyFont="1" applyBorder="1" applyAlignment="1">
      <alignment horizontal="center" vertical="center"/>
    </xf>
    <xf numFmtId="20" fontId="70" fillId="0" borderId="10" xfId="0" applyNumberFormat="1" applyFont="1" applyBorder="1" applyAlignment="1">
      <alignment horizontal="center" vertical="center"/>
    </xf>
    <xf numFmtId="177" fontId="70" fillId="0" borderId="10" xfId="0" applyNumberFormat="1" applyFont="1" applyBorder="1" applyAlignment="1">
      <alignment horizontal="center" vertical="center"/>
    </xf>
    <xf numFmtId="0" fontId="71" fillId="0" borderId="10" xfId="0" applyFont="1" applyBorder="1" applyAlignment="1">
      <alignment horizontal="center" vertical="center"/>
    </xf>
    <xf numFmtId="22" fontId="71" fillId="0" borderId="10" xfId="0" applyNumberFormat="1" applyFont="1" applyBorder="1" applyAlignment="1">
      <alignment horizontal="center" vertical="center"/>
    </xf>
    <xf numFmtId="176" fontId="75" fillId="0" borderId="10" xfId="0" applyNumberFormat="1" applyFon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0" fontId="82" fillId="0" borderId="10" xfId="0" applyFont="1" applyBorder="1" applyAlignment="1">
      <alignment horizontal="center" vertical="center"/>
    </xf>
    <xf numFmtId="22" fontId="82" fillId="0" borderId="10" xfId="0" applyNumberFormat="1" applyFont="1" applyBorder="1" applyAlignment="1">
      <alignment horizontal="center" vertical="center"/>
    </xf>
    <xf numFmtId="179" fontId="19" fillId="34" borderId="10" xfId="0" applyNumberFormat="1" applyFont="1" applyFill="1" applyBorder="1" applyAlignment="1">
      <alignment horizontal="center" vertical="center"/>
    </xf>
    <xf numFmtId="0" fontId="84" fillId="35" borderId="10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48" fillId="37" borderId="16" xfId="0" applyFont="1" applyFill="1" applyBorder="1" applyAlignment="1">
      <alignment horizontal="center" vertical="center"/>
    </xf>
    <xf numFmtId="0" fontId="75" fillId="0" borderId="10" xfId="0" applyFont="1" applyBorder="1" applyAlignment="1">
      <alignment horizontal="center" vertical="center"/>
    </xf>
    <xf numFmtId="22" fontId="75" fillId="0" borderId="10" xfId="0" applyNumberFormat="1" applyFont="1" applyBorder="1" applyAlignment="1">
      <alignment horizontal="center" vertical="center"/>
    </xf>
    <xf numFmtId="0" fontId="19" fillId="37" borderId="19" xfId="0" applyFont="1" applyFill="1" applyBorder="1" applyAlignment="1">
      <alignment horizontal="center" vertical="center"/>
    </xf>
    <xf numFmtId="0" fontId="14" fillId="37" borderId="10" xfId="0" applyFont="1" applyFill="1" applyBorder="1" applyAlignment="1">
      <alignment horizontal="center" vertical="center"/>
    </xf>
    <xf numFmtId="2" fontId="19" fillId="37" borderId="10" xfId="0" applyNumberFormat="1" applyFont="1" applyFill="1" applyBorder="1" applyAlignment="1">
      <alignment horizontal="center" vertical="center"/>
    </xf>
    <xf numFmtId="0" fontId="19" fillId="37" borderId="10" xfId="0" applyFont="1" applyFill="1" applyBorder="1" applyAlignment="1">
      <alignment horizontal="center" vertical="center"/>
    </xf>
    <xf numFmtId="0" fontId="14" fillId="37" borderId="11" xfId="0" applyFont="1" applyFill="1" applyBorder="1" applyAlignment="1">
      <alignment horizontal="center" vertical="center"/>
    </xf>
    <xf numFmtId="0" fontId="86" fillId="0" borderId="10" xfId="0" applyFont="1" applyBorder="1" applyAlignment="1">
      <alignment horizontal="center" vertical="center"/>
    </xf>
    <xf numFmtId="0" fontId="87" fillId="0" borderId="10" xfId="0" applyFont="1" applyBorder="1" applyAlignment="1">
      <alignment horizontal="center" vertical="center"/>
    </xf>
    <xf numFmtId="22" fontId="86" fillId="0" borderId="10" xfId="0" applyNumberFormat="1" applyFont="1" applyBorder="1" applyAlignment="1">
      <alignment horizontal="center" vertical="center"/>
    </xf>
    <xf numFmtId="176" fontId="86" fillId="0" borderId="10" xfId="0" applyNumberFormat="1" applyFont="1" applyBorder="1" applyAlignment="1">
      <alignment horizontal="center" vertical="center"/>
    </xf>
    <xf numFmtId="20" fontId="86" fillId="0" borderId="10" xfId="0" applyNumberFormat="1" applyFont="1" applyBorder="1" applyAlignment="1">
      <alignment horizontal="center" vertical="center"/>
    </xf>
    <xf numFmtId="177" fontId="86" fillId="0" borderId="10" xfId="0" applyNumberFormat="1" applyFont="1" applyBorder="1" applyAlignment="1">
      <alignment horizontal="center" vertical="center"/>
    </xf>
    <xf numFmtId="0" fontId="88" fillId="35" borderId="10" xfId="0" applyFont="1" applyFill="1" applyBorder="1" applyAlignment="1">
      <alignment horizontal="center" vertical="center"/>
    </xf>
    <xf numFmtId="0" fontId="89" fillId="35" borderId="0" xfId="0" applyFont="1" applyFill="1">
      <alignment vertical="center"/>
    </xf>
    <xf numFmtId="0" fontId="88" fillId="35" borderId="0" xfId="0" applyFont="1" applyFill="1">
      <alignment vertical="center"/>
    </xf>
    <xf numFmtId="0" fontId="88" fillId="0" borderId="0" xfId="0" applyFont="1">
      <alignment vertical="center"/>
    </xf>
    <xf numFmtId="0" fontId="62" fillId="37" borderId="16" xfId="0" applyFont="1" applyFill="1" applyBorder="1" applyAlignment="1">
      <alignment horizontal="center" vertical="center"/>
    </xf>
    <xf numFmtId="0" fontId="70" fillId="39" borderId="0" xfId="50" applyFont="1" applyFill="1" applyAlignment="1">
      <alignment horizontal="left" vertical="center"/>
    </xf>
    <xf numFmtId="0" fontId="72" fillId="39" borderId="0" xfId="50" applyFont="1" applyFill="1" applyAlignment="1">
      <alignment horizontal="left" vertical="center"/>
    </xf>
    <xf numFmtId="0" fontId="70" fillId="39" borderId="0" xfId="50" applyFont="1" applyFill="1" applyAlignment="1">
      <alignment horizontal="center" vertical="center"/>
    </xf>
    <xf numFmtId="0" fontId="91" fillId="39" borderId="0" xfId="52" applyFont="1" applyFill="1" applyAlignment="1">
      <alignment horizontal="center" vertical="center"/>
    </xf>
    <xf numFmtId="0" fontId="70" fillId="39" borderId="29" xfId="50" applyFont="1" applyFill="1" applyBorder="1" applyAlignment="1">
      <alignment horizontal="center" vertical="center"/>
    </xf>
    <xf numFmtId="0" fontId="70" fillId="39" borderId="29" xfId="50" applyFont="1" applyFill="1" applyBorder="1" applyAlignment="1">
      <alignment horizontal="left" vertical="center"/>
    </xf>
    <xf numFmtId="14" fontId="70" fillId="39" borderId="0" xfId="50" applyNumberFormat="1" applyFont="1" applyFill="1" applyAlignment="1">
      <alignment horizontal="center" vertical="center"/>
    </xf>
    <xf numFmtId="0" fontId="70" fillId="39" borderId="30" xfId="50" applyFont="1" applyFill="1" applyBorder="1" applyAlignment="1">
      <alignment horizontal="center" vertical="center"/>
    </xf>
    <xf numFmtId="0" fontId="70" fillId="39" borderId="30" xfId="50" applyFont="1" applyFill="1" applyBorder="1" applyAlignment="1">
      <alignment horizontal="left" vertical="center"/>
    </xf>
    <xf numFmtId="0" fontId="70" fillId="39" borderId="30" xfId="51" applyFont="1" applyFill="1" applyBorder="1" applyAlignment="1">
      <alignment horizontal="center" vertical="center"/>
    </xf>
    <xf numFmtId="0" fontId="70" fillId="39" borderId="30" xfId="51" applyFont="1" applyFill="1" applyBorder="1" applyAlignment="1">
      <alignment horizontal="left" vertical="center"/>
    </xf>
    <xf numFmtId="0" fontId="70" fillId="39" borderId="0" xfId="51" applyFont="1" applyFill="1" applyAlignment="1">
      <alignment horizontal="center" vertical="center"/>
    </xf>
    <xf numFmtId="0" fontId="70" fillId="39" borderId="0" xfId="51" applyFont="1" applyFill="1" applyAlignment="1">
      <alignment horizontal="left" vertical="center"/>
    </xf>
    <xf numFmtId="0" fontId="70" fillId="0" borderId="0" xfId="0" applyFont="1">
      <alignment vertical="center"/>
    </xf>
    <xf numFmtId="22" fontId="70" fillId="0" borderId="0" xfId="0" applyNumberFormat="1" applyFont="1">
      <alignment vertical="center"/>
    </xf>
    <xf numFmtId="0" fontId="72" fillId="0" borderId="0" xfId="0" applyFont="1">
      <alignment vertical="center"/>
    </xf>
    <xf numFmtId="0" fontId="71" fillId="0" borderId="0" xfId="0" applyFont="1">
      <alignment vertical="center"/>
    </xf>
    <xf numFmtId="0" fontId="70" fillId="0" borderId="0" xfId="0" applyFont="1" applyAlignment="1">
      <alignment horizontal="center" vertical="center"/>
    </xf>
    <xf numFmtId="22" fontId="70" fillId="0" borderId="0" xfId="0" applyNumberFormat="1" applyFont="1" applyAlignment="1">
      <alignment horizontal="center" vertical="center"/>
    </xf>
    <xf numFmtId="0" fontId="72" fillId="37" borderId="0" xfId="0" applyFont="1" applyFill="1">
      <alignment vertical="center"/>
    </xf>
    <xf numFmtId="0" fontId="82" fillId="0" borderId="0" xfId="0" applyFont="1">
      <alignment vertical="center"/>
    </xf>
    <xf numFmtId="184" fontId="70" fillId="0" borderId="10" xfId="0" applyNumberFormat="1" applyFont="1" applyBorder="1" applyAlignment="1">
      <alignment horizontal="center" vertical="center"/>
    </xf>
    <xf numFmtId="0" fontId="70" fillId="0" borderId="10" xfId="0" applyNumberFormat="1" applyFont="1" applyBorder="1" applyAlignment="1">
      <alignment horizontal="center" vertical="center"/>
    </xf>
    <xf numFmtId="185" fontId="70" fillId="0" borderId="10" xfId="0" applyNumberFormat="1" applyFont="1" applyBorder="1" applyAlignment="1">
      <alignment horizontal="center" vertical="center"/>
    </xf>
    <xf numFmtId="185" fontId="70" fillId="0" borderId="10" xfId="0" applyNumberFormat="1" applyFont="1" applyFill="1" applyBorder="1" applyAlignment="1">
      <alignment horizontal="center" vertical="center"/>
    </xf>
    <xf numFmtId="186" fontId="70" fillId="0" borderId="10" xfId="0" applyNumberFormat="1" applyFont="1" applyBorder="1" applyAlignment="1">
      <alignment horizontal="center" vertical="center"/>
    </xf>
    <xf numFmtId="187" fontId="70" fillId="0" borderId="10" xfId="0" applyNumberFormat="1" applyFont="1" applyBorder="1" applyAlignment="1">
      <alignment horizontal="center" vertical="center"/>
    </xf>
    <xf numFmtId="183" fontId="72" fillId="39" borderId="0" xfId="50" applyNumberFormat="1" applyFont="1" applyFill="1" applyAlignment="1">
      <alignment horizontal="center" vertical="center"/>
    </xf>
    <xf numFmtId="0" fontId="70" fillId="0" borderId="0" xfId="0" applyFont="1" applyAlignment="1"/>
    <xf numFmtId="189" fontId="70" fillId="0" borderId="10" xfId="0" applyNumberFormat="1" applyFont="1" applyBorder="1" applyAlignment="1">
      <alignment horizontal="center" vertical="center"/>
    </xf>
    <xf numFmtId="189" fontId="72" fillId="37" borderId="10" xfId="0" applyNumberFormat="1" applyFont="1" applyFill="1" applyBorder="1" applyAlignment="1">
      <alignment horizontal="center" vertical="center"/>
    </xf>
    <xf numFmtId="189" fontId="82" fillId="0" borderId="10" xfId="0" applyNumberFormat="1" applyFont="1" applyBorder="1" applyAlignment="1">
      <alignment horizontal="center" vertical="center"/>
    </xf>
    <xf numFmtId="189" fontId="70" fillId="0" borderId="0" xfId="0" applyNumberFormat="1" applyFont="1" applyAlignment="1"/>
    <xf numFmtId="189" fontId="70" fillId="0" borderId="0" xfId="0" applyNumberFormat="1" applyFont="1">
      <alignment vertical="center"/>
    </xf>
    <xf numFmtId="189" fontId="72" fillId="37" borderId="0" xfId="0" applyNumberFormat="1" applyFont="1" applyFill="1">
      <alignment vertical="center"/>
    </xf>
    <xf numFmtId="189" fontId="82" fillId="0" borderId="0" xfId="0" applyNumberFormat="1" applyFont="1">
      <alignment vertical="center"/>
    </xf>
  </cellXfs>
  <cellStyles count="54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1 2" xfId="44" xr:uid="{00000000-0005-0000-0000-00000D000000}"/>
    <cellStyle name="60% - 輔色2" xfId="25" builtinId="36" customBuiltin="1"/>
    <cellStyle name="60% - 輔色2 2" xfId="45" xr:uid="{00000000-0005-0000-0000-00000F000000}"/>
    <cellStyle name="60% - 輔色3" xfId="29" builtinId="40" customBuiltin="1"/>
    <cellStyle name="60% - 輔色3 2" xfId="46" xr:uid="{00000000-0005-0000-0000-000011000000}"/>
    <cellStyle name="60% - 輔色4" xfId="33" builtinId="44" customBuiltin="1"/>
    <cellStyle name="60% - 輔色4 2" xfId="47" xr:uid="{00000000-0005-0000-0000-000013000000}"/>
    <cellStyle name="60% - 輔色5" xfId="37" builtinId="48" customBuiltin="1"/>
    <cellStyle name="60% - 輔色5 2" xfId="48" xr:uid="{00000000-0005-0000-0000-000015000000}"/>
    <cellStyle name="60% - 輔色6" xfId="41" builtinId="52" customBuiltin="1"/>
    <cellStyle name="60% - 輔色6 2" xfId="49" xr:uid="{00000000-0005-0000-0000-000017000000}"/>
    <cellStyle name="一般" xfId="0" builtinId="0"/>
    <cellStyle name="一般 2" xfId="50" xr:uid="{00000000-0005-0000-0000-000019000000}"/>
    <cellStyle name="一般 2 2" xfId="51" xr:uid="{00000000-0005-0000-0000-00001A000000}"/>
    <cellStyle name="一般 3" xfId="53" xr:uid="{F12981D7-4660-43D1-A19E-FD45A2C6423F}"/>
    <cellStyle name="中等" xfId="8" builtinId="28" customBuiltin="1"/>
    <cellStyle name="中等 2" xfId="43" xr:uid="{00000000-0005-0000-0000-00001C000000}"/>
    <cellStyle name="合計" xfId="17" builtinId="25" customBuiltin="1"/>
    <cellStyle name="好" xfId="6" builtinId="26" customBuiltin="1"/>
    <cellStyle name="百分比" xfId="42" builtinId="5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52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4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111AD3"/>
      <color rgb="FF23956F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35</xdr:row>
      <xdr:rowOff>0</xdr:rowOff>
    </xdr:from>
    <xdr:to>
      <xdr:col>16</xdr:col>
      <xdr:colOff>600075</xdr:colOff>
      <xdr:row>43</xdr:row>
      <xdr:rowOff>114300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7EEC7767-8396-4B80-A0A4-8046DEBD03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421957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1</xdr:row>
      <xdr:rowOff>0</xdr:rowOff>
    </xdr:from>
    <xdr:to>
      <xdr:col>16</xdr:col>
      <xdr:colOff>600075</xdr:colOff>
      <xdr:row>9</xdr:row>
      <xdr:rowOff>114300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4F4C6D34-B2EF-443E-939B-6CDA9F3BEC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81575" y="200025"/>
          <a:ext cx="67722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0</xdr:colOff>
      <xdr:row>11</xdr:row>
      <xdr:rowOff>0</xdr:rowOff>
    </xdr:from>
    <xdr:to>
      <xdr:col>9</xdr:col>
      <xdr:colOff>657225</xdr:colOff>
      <xdr:row>16</xdr:row>
      <xdr:rowOff>0</xdr:rowOff>
    </xdr:to>
    <xdr:sp macro="[0]!Main.MAIN" textlink="">
      <xdr:nvSpPr>
        <xdr:cNvPr id="4" name="矩形 3">
          <a:extLst>
            <a:ext uri="{FF2B5EF4-FFF2-40B4-BE49-F238E27FC236}">
              <a16:creationId xmlns:a16="http://schemas.microsoft.com/office/drawing/2014/main" id="{7235AF11-F311-4114-A7A1-AD76FA584DBC}"/>
            </a:ext>
          </a:extLst>
        </xdr:cNvPr>
        <xdr:cNvSpPr/>
      </xdr:nvSpPr>
      <xdr:spPr>
        <a:xfrm>
          <a:off x="4981575" y="2200275"/>
          <a:ext cx="2028825" cy="100012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800" b="1" i="0">
              <a:latin typeface="Yuanti TC" panose="02010600040101010101" pitchFamily="2" charset="-120"/>
              <a:ea typeface="Yuanti TC" panose="02010600040101010101" pitchFamily="2" charset="-120"/>
            </a:rPr>
            <a:t>計算工時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7FAB-BFD4-49CA-9090-D632AC53C279}">
  <sheetPr codeName="工作表35">
    <tabColor theme="9" tint="0.39997558519241921"/>
  </sheetPr>
  <dimension ref="B2:E45"/>
  <sheetViews>
    <sheetView tabSelected="1" workbookViewId="0"/>
  </sheetViews>
  <sheetFormatPr defaultColWidth="8.625" defaultRowHeight="15.75"/>
  <cols>
    <col min="1" max="1" width="8.625" style="664"/>
    <col min="2" max="2" width="13.625" style="666" customWidth="1"/>
    <col min="3" max="4" width="8.625" style="666"/>
    <col min="5" max="16384" width="8.625" style="664"/>
  </cols>
  <sheetData>
    <row r="2" spans="2:5" s="664" customFormat="1">
      <c r="B2" s="664" t="s">
        <v>168</v>
      </c>
      <c r="C2" s="665" t="s">
        <v>169</v>
      </c>
      <c r="D2" s="666"/>
    </row>
    <row r="3" spans="2:5" s="664" customFormat="1">
      <c r="B3" s="664" t="s">
        <v>170</v>
      </c>
      <c r="C3" s="691" t="s">
        <v>203</v>
      </c>
      <c r="D3" s="666"/>
    </row>
    <row r="4" spans="2:5" s="664" customFormat="1">
      <c r="B4" s="666"/>
      <c r="C4" s="666" t="s">
        <v>172</v>
      </c>
      <c r="D4" s="666"/>
    </row>
    <row r="5" spans="2:5" s="664" customFormat="1">
      <c r="B5" s="667"/>
      <c r="C5" s="666"/>
      <c r="D5" s="666"/>
    </row>
    <row r="6" spans="2:5" s="669" customFormat="1" ht="16.5" thickBot="1">
      <c r="B6" s="668"/>
      <c r="C6" s="668"/>
      <c r="D6" s="668"/>
    </row>
    <row r="7" spans="2:5" s="664" customFormat="1" ht="16.5" thickTop="1">
      <c r="B7" s="666"/>
      <c r="C7" s="666"/>
      <c r="D7" s="666"/>
    </row>
    <row r="8" spans="2:5" s="664" customFormat="1">
      <c r="B8" s="670">
        <v>44101</v>
      </c>
      <c r="C8" s="666" t="s">
        <v>203</v>
      </c>
      <c r="D8" s="666">
        <v>1</v>
      </c>
      <c r="E8" s="664" t="s">
        <v>271</v>
      </c>
    </row>
    <row r="10" spans="2:5" s="672" customFormat="1">
      <c r="B10" s="671"/>
      <c r="C10" s="671"/>
      <c r="D10" s="671"/>
    </row>
    <row r="11" spans="2:5" s="664" customFormat="1">
      <c r="B11" s="670">
        <v>44057</v>
      </c>
      <c r="C11" s="666" t="s">
        <v>199</v>
      </c>
      <c r="D11" s="666">
        <v>1</v>
      </c>
      <c r="E11" s="664" t="s">
        <v>200</v>
      </c>
    </row>
    <row r="12" spans="2:5" s="664" customFormat="1">
      <c r="B12" s="666"/>
      <c r="C12" s="666"/>
      <c r="D12" s="666">
        <v>2</v>
      </c>
      <c r="E12" s="664" t="s">
        <v>201</v>
      </c>
    </row>
    <row r="14" spans="2:5" s="672" customFormat="1">
      <c r="B14" s="671"/>
      <c r="C14" s="671"/>
      <c r="D14" s="671"/>
    </row>
    <row r="15" spans="2:5" s="664" customFormat="1">
      <c r="B15" s="670">
        <v>43794</v>
      </c>
      <c r="C15" s="666" t="s">
        <v>198</v>
      </c>
      <c r="D15" s="666">
        <v>1</v>
      </c>
      <c r="E15" s="664" t="s">
        <v>202</v>
      </c>
    </row>
    <row r="17" spans="2:5" s="672" customFormat="1">
      <c r="B17" s="671"/>
      <c r="C17" s="671"/>
      <c r="D17" s="671"/>
    </row>
    <row r="18" spans="2:5" s="664" customFormat="1">
      <c r="B18" s="670">
        <v>43437</v>
      </c>
      <c r="C18" s="666" t="s">
        <v>196</v>
      </c>
      <c r="D18" s="666">
        <v>1</v>
      </c>
      <c r="E18" s="664" t="s">
        <v>197</v>
      </c>
    </row>
    <row r="20" spans="2:5" s="672" customFormat="1">
      <c r="B20" s="671"/>
      <c r="C20" s="671"/>
      <c r="D20" s="671"/>
    </row>
    <row r="21" spans="2:5" s="664" customFormat="1">
      <c r="B21" s="670">
        <v>43437</v>
      </c>
      <c r="C21" s="666" t="s">
        <v>191</v>
      </c>
      <c r="D21" s="666">
        <v>1</v>
      </c>
      <c r="E21" s="664" t="s">
        <v>192</v>
      </c>
    </row>
    <row r="22" spans="2:5" s="664" customFormat="1">
      <c r="B22" s="666"/>
      <c r="C22" s="666"/>
      <c r="D22" s="666">
        <v>2</v>
      </c>
      <c r="E22" s="664" t="s">
        <v>193</v>
      </c>
    </row>
    <row r="23" spans="2:5" s="672" customFormat="1">
      <c r="B23" s="671"/>
      <c r="C23" s="671"/>
      <c r="D23" s="671"/>
    </row>
    <row r="24" spans="2:5" s="664" customFormat="1">
      <c r="B24" s="670">
        <v>43423</v>
      </c>
      <c r="C24" s="666" t="s">
        <v>171</v>
      </c>
      <c r="D24" s="666">
        <v>1</v>
      </c>
      <c r="E24" s="664" t="s">
        <v>173</v>
      </c>
    </row>
    <row r="25" spans="2:5" s="672" customFormat="1">
      <c r="B25" s="671"/>
      <c r="C25" s="671"/>
      <c r="D25" s="671"/>
    </row>
    <row r="26" spans="2:5" s="664" customFormat="1">
      <c r="B26" s="670">
        <v>43410</v>
      </c>
      <c r="C26" s="666" t="s">
        <v>174</v>
      </c>
      <c r="D26" s="666">
        <v>1</v>
      </c>
      <c r="E26" s="664" t="s">
        <v>194</v>
      </c>
    </row>
    <row r="28" spans="2:5" s="672" customFormat="1">
      <c r="B28" s="671"/>
      <c r="C28" s="671"/>
      <c r="D28" s="671"/>
    </row>
    <row r="29" spans="2:5" s="664" customFormat="1">
      <c r="B29" s="670">
        <v>43314</v>
      </c>
      <c r="C29" s="666" t="s">
        <v>175</v>
      </c>
      <c r="D29" s="666">
        <v>1</v>
      </c>
      <c r="E29" s="664" t="s">
        <v>176</v>
      </c>
    </row>
    <row r="30" spans="2:5" s="672" customFormat="1">
      <c r="B30" s="671"/>
      <c r="C30" s="671"/>
      <c r="D30" s="671"/>
    </row>
    <row r="31" spans="2:5" s="664" customFormat="1">
      <c r="B31" s="670">
        <v>43314</v>
      </c>
      <c r="C31" s="666" t="s">
        <v>177</v>
      </c>
      <c r="D31" s="666">
        <v>1</v>
      </c>
      <c r="E31" s="664" t="s">
        <v>178</v>
      </c>
    </row>
    <row r="32" spans="2:5" s="672" customFormat="1">
      <c r="B32" s="671"/>
      <c r="C32" s="671"/>
      <c r="D32" s="671"/>
    </row>
    <row r="33" spans="2:5" s="664" customFormat="1">
      <c r="B33" s="670">
        <v>43283</v>
      </c>
      <c r="C33" s="666" t="s">
        <v>179</v>
      </c>
      <c r="D33" s="666">
        <v>1</v>
      </c>
      <c r="E33" s="664" t="s">
        <v>180</v>
      </c>
    </row>
    <row r="34" spans="2:5" s="664" customFormat="1">
      <c r="B34" s="670"/>
      <c r="C34" s="666"/>
      <c r="D34" s="666"/>
    </row>
    <row r="35" spans="2:5" s="674" customFormat="1">
      <c r="B35" s="673"/>
      <c r="C35" s="673"/>
      <c r="D35" s="673"/>
    </row>
    <row r="36" spans="2:5" s="664" customFormat="1">
      <c r="B36" s="666"/>
      <c r="C36" s="666">
        <v>1</v>
      </c>
      <c r="D36" s="675">
        <v>1</v>
      </c>
      <c r="E36" s="676" t="s">
        <v>181</v>
      </c>
    </row>
    <row r="37" spans="2:5" s="664" customFormat="1">
      <c r="B37" s="666"/>
      <c r="C37" s="666"/>
      <c r="D37" s="675">
        <v>2</v>
      </c>
      <c r="E37" s="676" t="s">
        <v>182</v>
      </c>
    </row>
    <row r="38" spans="2:5" s="664" customFormat="1">
      <c r="B38" s="666"/>
      <c r="C38" s="666"/>
      <c r="D38" s="675">
        <v>3</v>
      </c>
      <c r="E38" s="676" t="s">
        <v>183</v>
      </c>
    </row>
    <row r="39" spans="2:5" s="664" customFormat="1">
      <c r="B39" s="666"/>
      <c r="C39" s="666"/>
      <c r="D39" s="675">
        <v>4</v>
      </c>
      <c r="E39" s="676" t="s">
        <v>184</v>
      </c>
    </row>
    <row r="40" spans="2:5" s="664" customFormat="1">
      <c r="B40" s="666"/>
      <c r="C40" s="666"/>
      <c r="D40" s="675">
        <v>5</v>
      </c>
      <c r="E40" s="676" t="s">
        <v>185</v>
      </c>
    </row>
    <row r="41" spans="2:5" s="664" customFormat="1">
      <c r="B41" s="666"/>
      <c r="C41" s="666"/>
      <c r="D41" s="675">
        <v>6</v>
      </c>
      <c r="E41" s="676" t="s">
        <v>186</v>
      </c>
    </row>
    <row r="42" spans="2:5" s="664" customFormat="1">
      <c r="B42" s="666"/>
      <c r="C42" s="666"/>
      <c r="D42" s="675">
        <v>7</v>
      </c>
      <c r="E42" s="676" t="s">
        <v>187</v>
      </c>
    </row>
    <row r="43" spans="2:5" s="664" customFormat="1">
      <c r="B43" s="666"/>
      <c r="C43" s="666"/>
      <c r="D43" s="675">
        <v>8</v>
      </c>
      <c r="E43" s="676" t="s">
        <v>188</v>
      </c>
    </row>
    <row r="44" spans="2:5" s="664" customFormat="1">
      <c r="B44" s="666"/>
      <c r="C44" s="666"/>
      <c r="D44" s="675">
        <v>9</v>
      </c>
      <c r="E44" s="676" t="s">
        <v>189</v>
      </c>
    </row>
    <row r="45" spans="2:5" s="664" customFormat="1">
      <c r="B45" s="666"/>
      <c r="C45" s="666"/>
      <c r="D45" s="675">
        <v>10</v>
      </c>
      <c r="E45" s="676" t="s">
        <v>190</v>
      </c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E612"/>
  <sheetViews>
    <sheetView zoomScaleNormal="100" workbookViewId="0">
      <selection sqref="A1:E31"/>
    </sheetView>
  </sheetViews>
  <sheetFormatPr defaultRowHeight="15.75"/>
  <cols>
    <col min="1" max="1" width="26.75" style="677" bestFit="1" customWidth="1"/>
    <col min="2" max="2" width="6.625" style="677" bestFit="1" customWidth="1"/>
    <col min="3" max="3" width="9.375" style="677" bestFit="1" customWidth="1"/>
    <col min="4" max="4" width="9.5" style="677" bestFit="1" customWidth="1"/>
    <col min="5" max="5" width="18.875" style="677" bestFit="1" customWidth="1"/>
    <col min="6" max="16384" width="9" style="677"/>
  </cols>
  <sheetData>
    <row r="1" spans="1:5">
      <c r="A1" s="692" t="s">
        <v>266</v>
      </c>
      <c r="B1" s="692" t="s">
        <v>267</v>
      </c>
      <c r="C1" s="692" t="s">
        <v>268</v>
      </c>
      <c r="D1" s="692" t="s">
        <v>269</v>
      </c>
      <c r="E1" s="692" t="s">
        <v>270</v>
      </c>
    </row>
    <row r="2" spans="1:5">
      <c r="A2" s="692" t="s">
        <v>204</v>
      </c>
      <c r="B2" s="692" t="s">
        <v>205</v>
      </c>
      <c r="C2" s="692" t="s">
        <v>206</v>
      </c>
      <c r="D2" s="692" t="s">
        <v>125</v>
      </c>
      <c r="E2" s="692" t="s">
        <v>207</v>
      </c>
    </row>
    <row r="3" spans="1:5">
      <c r="A3" s="692" t="s">
        <v>208</v>
      </c>
      <c r="B3" s="692" t="s">
        <v>205</v>
      </c>
      <c r="C3" s="692" t="s">
        <v>206</v>
      </c>
      <c r="D3" s="692" t="s">
        <v>126</v>
      </c>
      <c r="E3" s="692" t="s">
        <v>209</v>
      </c>
    </row>
    <row r="4" spans="1:5">
      <c r="A4" s="692" t="s">
        <v>210</v>
      </c>
      <c r="B4" s="692" t="s">
        <v>205</v>
      </c>
      <c r="C4" s="692" t="s">
        <v>206</v>
      </c>
      <c r="D4" s="692" t="s">
        <v>125</v>
      </c>
      <c r="E4" s="692" t="s">
        <v>211</v>
      </c>
    </row>
    <row r="5" spans="1:5">
      <c r="A5" s="692" t="s">
        <v>212</v>
      </c>
      <c r="B5" s="692" t="s">
        <v>205</v>
      </c>
      <c r="C5" s="692" t="s">
        <v>206</v>
      </c>
      <c r="D5" s="692" t="s">
        <v>126</v>
      </c>
      <c r="E5" s="692" t="s">
        <v>213</v>
      </c>
    </row>
    <row r="6" spans="1:5">
      <c r="A6" s="692" t="s">
        <v>214</v>
      </c>
      <c r="B6" s="692" t="s">
        <v>205</v>
      </c>
      <c r="C6" s="692" t="s">
        <v>206</v>
      </c>
      <c r="D6" s="692" t="s">
        <v>125</v>
      </c>
      <c r="E6" s="692" t="s">
        <v>215</v>
      </c>
    </row>
    <row r="7" spans="1:5">
      <c r="A7" s="692" t="s">
        <v>216</v>
      </c>
      <c r="B7" s="692" t="s">
        <v>205</v>
      </c>
      <c r="C7" s="692" t="s">
        <v>206</v>
      </c>
      <c r="D7" s="692" t="s">
        <v>126</v>
      </c>
      <c r="E7" s="692" t="s">
        <v>217</v>
      </c>
    </row>
    <row r="8" spans="1:5">
      <c r="A8" s="692" t="s">
        <v>218</v>
      </c>
      <c r="B8" s="692" t="s">
        <v>205</v>
      </c>
      <c r="C8" s="692" t="s">
        <v>206</v>
      </c>
      <c r="D8" s="692" t="s">
        <v>127</v>
      </c>
      <c r="E8" s="692" t="s">
        <v>219</v>
      </c>
    </row>
    <row r="9" spans="1:5">
      <c r="A9" s="692" t="s">
        <v>220</v>
      </c>
      <c r="B9" s="692" t="s">
        <v>205</v>
      </c>
      <c r="C9" s="692" t="s">
        <v>206</v>
      </c>
      <c r="D9" s="692" t="s">
        <v>128</v>
      </c>
      <c r="E9" s="692" t="s">
        <v>221</v>
      </c>
    </row>
    <row r="10" spans="1:5">
      <c r="A10" s="692" t="s">
        <v>222</v>
      </c>
      <c r="B10" s="692" t="s">
        <v>205</v>
      </c>
      <c r="C10" s="692" t="s">
        <v>206</v>
      </c>
      <c r="D10" s="692" t="s">
        <v>125</v>
      </c>
      <c r="E10" s="692" t="s">
        <v>223</v>
      </c>
    </row>
    <row r="11" spans="1:5">
      <c r="A11" s="692" t="s">
        <v>224</v>
      </c>
      <c r="B11" s="692" t="s">
        <v>205</v>
      </c>
      <c r="C11" s="692" t="s">
        <v>206</v>
      </c>
      <c r="D11" s="692" t="s">
        <v>126</v>
      </c>
      <c r="E11" s="692" t="s">
        <v>225</v>
      </c>
    </row>
    <row r="12" spans="1:5">
      <c r="A12" s="692" t="s">
        <v>226</v>
      </c>
      <c r="B12" s="692" t="s">
        <v>205</v>
      </c>
      <c r="C12" s="692" t="s">
        <v>206</v>
      </c>
      <c r="D12" s="692" t="s">
        <v>125</v>
      </c>
      <c r="E12" s="692" t="s">
        <v>227</v>
      </c>
    </row>
    <row r="13" spans="1:5">
      <c r="A13" s="692" t="s">
        <v>228</v>
      </c>
      <c r="B13" s="692" t="s">
        <v>205</v>
      </c>
      <c r="C13" s="692" t="s">
        <v>206</v>
      </c>
      <c r="D13" s="692" t="s">
        <v>126</v>
      </c>
      <c r="E13" s="692" t="s">
        <v>229</v>
      </c>
    </row>
    <row r="14" spans="1:5">
      <c r="A14" s="692" t="s">
        <v>230</v>
      </c>
      <c r="B14" s="692" t="s">
        <v>205</v>
      </c>
      <c r="C14" s="692" t="s">
        <v>206</v>
      </c>
      <c r="D14" s="692" t="s">
        <v>127</v>
      </c>
      <c r="E14" s="692" t="s">
        <v>231</v>
      </c>
    </row>
    <row r="15" spans="1:5">
      <c r="A15" s="692" t="s">
        <v>232</v>
      </c>
      <c r="B15" s="692" t="s">
        <v>205</v>
      </c>
      <c r="C15" s="692" t="s">
        <v>206</v>
      </c>
      <c r="D15" s="692" t="s">
        <v>128</v>
      </c>
      <c r="E15" s="692" t="s">
        <v>233</v>
      </c>
    </row>
    <row r="16" spans="1:5">
      <c r="A16" s="692" t="s">
        <v>234</v>
      </c>
      <c r="B16" s="692" t="s">
        <v>205</v>
      </c>
      <c r="C16" s="692" t="s">
        <v>206</v>
      </c>
      <c r="D16" s="692" t="s">
        <v>125</v>
      </c>
      <c r="E16" s="692" t="s">
        <v>235</v>
      </c>
    </row>
    <row r="17" spans="1:5">
      <c r="A17" s="692" t="s">
        <v>236</v>
      </c>
      <c r="B17" s="692" t="s">
        <v>205</v>
      </c>
      <c r="C17" s="692" t="s">
        <v>206</v>
      </c>
      <c r="D17" s="692" t="s">
        <v>126</v>
      </c>
      <c r="E17" s="692" t="s">
        <v>237</v>
      </c>
    </row>
    <row r="18" spans="1:5">
      <c r="A18" s="692" t="s">
        <v>238</v>
      </c>
      <c r="B18" s="692" t="s">
        <v>205</v>
      </c>
      <c r="C18" s="692" t="s">
        <v>206</v>
      </c>
      <c r="D18" s="692" t="s">
        <v>127</v>
      </c>
      <c r="E18" s="692" t="s">
        <v>239</v>
      </c>
    </row>
    <row r="19" spans="1:5">
      <c r="A19" s="692" t="s">
        <v>240</v>
      </c>
      <c r="B19" s="692" t="s">
        <v>205</v>
      </c>
      <c r="C19" s="692" t="s">
        <v>206</v>
      </c>
      <c r="D19" s="692" t="s">
        <v>128</v>
      </c>
      <c r="E19" s="692" t="s">
        <v>241</v>
      </c>
    </row>
    <row r="20" spans="1:5">
      <c r="A20" s="692" t="s">
        <v>242</v>
      </c>
      <c r="B20" s="692" t="s">
        <v>205</v>
      </c>
      <c r="C20" s="692" t="s">
        <v>206</v>
      </c>
      <c r="D20" s="692" t="s">
        <v>125</v>
      </c>
      <c r="E20" s="692" t="s">
        <v>243</v>
      </c>
    </row>
    <row r="21" spans="1:5">
      <c r="A21" s="692" t="s">
        <v>244</v>
      </c>
      <c r="B21" s="692" t="s">
        <v>205</v>
      </c>
      <c r="C21" s="692" t="s">
        <v>206</v>
      </c>
      <c r="D21" s="692" t="s">
        <v>195</v>
      </c>
      <c r="E21" s="692" t="s">
        <v>245</v>
      </c>
    </row>
    <row r="22" spans="1:5">
      <c r="A22" s="692" t="s">
        <v>246</v>
      </c>
      <c r="B22" s="692" t="s">
        <v>205</v>
      </c>
      <c r="C22" s="692" t="s">
        <v>206</v>
      </c>
      <c r="D22" s="692" t="s">
        <v>125</v>
      </c>
      <c r="E22" s="692" t="s">
        <v>247</v>
      </c>
    </row>
    <row r="23" spans="1:5">
      <c r="A23" s="692" t="s">
        <v>248</v>
      </c>
      <c r="B23" s="692" t="s">
        <v>205</v>
      </c>
      <c r="C23" s="692" t="s">
        <v>206</v>
      </c>
      <c r="D23" s="692" t="s">
        <v>126</v>
      </c>
      <c r="E23" s="692" t="s">
        <v>249</v>
      </c>
    </row>
    <row r="24" spans="1:5">
      <c r="A24" s="692" t="s">
        <v>250</v>
      </c>
      <c r="B24" s="692" t="s">
        <v>205</v>
      </c>
      <c r="C24" s="692" t="s">
        <v>206</v>
      </c>
      <c r="D24" s="692" t="s">
        <v>127</v>
      </c>
      <c r="E24" s="692" t="s">
        <v>251</v>
      </c>
    </row>
    <row r="25" spans="1:5">
      <c r="A25" s="692" t="s">
        <v>252</v>
      </c>
      <c r="B25" s="692" t="s">
        <v>205</v>
      </c>
      <c r="C25" s="692" t="s">
        <v>206</v>
      </c>
      <c r="D25" s="692" t="s">
        <v>128</v>
      </c>
      <c r="E25" s="692" t="s">
        <v>253</v>
      </c>
    </row>
    <row r="26" spans="1:5">
      <c r="A26" s="692" t="s">
        <v>254</v>
      </c>
      <c r="B26" s="692" t="s">
        <v>205</v>
      </c>
      <c r="C26" s="692" t="s">
        <v>206</v>
      </c>
      <c r="D26" s="692" t="s">
        <v>125</v>
      </c>
      <c r="E26" s="692" t="s">
        <v>255</v>
      </c>
    </row>
    <row r="27" spans="1:5">
      <c r="A27" s="692" t="s">
        <v>256</v>
      </c>
      <c r="B27" s="692" t="s">
        <v>205</v>
      </c>
      <c r="C27" s="692" t="s">
        <v>206</v>
      </c>
      <c r="D27" s="692" t="s">
        <v>126</v>
      </c>
      <c r="E27" s="692" t="s">
        <v>257</v>
      </c>
    </row>
    <row r="28" spans="1:5">
      <c r="A28" s="692" t="s">
        <v>258</v>
      </c>
      <c r="B28" s="692" t="s">
        <v>205</v>
      </c>
      <c r="C28" s="692" t="s">
        <v>206</v>
      </c>
      <c r="D28" s="692" t="s">
        <v>125</v>
      </c>
      <c r="E28" s="692" t="s">
        <v>259</v>
      </c>
    </row>
    <row r="29" spans="1:5">
      <c r="A29" s="692" t="s">
        <v>260</v>
      </c>
      <c r="B29" s="692" t="s">
        <v>205</v>
      </c>
      <c r="C29" s="692" t="s">
        <v>206</v>
      </c>
      <c r="D29" s="692" t="s">
        <v>126</v>
      </c>
      <c r="E29" s="692" t="s">
        <v>261</v>
      </c>
    </row>
    <row r="30" spans="1:5">
      <c r="A30" s="692" t="s">
        <v>262</v>
      </c>
      <c r="B30" s="692" t="s">
        <v>205</v>
      </c>
      <c r="C30" s="692" t="s">
        <v>206</v>
      </c>
      <c r="D30" s="692" t="s">
        <v>127</v>
      </c>
      <c r="E30" s="692" t="s">
        <v>263</v>
      </c>
    </row>
    <row r="31" spans="1:5">
      <c r="A31" s="692" t="s">
        <v>264</v>
      </c>
      <c r="B31" s="692" t="s">
        <v>205</v>
      </c>
      <c r="C31" s="692" t="s">
        <v>206</v>
      </c>
      <c r="D31" s="692" t="s">
        <v>128</v>
      </c>
      <c r="E31" s="692" t="s">
        <v>265</v>
      </c>
    </row>
    <row r="32" spans="1:5">
      <c r="E32" s="678"/>
    </row>
    <row r="33" spans="5:5">
      <c r="E33" s="678"/>
    </row>
    <row r="34" spans="5:5">
      <c r="E34" s="678"/>
    </row>
    <row r="35" spans="5:5">
      <c r="E35" s="678"/>
    </row>
    <row r="36" spans="5:5">
      <c r="E36" s="678"/>
    </row>
    <row r="37" spans="5:5">
      <c r="E37" s="678"/>
    </row>
    <row r="38" spans="5:5">
      <c r="E38" s="678"/>
    </row>
    <row r="39" spans="5:5">
      <c r="E39" s="678"/>
    </row>
    <row r="40" spans="5:5">
      <c r="E40" s="678"/>
    </row>
    <row r="41" spans="5:5">
      <c r="E41" s="678"/>
    </row>
    <row r="42" spans="5:5">
      <c r="E42" s="678"/>
    </row>
    <row r="43" spans="5:5">
      <c r="E43" s="678"/>
    </row>
    <row r="44" spans="5:5">
      <c r="E44" s="678"/>
    </row>
    <row r="45" spans="5:5">
      <c r="E45" s="678"/>
    </row>
    <row r="46" spans="5:5">
      <c r="E46" s="678"/>
    </row>
    <row r="47" spans="5:5">
      <c r="E47" s="678"/>
    </row>
    <row r="48" spans="5:5">
      <c r="E48" s="678"/>
    </row>
    <row r="49" spans="5:5">
      <c r="E49" s="678"/>
    </row>
    <row r="50" spans="5:5">
      <c r="E50" s="678"/>
    </row>
    <row r="51" spans="5:5">
      <c r="E51" s="678"/>
    </row>
    <row r="52" spans="5:5">
      <c r="E52" s="678"/>
    </row>
    <row r="53" spans="5:5">
      <c r="E53" s="678"/>
    </row>
    <row r="54" spans="5:5">
      <c r="E54" s="678"/>
    </row>
    <row r="55" spans="5:5">
      <c r="E55" s="678"/>
    </row>
    <row r="56" spans="5:5">
      <c r="E56" s="678"/>
    </row>
    <row r="57" spans="5:5">
      <c r="E57" s="678"/>
    </row>
    <row r="58" spans="5:5">
      <c r="E58" s="678"/>
    </row>
    <row r="59" spans="5:5">
      <c r="E59" s="678"/>
    </row>
    <row r="60" spans="5:5">
      <c r="E60" s="678"/>
    </row>
    <row r="61" spans="5:5">
      <c r="E61" s="678"/>
    </row>
    <row r="62" spans="5:5">
      <c r="E62" s="678"/>
    </row>
    <row r="63" spans="5:5">
      <c r="E63" s="678"/>
    </row>
    <row r="64" spans="5:5">
      <c r="E64" s="678"/>
    </row>
    <row r="65" spans="5:5">
      <c r="E65" s="678"/>
    </row>
    <row r="66" spans="5:5">
      <c r="E66" s="678"/>
    </row>
    <row r="67" spans="5:5">
      <c r="E67" s="678"/>
    </row>
    <row r="68" spans="5:5">
      <c r="E68" s="678"/>
    </row>
    <row r="69" spans="5:5">
      <c r="E69" s="678"/>
    </row>
    <row r="70" spans="5:5">
      <c r="E70" s="678"/>
    </row>
    <row r="71" spans="5:5">
      <c r="E71" s="678"/>
    </row>
    <row r="72" spans="5:5">
      <c r="E72" s="678"/>
    </row>
    <row r="73" spans="5:5">
      <c r="E73" s="678"/>
    </row>
    <row r="74" spans="5:5">
      <c r="E74" s="678"/>
    </row>
    <row r="75" spans="5:5">
      <c r="E75" s="678"/>
    </row>
    <row r="76" spans="5:5">
      <c r="E76" s="678"/>
    </row>
    <row r="77" spans="5:5">
      <c r="E77" s="678"/>
    </row>
    <row r="78" spans="5:5">
      <c r="E78" s="678"/>
    </row>
    <row r="79" spans="5:5">
      <c r="E79" s="678"/>
    </row>
    <row r="80" spans="5:5">
      <c r="E80" s="678"/>
    </row>
    <row r="81" spans="5:5">
      <c r="E81" s="678"/>
    </row>
    <row r="82" spans="5:5">
      <c r="E82" s="678"/>
    </row>
    <row r="83" spans="5:5">
      <c r="E83" s="678"/>
    </row>
    <row r="84" spans="5:5">
      <c r="E84" s="678"/>
    </row>
    <row r="85" spans="5:5">
      <c r="E85" s="678"/>
    </row>
    <row r="86" spans="5:5">
      <c r="E86" s="678"/>
    </row>
    <row r="87" spans="5:5">
      <c r="E87" s="678"/>
    </row>
    <row r="88" spans="5:5">
      <c r="E88" s="678"/>
    </row>
    <row r="89" spans="5:5">
      <c r="E89" s="678"/>
    </row>
    <row r="90" spans="5:5">
      <c r="E90" s="678"/>
    </row>
    <row r="91" spans="5:5">
      <c r="E91" s="678"/>
    </row>
    <row r="92" spans="5:5">
      <c r="E92" s="678"/>
    </row>
    <row r="93" spans="5:5">
      <c r="E93" s="678"/>
    </row>
    <row r="94" spans="5:5">
      <c r="E94" s="678"/>
    </row>
    <row r="95" spans="5:5">
      <c r="E95" s="678"/>
    </row>
    <row r="96" spans="5:5">
      <c r="E96" s="678"/>
    </row>
    <row r="97" spans="5:5">
      <c r="E97" s="678"/>
    </row>
    <row r="98" spans="5:5">
      <c r="E98" s="678"/>
    </row>
    <row r="99" spans="5:5">
      <c r="E99" s="678"/>
    </row>
    <row r="100" spans="5:5">
      <c r="E100" s="678"/>
    </row>
    <row r="101" spans="5:5">
      <c r="E101" s="678"/>
    </row>
    <row r="102" spans="5:5">
      <c r="E102" s="678"/>
    </row>
    <row r="103" spans="5:5">
      <c r="E103" s="678"/>
    </row>
    <row r="104" spans="5:5">
      <c r="E104" s="678"/>
    </row>
    <row r="105" spans="5:5">
      <c r="E105" s="678"/>
    </row>
    <row r="106" spans="5:5">
      <c r="E106" s="678"/>
    </row>
    <row r="107" spans="5:5">
      <c r="E107" s="678"/>
    </row>
    <row r="108" spans="5:5">
      <c r="E108" s="678"/>
    </row>
    <row r="109" spans="5:5">
      <c r="E109" s="678"/>
    </row>
    <row r="110" spans="5:5">
      <c r="E110" s="678"/>
    </row>
    <row r="111" spans="5:5">
      <c r="E111" s="678"/>
    </row>
    <row r="112" spans="5:5">
      <c r="E112" s="678"/>
    </row>
    <row r="113" spans="5:5">
      <c r="E113" s="678"/>
    </row>
    <row r="114" spans="5:5">
      <c r="E114" s="678"/>
    </row>
    <row r="115" spans="5:5">
      <c r="E115" s="678"/>
    </row>
    <row r="116" spans="5:5">
      <c r="E116" s="678"/>
    </row>
    <row r="117" spans="5:5">
      <c r="E117" s="678"/>
    </row>
    <row r="118" spans="5:5">
      <c r="E118" s="678"/>
    </row>
    <row r="119" spans="5:5">
      <c r="E119" s="678"/>
    </row>
    <row r="120" spans="5:5">
      <c r="E120" s="678"/>
    </row>
    <row r="121" spans="5:5">
      <c r="E121" s="678"/>
    </row>
    <row r="122" spans="5:5">
      <c r="E122" s="678"/>
    </row>
    <row r="123" spans="5:5">
      <c r="E123" s="678"/>
    </row>
    <row r="124" spans="5:5">
      <c r="E124" s="678"/>
    </row>
    <row r="125" spans="5:5">
      <c r="E125" s="678"/>
    </row>
    <row r="126" spans="5:5">
      <c r="E126" s="678"/>
    </row>
    <row r="127" spans="5:5">
      <c r="E127" s="678"/>
    </row>
    <row r="128" spans="5:5">
      <c r="E128" s="678"/>
    </row>
    <row r="129" spans="5:5">
      <c r="E129" s="678"/>
    </row>
    <row r="130" spans="5:5">
      <c r="E130" s="678"/>
    </row>
    <row r="131" spans="5:5">
      <c r="E131" s="678"/>
    </row>
    <row r="132" spans="5:5">
      <c r="E132" s="678"/>
    </row>
    <row r="133" spans="5:5">
      <c r="E133" s="678"/>
    </row>
    <row r="134" spans="5:5">
      <c r="E134" s="678"/>
    </row>
    <row r="135" spans="5:5">
      <c r="E135" s="678"/>
    </row>
    <row r="136" spans="5:5">
      <c r="E136" s="678"/>
    </row>
    <row r="137" spans="5:5">
      <c r="E137" s="678"/>
    </row>
    <row r="138" spans="5:5">
      <c r="E138" s="678"/>
    </row>
    <row r="139" spans="5:5">
      <c r="E139" s="678"/>
    </row>
    <row r="140" spans="5:5">
      <c r="E140" s="678"/>
    </row>
    <row r="141" spans="5:5">
      <c r="E141" s="678"/>
    </row>
    <row r="142" spans="5:5">
      <c r="E142" s="678"/>
    </row>
    <row r="143" spans="5:5">
      <c r="E143" s="678"/>
    </row>
    <row r="144" spans="5:5">
      <c r="E144" s="678"/>
    </row>
    <row r="145" spans="5:5">
      <c r="E145" s="678"/>
    </row>
    <row r="146" spans="5:5">
      <c r="E146" s="678"/>
    </row>
    <row r="147" spans="5:5">
      <c r="E147" s="678"/>
    </row>
    <row r="148" spans="5:5">
      <c r="E148" s="678"/>
    </row>
    <row r="149" spans="5:5">
      <c r="E149" s="678"/>
    </row>
    <row r="150" spans="5:5">
      <c r="E150" s="678"/>
    </row>
    <row r="151" spans="5:5">
      <c r="E151" s="678"/>
    </row>
    <row r="152" spans="5:5">
      <c r="E152" s="678"/>
    </row>
    <row r="153" spans="5:5">
      <c r="E153" s="678"/>
    </row>
    <row r="154" spans="5:5">
      <c r="E154" s="678"/>
    </row>
    <row r="155" spans="5:5">
      <c r="E155" s="678"/>
    </row>
    <row r="156" spans="5:5">
      <c r="E156" s="678"/>
    </row>
    <row r="157" spans="5:5">
      <c r="E157" s="678"/>
    </row>
    <row r="158" spans="5:5">
      <c r="E158" s="678"/>
    </row>
    <row r="159" spans="5:5">
      <c r="E159" s="678"/>
    </row>
    <row r="160" spans="5:5">
      <c r="E160" s="678"/>
    </row>
    <row r="161" spans="5:5">
      <c r="E161" s="678"/>
    </row>
    <row r="162" spans="5:5">
      <c r="E162" s="678"/>
    </row>
    <row r="163" spans="5:5">
      <c r="E163" s="678"/>
    </row>
    <row r="164" spans="5:5">
      <c r="E164" s="678"/>
    </row>
    <row r="165" spans="5:5">
      <c r="E165" s="678"/>
    </row>
    <row r="166" spans="5:5">
      <c r="E166" s="678"/>
    </row>
    <row r="167" spans="5:5">
      <c r="E167" s="678"/>
    </row>
    <row r="168" spans="5:5">
      <c r="E168" s="678"/>
    </row>
    <row r="169" spans="5:5">
      <c r="E169" s="678"/>
    </row>
    <row r="170" spans="5:5">
      <c r="E170" s="678"/>
    </row>
    <row r="171" spans="5:5">
      <c r="E171" s="678"/>
    </row>
    <row r="172" spans="5:5">
      <c r="E172" s="678"/>
    </row>
    <row r="173" spans="5:5">
      <c r="E173" s="678"/>
    </row>
    <row r="174" spans="5:5">
      <c r="E174" s="678"/>
    </row>
    <row r="175" spans="5:5">
      <c r="E175" s="678"/>
    </row>
    <row r="176" spans="5:5">
      <c r="E176" s="678"/>
    </row>
    <row r="177" spans="5:5">
      <c r="E177" s="678"/>
    </row>
    <row r="178" spans="5:5">
      <c r="E178" s="678"/>
    </row>
    <row r="179" spans="5:5">
      <c r="E179" s="678"/>
    </row>
    <row r="180" spans="5:5">
      <c r="E180" s="678"/>
    </row>
    <row r="181" spans="5:5">
      <c r="E181" s="678"/>
    </row>
    <row r="182" spans="5:5">
      <c r="E182" s="678"/>
    </row>
    <row r="183" spans="5:5">
      <c r="E183" s="678"/>
    </row>
    <row r="184" spans="5:5">
      <c r="E184" s="678"/>
    </row>
    <row r="185" spans="5:5">
      <c r="E185" s="678"/>
    </row>
    <row r="186" spans="5:5">
      <c r="E186" s="678"/>
    </row>
    <row r="187" spans="5:5">
      <c r="E187" s="678"/>
    </row>
    <row r="188" spans="5:5">
      <c r="E188" s="678"/>
    </row>
    <row r="189" spans="5:5">
      <c r="E189" s="678"/>
    </row>
    <row r="190" spans="5:5">
      <c r="E190" s="678"/>
    </row>
    <row r="191" spans="5:5">
      <c r="E191" s="678"/>
    </row>
    <row r="192" spans="5:5">
      <c r="E192" s="678"/>
    </row>
    <row r="193" spans="5:5">
      <c r="E193" s="678"/>
    </row>
    <row r="194" spans="5:5">
      <c r="E194" s="678"/>
    </row>
    <row r="195" spans="5:5">
      <c r="E195" s="678"/>
    </row>
    <row r="196" spans="5:5">
      <c r="E196" s="678"/>
    </row>
    <row r="197" spans="5:5">
      <c r="E197" s="678"/>
    </row>
    <row r="198" spans="5:5">
      <c r="E198" s="678"/>
    </row>
    <row r="199" spans="5:5">
      <c r="E199" s="678"/>
    </row>
    <row r="200" spans="5:5">
      <c r="E200" s="678"/>
    </row>
    <row r="201" spans="5:5">
      <c r="E201" s="678"/>
    </row>
    <row r="202" spans="5:5">
      <c r="E202" s="678"/>
    </row>
    <row r="203" spans="5:5">
      <c r="E203" s="678"/>
    </row>
    <row r="204" spans="5:5">
      <c r="E204" s="678"/>
    </row>
    <row r="205" spans="5:5">
      <c r="E205" s="678"/>
    </row>
    <row r="206" spans="5:5">
      <c r="E206" s="678"/>
    </row>
    <row r="207" spans="5:5">
      <c r="E207" s="678"/>
    </row>
    <row r="208" spans="5:5">
      <c r="E208" s="678"/>
    </row>
    <row r="209" spans="5:5">
      <c r="E209" s="678"/>
    </row>
    <row r="210" spans="5:5">
      <c r="E210" s="678"/>
    </row>
    <row r="211" spans="5:5">
      <c r="E211" s="678"/>
    </row>
    <row r="212" spans="5:5">
      <c r="E212" s="678"/>
    </row>
    <row r="213" spans="5:5">
      <c r="E213" s="678"/>
    </row>
    <row r="214" spans="5:5">
      <c r="E214" s="678"/>
    </row>
    <row r="215" spans="5:5">
      <c r="E215" s="678"/>
    </row>
    <row r="216" spans="5:5">
      <c r="E216" s="678"/>
    </row>
    <row r="217" spans="5:5">
      <c r="E217" s="678"/>
    </row>
    <row r="218" spans="5:5">
      <c r="E218" s="678"/>
    </row>
    <row r="219" spans="5:5">
      <c r="E219" s="678"/>
    </row>
    <row r="220" spans="5:5">
      <c r="E220" s="678"/>
    </row>
    <row r="221" spans="5:5">
      <c r="E221" s="678"/>
    </row>
    <row r="222" spans="5:5">
      <c r="E222" s="678"/>
    </row>
    <row r="223" spans="5:5">
      <c r="E223" s="678"/>
    </row>
    <row r="224" spans="5:5">
      <c r="E224" s="678"/>
    </row>
    <row r="225" spans="5:5">
      <c r="E225" s="678"/>
    </row>
    <row r="226" spans="5:5">
      <c r="E226" s="678"/>
    </row>
    <row r="227" spans="5:5">
      <c r="E227" s="678"/>
    </row>
    <row r="228" spans="5:5">
      <c r="E228" s="678"/>
    </row>
    <row r="229" spans="5:5">
      <c r="E229" s="678"/>
    </row>
    <row r="230" spans="5:5">
      <c r="E230" s="678"/>
    </row>
    <row r="231" spans="5:5">
      <c r="E231" s="678"/>
    </row>
    <row r="232" spans="5:5">
      <c r="E232" s="678"/>
    </row>
    <row r="233" spans="5:5">
      <c r="E233" s="678"/>
    </row>
    <row r="234" spans="5:5">
      <c r="E234" s="678"/>
    </row>
    <row r="235" spans="5:5">
      <c r="E235" s="678"/>
    </row>
    <row r="236" spans="5:5">
      <c r="E236" s="678"/>
    </row>
    <row r="237" spans="5:5">
      <c r="E237" s="678"/>
    </row>
    <row r="238" spans="5:5">
      <c r="E238" s="678"/>
    </row>
    <row r="239" spans="5:5">
      <c r="E239" s="678"/>
    </row>
    <row r="240" spans="5:5">
      <c r="E240" s="678"/>
    </row>
    <row r="241" spans="5:5">
      <c r="E241" s="678"/>
    </row>
    <row r="242" spans="5:5">
      <c r="E242" s="678"/>
    </row>
    <row r="243" spans="5:5">
      <c r="E243" s="678"/>
    </row>
    <row r="244" spans="5:5">
      <c r="E244" s="678"/>
    </row>
    <row r="245" spans="5:5">
      <c r="E245" s="678"/>
    </row>
    <row r="246" spans="5:5">
      <c r="E246" s="678"/>
    </row>
    <row r="247" spans="5:5">
      <c r="E247" s="678"/>
    </row>
    <row r="248" spans="5:5">
      <c r="E248" s="678"/>
    </row>
    <row r="249" spans="5:5">
      <c r="E249" s="678"/>
    </row>
    <row r="250" spans="5:5">
      <c r="E250" s="678"/>
    </row>
    <row r="251" spans="5:5">
      <c r="E251" s="678"/>
    </row>
    <row r="252" spans="5:5">
      <c r="E252" s="678"/>
    </row>
    <row r="253" spans="5:5">
      <c r="E253" s="678"/>
    </row>
    <row r="254" spans="5:5">
      <c r="E254" s="678"/>
    </row>
    <row r="255" spans="5:5">
      <c r="E255" s="678"/>
    </row>
    <row r="256" spans="5:5">
      <c r="E256" s="678"/>
    </row>
    <row r="257" spans="5:5">
      <c r="E257" s="678"/>
    </row>
    <row r="258" spans="5:5">
      <c r="E258" s="678"/>
    </row>
    <row r="259" spans="5:5">
      <c r="E259" s="678"/>
    </row>
    <row r="260" spans="5:5">
      <c r="E260" s="678"/>
    </row>
    <row r="261" spans="5:5">
      <c r="E261" s="678"/>
    </row>
    <row r="262" spans="5:5">
      <c r="E262" s="678"/>
    </row>
    <row r="263" spans="5:5">
      <c r="E263" s="678"/>
    </row>
    <row r="264" spans="5:5">
      <c r="E264" s="678"/>
    </row>
    <row r="265" spans="5:5">
      <c r="E265" s="678"/>
    </row>
    <row r="266" spans="5:5">
      <c r="E266" s="678"/>
    </row>
    <row r="267" spans="5:5">
      <c r="E267" s="678"/>
    </row>
    <row r="268" spans="5:5">
      <c r="E268" s="678"/>
    </row>
    <row r="269" spans="5:5">
      <c r="E269" s="678"/>
    </row>
    <row r="270" spans="5:5">
      <c r="E270" s="678"/>
    </row>
    <row r="271" spans="5:5">
      <c r="E271" s="678"/>
    </row>
    <row r="272" spans="5:5">
      <c r="E272" s="678"/>
    </row>
    <row r="273" spans="5:5">
      <c r="E273" s="678"/>
    </row>
    <row r="274" spans="5:5">
      <c r="E274" s="678"/>
    </row>
    <row r="275" spans="5:5">
      <c r="E275" s="678"/>
    </row>
    <row r="276" spans="5:5">
      <c r="E276" s="678"/>
    </row>
    <row r="277" spans="5:5">
      <c r="E277" s="678"/>
    </row>
    <row r="278" spans="5:5">
      <c r="E278" s="678"/>
    </row>
    <row r="279" spans="5:5">
      <c r="E279" s="678"/>
    </row>
    <row r="280" spans="5:5">
      <c r="E280" s="678"/>
    </row>
    <row r="281" spans="5:5">
      <c r="E281" s="678"/>
    </row>
    <row r="282" spans="5:5">
      <c r="E282" s="678"/>
    </row>
    <row r="283" spans="5:5">
      <c r="E283" s="678"/>
    </row>
    <row r="284" spans="5:5">
      <c r="E284" s="678"/>
    </row>
    <row r="285" spans="5:5">
      <c r="E285" s="678"/>
    </row>
    <row r="286" spans="5:5">
      <c r="E286" s="678"/>
    </row>
    <row r="287" spans="5:5">
      <c r="E287" s="678"/>
    </row>
    <row r="288" spans="5:5">
      <c r="E288" s="678"/>
    </row>
    <row r="289" spans="5:5">
      <c r="E289" s="678"/>
    </row>
    <row r="290" spans="5:5">
      <c r="E290" s="678"/>
    </row>
    <row r="291" spans="5:5">
      <c r="E291" s="678"/>
    </row>
    <row r="292" spans="5:5">
      <c r="E292" s="678"/>
    </row>
    <row r="293" spans="5:5">
      <c r="E293" s="678"/>
    </row>
    <row r="294" spans="5:5">
      <c r="E294" s="678"/>
    </row>
    <row r="295" spans="5:5">
      <c r="E295" s="678"/>
    </row>
    <row r="296" spans="5:5">
      <c r="E296" s="678"/>
    </row>
    <row r="297" spans="5:5">
      <c r="E297" s="678"/>
    </row>
    <row r="298" spans="5:5">
      <c r="E298" s="678"/>
    </row>
    <row r="299" spans="5:5">
      <c r="E299" s="678"/>
    </row>
    <row r="300" spans="5:5">
      <c r="E300" s="678"/>
    </row>
    <row r="301" spans="5:5">
      <c r="E301" s="678"/>
    </row>
    <row r="302" spans="5:5">
      <c r="E302" s="678"/>
    </row>
    <row r="303" spans="5:5">
      <c r="E303" s="678"/>
    </row>
    <row r="304" spans="5:5">
      <c r="E304" s="678"/>
    </row>
    <row r="305" spans="5:5">
      <c r="E305" s="678"/>
    </row>
    <row r="306" spans="5:5">
      <c r="E306" s="678"/>
    </row>
    <row r="307" spans="5:5">
      <c r="E307" s="678"/>
    </row>
    <row r="308" spans="5:5">
      <c r="E308" s="678"/>
    </row>
    <row r="309" spans="5:5">
      <c r="E309" s="678"/>
    </row>
    <row r="310" spans="5:5">
      <c r="E310" s="678"/>
    </row>
    <row r="311" spans="5:5">
      <c r="E311" s="678"/>
    </row>
    <row r="312" spans="5:5">
      <c r="E312" s="678"/>
    </row>
    <row r="313" spans="5:5">
      <c r="E313" s="678"/>
    </row>
    <row r="314" spans="5:5">
      <c r="E314" s="678"/>
    </row>
    <row r="315" spans="5:5">
      <c r="E315" s="678"/>
    </row>
    <row r="316" spans="5:5">
      <c r="E316" s="678"/>
    </row>
    <row r="317" spans="5:5">
      <c r="E317" s="678"/>
    </row>
    <row r="318" spans="5:5">
      <c r="E318" s="678"/>
    </row>
    <row r="319" spans="5:5">
      <c r="E319" s="678"/>
    </row>
    <row r="320" spans="5:5">
      <c r="E320" s="678"/>
    </row>
    <row r="321" spans="5:5">
      <c r="E321" s="678"/>
    </row>
    <row r="322" spans="5:5">
      <c r="E322" s="678"/>
    </row>
    <row r="323" spans="5:5">
      <c r="E323" s="678"/>
    </row>
    <row r="324" spans="5:5">
      <c r="E324" s="678"/>
    </row>
    <row r="325" spans="5:5">
      <c r="E325" s="678"/>
    </row>
    <row r="326" spans="5:5">
      <c r="E326" s="678"/>
    </row>
    <row r="327" spans="5:5">
      <c r="E327" s="678"/>
    </row>
    <row r="328" spans="5:5">
      <c r="E328" s="678"/>
    </row>
    <row r="329" spans="5:5">
      <c r="E329" s="678"/>
    </row>
    <row r="330" spans="5:5">
      <c r="E330" s="678"/>
    </row>
    <row r="331" spans="5:5">
      <c r="E331" s="678"/>
    </row>
    <row r="332" spans="5:5">
      <c r="E332" s="678"/>
    </row>
    <row r="333" spans="5:5">
      <c r="E333" s="678"/>
    </row>
    <row r="334" spans="5:5">
      <c r="E334" s="678"/>
    </row>
    <row r="335" spans="5:5">
      <c r="E335" s="678"/>
    </row>
    <row r="336" spans="5:5">
      <c r="E336" s="678"/>
    </row>
    <row r="337" spans="5:5">
      <c r="E337" s="678"/>
    </row>
    <row r="338" spans="5:5">
      <c r="E338" s="678"/>
    </row>
    <row r="339" spans="5:5">
      <c r="E339" s="678"/>
    </row>
    <row r="340" spans="5:5">
      <c r="E340" s="678"/>
    </row>
    <row r="341" spans="5:5">
      <c r="E341" s="678"/>
    </row>
    <row r="342" spans="5:5">
      <c r="E342" s="678"/>
    </row>
    <row r="343" spans="5:5">
      <c r="E343" s="678"/>
    </row>
    <row r="344" spans="5:5">
      <c r="E344" s="678"/>
    </row>
    <row r="345" spans="5:5">
      <c r="E345" s="678"/>
    </row>
    <row r="346" spans="5:5">
      <c r="E346" s="678"/>
    </row>
    <row r="347" spans="5:5">
      <c r="E347" s="678"/>
    </row>
    <row r="348" spans="5:5">
      <c r="E348" s="678"/>
    </row>
    <row r="349" spans="5:5">
      <c r="E349" s="678"/>
    </row>
    <row r="350" spans="5:5">
      <c r="E350" s="678"/>
    </row>
    <row r="351" spans="5:5">
      <c r="E351" s="678"/>
    </row>
    <row r="352" spans="5:5">
      <c r="E352" s="678"/>
    </row>
    <row r="353" spans="5:5">
      <c r="E353" s="678"/>
    </row>
    <row r="354" spans="5:5">
      <c r="E354" s="678"/>
    </row>
    <row r="355" spans="5:5">
      <c r="E355" s="678"/>
    </row>
    <row r="356" spans="5:5">
      <c r="E356" s="678"/>
    </row>
    <row r="357" spans="5:5">
      <c r="E357" s="678"/>
    </row>
    <row r="358" spans="5:5">
      <c r="E358" s="678"/>
    </row>
    <row r="359" spans="5:5">
      <c r="E359" s="678"/>
    </row>
    <row r="360" spans="5:5">
      <c r="E360" s="678"/>
    </row>
    <row r="361" spans="5:5">
      <c r="E361" s="678"/>
    </row>
    <row r="362" spans="5:5">
      <c r="E362" s="678"/>
    </row>
    <row r="363" spans="5:5">
      <c r="E363" s="678"/>
    </row>
    <row r="364" spans="5:5">
      <c r="E364" s="678"/>
    </row>
    <row r="365" spans="5:5">
      <c r="E365" s="678"/>
    </row>
    <row r="366" spans="5:5">
      <c r="E366" s="678"/>
    </row>
    <row r="367" spans="5:5">
      <c r="E367" s="678"/>
    </row>
    <row r="368" spans="5:5">
      <c r="E368" s="678"/>
    </row>
    <row r="369" spans="5:5">
      <c r="E369" s="678"/>
    </row>
    <row r="370" spans="5:5">
      <c r="E370" s="678"/>
    </row>
    <row r="371" spans="5:5">
      <c r="E371" s="678"/>
    </row>
    <row r="372" spans="5:5">
      <c r="E372" s="678"/>
    </row>
    <row r="373" spans="5:5">
      <c r="E373" s="678"/>
    </row>
    <row r="374" spans="5:5">
      <c r="E374" s="678"/>
    </row>
    <row r="375" spans="5:5">
      <c r="E375" s="678"/>
    </row>
    <row r="376" spans="5:5">
      <c r="E376" s="678"/>
    </row>
    <row r="377" spans="5:5">
      <c r="E377" s="678"/>
    </row>
    <row r="378" spans="5:5">
      <c r="E378" s="678"/>
    </row>
    <row r="379" spans="5:5">
      <c r="E379" s="678"/>
    </row>
    <row r="380" spans="5:5">
      <c r="E380" s="678"/>
    </row>
    <row r="381" spans="5:5">
      <c r="E381" s="678"/>
    </row>
    <row r="382" spans="5:5">
      <c r="E382" s="678"/>
    </row>
    <row r="383" spans="5:5">
      <c r="E383" s="678"/>
    </row>
    <row r="384" spans="5:5">
      <c r="E384" s="678"/>
    </row>
    <row r="385" spans="5:5">
      <c r="E385" s="678"/>
    </row>
    <row r="386" spans="5:5">
      <c r="E386" s="678"/>
    </row>
    <row r="387" spans="5:5">
      <c r="E387" s="678"/>
    </row>
    <row r="388" spans="5:5">
      <c r="E388" s="678"/>
    </row>
    <row r="389" spans="5:5">
      <c r="E389" s="678"/>
    </row>
    <row r="390" spans="5:5">
      <c r="E390" s="678"/>
    </row>
    <row r="391" spans="5:5">
      <c r="E391" s="678"/>
    </row>
    <row r="392" spans="5:5">
      <c r="E392" s="678"/>
    </row>
    <row r="393" spans="5:5">
      <c r="E393" s="678"/>
    </row>
    <row r="394" spans="5:5">
      <c r="E394" s="678"/>
    </row>
    <row r="395" spans="5:5">
      <c r="E395" s="678"/>
    </row>
    <row r="396" spans="5:5">
      <c r="E396" s="678"/>
    </row>
    <row r="397" spans="5:5">
      <c r="E397" s="678"/>
    </row>
    <row r="398" spans="5:5">
      <c r="E398" s="678"/>
    </row>
    <row r="399" spans="5:5">
      <c r="E399" s="678"/>
    </row>
    <row r="400" spans="5:5">
      <c r="E400" s="678"/>
    </row>
    <row r="401" spans="5:5">
      <c r="E401" s="678"/>
    </row>
    <row r="402" spans="5:5">
      <c r="E402" s="678"/>
    </row>
    <row r="403" spans="5:5">
      <c r="E403" s="678"/>
    </row>
    <row r="404" spans="5:5">
      <c r="E404" s="678"/>
    </row>
    <row r="405" spans="5:5">
      <c r="E405" s="678"/>
    </row>
    <row r="406" spans="5:5">
      <c r="E406" s="678"/>
    </row>
    <row r="407" spans="5:5">
      <c r="E407" s="678"/>
    </row>
    <row r="408" spans="5:5">
      <c r="E408" s="678"/>
    </row>
    <row r="409" spans="5:5">
      <c r="E409" s="678"/>
    </row>
    <row r="410" spans="5:5">
      <c r="E410" s="678"/>
    </row>
    <row r="411" spans="5:5">
      <c r="E411" s="678"/>
    </row>
    <row r="412" spans="5:5">
      <c r="E412" s="678"/>
    </row>
    <row r="413" spans="5:5">
      <c r="E413" s="678"/>
    </row>
    <row r="414" spans="5:5">
      <c r="E414" s="678"/>
    </row>
    <row r="415" spans="5:5">
      <c r="E415" s="678"/>
    </row>
    <row r="416" spans="5:5">
      <c r="E416" s="678"/>
    </row>
    <row r="417" spans="5:5">
      <c r="E417" s="678"/>
    </row>
    <row r="418" spans="5:5">
      <c r="E418" s="678"/>
    </row>
    <row r="419" spans="5:5">
      <c r="E419" s="678"/>
    </row>
    <row r="420" spans="5:5">
      <c r="E420" s="678"/>
    </row>
    <row r="421" spans="5:5">
      <c r="E421" s="678"/>
    </row>
    <row r="422" spans="5:5">
      <c r="E422" s="678"/>
    </row>
    <row r="423" spans="5:5">
      <c r="E423" s="678"/>
    </row>
    <row r="424" spans="5:5">
      <c r="E424" s="678"/>
    </row>
    <row r="425" spans="5:5">
      <c r="E425" s="678"/>
    </row>
    <row r="426" spans="5:5">
      <c r="E426" s="678"/>
    </row>
    <row r="427" spans="5:5">
      <c r="E427" s="678"/>
    </row>
    <row r="428" spans="5:5">
      <c r="E428" s="678"/>
    </row>
    <row r="429" spans="5:5">
      <c r="E429" s="678"/>
    </row>
    <row r="430" spans="5:5">
      <c r="E430" s="678"/>
    </row>
    <row r="431" spans="5:5">
      <c r="E431" s="678"/>
    </row>
    <row r="432" spans="5:5">
      <c r="E432" s="678"/>
    </row>
    <row r="433" spans="5:5">
      <c r="E433" s="678"/>
    </row>
    <row r="434" spans="5:5">
      <c r="E434" s="678"/>
    </row>
    <row r="435" spans="5:5">
      <c r="E435" s="678"/>
    </row>
    <row r="436" spans="5:5">
      <c r="E436" s="678"/>
    </row>
    <row r="437" spans="5:5">
      <c r="E437" s="678"/>
    </row>
    <row r="438" spans="5:5">
      <c r="E438" s="678"/>
    </row>
    <row r="439" spans="5:5">
      <c r="E439" s="678"/>
    </row>
    <row r="440" spans="5:5">
      <c r="E440" s="678"/>
    </row>
    <row r="441" spans="5:5">
      <c r="E441" s="678"/>
    </row>
    <row r="442" spans="5:5">
      <c r="E442" s="678"/>
    </row>
    <row r="443" spans="5:5">
      <c r="E443" s="678"/>
    </row>
    <row r="444" spans="5:5">
      <c r="E444" s="678"/>
    </row>
    <row r="445" spans="5:5">
      <c r="E445" s="678"/>
    </row>
    <row r="446" spans="5:5">
      <c r="E446" s="678"/>
    </row>
    <row r="447" spans="5:5">
      <c r="E447" s="678"/>
    </row>
    <row r="448" spans="5:5">
      <c r="E448" s="678"/>
    </row>
    <row r="449" spans="5:5">
      <c r="E449" s="678"/>
    </row>
    <row r="450" spans="5:5">
      <c r="E450" s="678"/>
    </row>
    <row r="451" spans="5:5">
      <c r="E451" s="678"/>
    </row>
    <row r="452" spans="5:5">
      <c r="E452" s="678"/>
    </row>
    <row r="453" spans="5:5">
      <c r="E453" s="678"/>
    </row>
    <row r="454" spans="5:5">
      <c r="E454" s="678"/>
    </row>
    <row r="455" spans="5:5">
      <c r="E455" s="678"/>
    </row>
    <row r="456" spans="5:5">
      <c r="E456" s="678"/>
    </row>
    <row r="457" spans="5:5">
      <c r="E457" s="678"/>
    </row>
    <row r="458" spans="5:5">
      <c r="E458" s="678"/>
    </row>
    <row r="459" spans="5:5">
      <c r="E459" s="678"/>
    </row>
    <row r="460" spans="5:5">
      <c r="E460" s="678"/>
    </row>
    <row r="461" spans="5:5">
      <c r="E461" s="678"/>
    </row>
    <row r="462" spans="5:5">
      <c r="E462" s="678"/>
    </row>
    <row r="463" spans="5:5">
      <c r="E463" s="678"/>
    </row>
    <row r="464" spans="5:5">
      <c r="E464" s="678"/>
    </row>
    <row r="465" spans="5:5">
      <c r="E465" s="678"/>
    </row>
    <row r="466" spans="5:5">
      <c r="E466" s="678"/>
    </row>
    <row r="467" spans="5:5">
      <c r="E467" s="678"/>
    </row>
    <row r="468" spans="5:5">
      <c r="E468" s="678"/>
    </row>
    <row r="469" spans="5:5">
      <c r="E469" s="678"/>
    </row>
    <row r="470" spans="5:5">
      <c r="E470" s="678"/>
    </row>
    <row r="471" spans="5:5">
      <c r="E471" s="678"/>
    </row>
    <row r="472" spans="5:5">
      <c r="E472" s="678"/>
    </row>
    <row r="473" spans="5:5">
      <c r="E473" s="678"/>
    </row>
    <row r="474" spans="5:5">
      <c r="E474" s="678"/>
    </row>
    <row r="475" spans="5:5">
      <c r="E475" s="678"/>
    </row>
    <row r="476" spans="5:5">
      <c r="E476" s="678"/>
    </row>
    <row r="477" spans="5:5">
      <c r="E477" s="678"/>
    </row>
    <row r="478" spans="5:5">
      <c r="E478" s="678"/>
    </row>
    <row r="479" spans="5:5">
      <c r="E479" s="678"/>
    </row>
    <row r="480" spans="5:5">
      <c r="E480" s="678"/>
    </row>
    <row r="481" spans="5:5">
      <c r="E481" s="678"/>
    </row>
    <row r="482" spans="5:5">
      <c r="E482" s="678"/>
    </row>
    <row r="483" spans="5:5">
      <c r="E483" s="678"/>
    </row>
    <row r="484" spans="5:5">
      <c r="E484" s="678"/>
    </row>
    <row r="485" spans="5:5">
      <c r="E485" s="678"/>
    </row>
    <row r="486" spans="5:5">
      <c r="E486" s="678"/>
    </row>
    <row r="487" spans="5:5">
      <c r="E487" s="678"/>
    </row>
    <row r="488" spans="5:5">
      <c r="E488" s="678"/>
    </row>
    <row r="489" spans="5:5">
      <c r="E489" s="678"/>
    </row>
    <row r="490" spans="5:5">
      <c r="E490" s="678"/>
    </row>
    <row r="491" spans="5:5">
      <c r="E491" s="678"/>
    </row>
    <row r="492" spans="5:5">
      <c r="E492" s="678"/>
    </row>
    <row r="493" spans="5:5">
      <c r="E493" s="678"/>
    </row>
    <row r="494" spans="5:5">
      <c r="E494" s="678"/>
    </row>
    <row r="495" spans="5:5">
      <c r="E495" s="678"/>
    </row>
    <row r="496" spans="5:5">
      <c r="E496" s="678"/>
    </row>
    <row r="497" spans="5:5">
      <c r="E497" s="678"/>
    </row>
    <row r="498" spans="5:5">
      <c r="E498" s="678"/>
    </row>
    <row r="499" spans="5:5">
      <c r="E499" s="678"/>
    </row>
    <row r="500" spans="5:5">
      <c r="E500" s="678"/>
    </row>
    <row r="501" spans="5:5">
      <c r="E501" s="678"/>
    </row>
    <row r="502" spans="5:5">
      <c r="E502" s="678"/>
    </row>
    <row r="503" spans="5:5">
      <c r="E503" s="678"/>
    </row>
    <row r="504" spans="5:5">
      <c r="E504" s="678"/>
    </row>
    <row r="505" spans="5:5">
      <c r="E505" s="678"/>
    </row>
    <row r="506" spans="5:5">
      <c r="E506" s="678"/>
    </row>
    <row r="507" spans="5:5">
      <c r="E507" s="678"/>
    </row>
    <row r="508" spans="5:5">
      <c r="E508" s="678"/>
    </row>
    <row r="509" spans="5:5">
      <c r="E509" s="678"/>
    </row>
    <row r="510" spans="5:5">
      <c r="E510" s="678"/>
    </row>
    <row r="511" spans="5:5">
      <c r="E511" s="678"/>
    </row>
    <row r="512" spans="5:5">
      <c r="E512" s="678"/>
    </row>
    <row r="513" spans="5:5">
      <c r="E513" s="678"/>
    </row>
    <row r="514" spans="5:5">
      <c r="E514" s="678"/>
    </row>
    <row r="515" spans="5:5">
      <c r="E515" s="678"/>
    </row>
    <row r="516" spans="5:5">
      <c r="E516" s="678"/>
    </row>
    <row r="517" spans="5:5">
      <c r="E517" s="678"/>
    </row>
    <row r="518" spans="5:5">
      <c r="E518" s="678"/>
    </row>
    <row r="519" spans="5:5">
      <c r="E519" s="678"/>
    </row>
    <row r="520" spans="5:5">
      <c r="E520" s="678"/>
    </row>
    <row r="521" spans="5:5">
      <c r="E521" s="678"/>
    </row>
    <row r="522" spans="5:5">
      <c r="E522" s="678"/>
    </row>
    <row r="523" spans="5:5">
      <c r="E523" s="678"/>
    </row>
    <row r="524" spans="5:5">
      <c r="E524" s="678"/>
    </row>
    <row r="525" spans="5:5">
      <c r="E525" s="678"/>
    </row>
    <row r="526" spans="5:5">
      <c r="E526" s="678"/>
    </row>
    <row r="527" spans="5:5">
      <c r="E527" s="678"/>
    </row>
    <row r="528" spans="5:5">
      <c r="E528" s="678"/>
    </row>
    <row r="529" spans="5:5">
      <c r="E529" s="678"/>
    </row>
    <row r="530" spans="5:5">
      <c r="E530" s="678"/>
    </row>
    <row r="531" spans="5:5">
      <c r="E531" s="678"/>
    </row>
    <row r="532" spans="5:5">
      <c r="E532" s="678"/>
    </row>
    <row r="533" spans="5:5">
      <c r="E533" s="678"/>
    </row>
    <row r="534" spans="5:5">
      <c r="E534" s="678"/>
    </row>
    <row r="535" spans="5:5">
      <c r="E535" s="678"/>
    </row>
    <row r="536" spans="5:5">
      <c r="E536" s="678"/>
    </row>
    <row r="537" spans="5:5">
      <c r="E537" s="678"/>
    </row>
    <row r="538" spans="5:5">
      <c r="E538" s="678"/>
    </row>
    <row r="539" spans="5:5">
      <c r="E539" s="678"/>
    </row>
    <row r="540" spans="5:5">
      <c r="E540" s="678"/>
    </row>
    <row r="541" spans="5:5">
      <c r="E541" s="678"/>
    </row>
    <row r="542" spans="5:5">
      <c r="E542" s="678"/>
    </row>
    <row r="543" spans="5:5">
      <c r="E543" s="678"/>
    </row>
    <row r="544" spans="5:5">
      <c r="E544" s="678"/>
    </row>
    <row r="545" spans="5:5">
      <c r="E545" s="678"/>
    </row>
    <row r="546" spans="5:5">
      <c r="E546" s="678"/>
    </row>
    <row r="547" spans="5:5">
      <c r="E547" s="678"/>
    </row>
    <row r="548" spans="5:5">
      <c r="E548" s="678"/>
    </row>
    <row r="549" spans="5:5">
      <c r="E549" s="678"/>
    </row>
    <row r="550" spans="5:5">
      <c r="E550" s="678"/>
    </row>
    <row r="551" spans="5:5">
      <c r="E551" s="678"/>
    </row>
    <row r="552" spans="5:5">
      <c r="E552" s="678"/>
    </row>
    <row r="553" spans="5:5">
      <c r="E553" s="678"/>
    </row>
    <row r="554" spans="5:5">
      <c r="E554" s="678"/>
    </row>
    <row r="555" spans="5:5">
      <c r="E555" s="678"/>
    </row>
    <row r="556" spans="5:5">
      <c r="E556" s="678"/>
    </row>
    <row r="557" spans="5:5">
      <c r="E557" s="678"/>
    </row>
    <row r="558" spans="5:5">
      <c r="E558" s="678"/>
    </row>
    <row r="559" spans="5:5">
      <c r="E559" s="678"/>
    </row>
    <row r="560" spans="5:5">
      <c r="E560" s="678"/>
    </row>
    <row r="561" spans="5:5">
      <c r="E561" s="678"/>
    </row>
    <row r="562" spans="5:5">
      <c r="E562" s="678"/>
    </row>
    <row r="563" spans="5:5">
      <c r="E563" s="678"/>
    </row>
    <row r="564" spans="5:5">
      <c r="E564" s="678"/>
    </row>
    <row r="565" spans="5:5">
      <c r="E565" s="678"/>
    </row>
    <row r="566" spans="5:5">
      <c r="E566" s="678"/>
    </row>
    <row r="567" spans="5:5">
      <c r="E567" s="678"/>
    </row>
    <row r="568" spans="5:5">
      <c r="E568" s="678"/>
    </row>
    <row r="569" spans="5:5">
      <c r="E569" s="678"/>
    </row>
    <row r="570" spans="5:5">
      <c r="E570" s="678"/>
    </row>
    <row r="571" spans="5:5">
      <c r="E571" s="678"/>
    </row>
    <row r="572" spans="5:5">
      <c r="E572" s="678"/>
    </row>
    <row r="573" spans="5:5">
      <c r="E573" s="678"/>
    </row>
    <row r="574" spans="5:5">
      <c r="E574" s="678"/>
    </row>
    <row r="575" spans="5:5">
      <c r="E575" s="678"/>
    </row>
    <row r="576" spans="5:5">
      <c r="E576" s="678"/>
    </row>
    <row r="577" spans="5:5">
      <c r="E577" s="678"/>
    </row>
    <row r="578" spans="5:5">
      <c r="E578" s="678"/>
    </row>
    <row r="579" spans="5:5">
      <c r="E579" s="678"/>
    </row>
    <row r="580" spans="5:5">
      <c r="E580" s="678"/>
    </row>
    <row r="581" spans="5:5">
      <c r="E581" s="678"/>
    </row>
    <row r="582" spans="5:5">
      <c r="E582" s="678"/>
    </row>
    <row r="583" spans="5:5">
      <c r="E583" s="678"/>
    </row>
    <row r="584" spans="5:5">
      <c r="E584" s="678"/>
    </row>
    <row r="585" spans="5:5">
      <c r="E585" s="678"/>
    </row>
    <row r="586" spans="5:5">
      <c r="E586" s="678"/>
    </row>
    <row r="587" spans="5:5">
      <c r="E587" s="678"/>
    </row>
    <row r="588" spans="5:5">
      <c r="E588" s="678"/>
    </row>
    <row r="589" spans="5:5">
      <c r="E589" s="678"/>
    </row>
    <row r="590" spans="5:5">
      <c r="E590" s="678"/>
    </row>
    <row r="591" spans="5:5">
      <c r="E591" s="678"/>
    </row>
    <row r="592" spans="5:5">
      <c r="E592" s="678"/>
    </row>
    <row r="593" spans="5:5">
      <c r="E593" s="678"/>
    </row>
    <row r="594" spans="5:5">
      <c r="E594" s="678"/>
    </row>
    <row r="595" spans="5:5">
      <c r="E595" s="678"/>
    </row>
    <row r="596" spans="5:5">
      <c r="E596" s="678"/>
    </row>
    <row r="597" spans="5:5">
      <c r="E597" s="678"/>
    </row>
    <row r="598" spans="5:5">
      <c r="E598" s="678"/>
    </row>
    <row r="599" spans="5:5">
      <c r="E599" s="678"/>
    </row>
    <row r="600" spans="5:5">
      <c r="E600" s="678"/>
    </row>
    <row r="601" spans="5:5">
      <c r="E601" s="678"/>
    </row>
    <row r="602" spans="5:5">
      <c r="E602" s="678"/>
    </row>
    <row r="603" spans="5:5">
      <c r="E603" s="678"/>
    </row>
    <row r="604" spans="5:5">
      <c r="E604" s="678"/>
    </row>
    <row r="605" spans="5:5">
      <c r="E605" s="678"/>
    </row>
    <row r="606" spans="5:5">
      <c r="E606" s="678"/>
    </row>
    <row r="607" spans="5:5">
      <c r="E607" s="678"/>
    </row>
    <row r="608" spans="5:5">
      <c r="E608" s="678"/>
    </row>
    <row r="609" spans="5:5">
      <c r="E609" s="678"/>
    </row>
    <row r="610" spans="5:5">
      <c r="E610" s="678"/>
    </row>
    <row r="611" spans="5:5">
      <c r="E611" s="678"/>
    </row>
    <row r="612" spans="5:5">
      <c r="E612" s="67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M813"/>
  <sheetViews>
    <sheetView workbookViewId="0">
      <selection activeCell="E6" sqref="E6"/>
    </sheetView>
  </sheetViews>
  <sheetFormatPr defaultRowHeight="15.75"/>
  <cols>
    <col min="1" max="1" width="26.75" style="677" bestFit="1" customWidth="1"/>
    <col min="2" max="2" width="6.5" style="677" bestFit="1" customWidth="1"/>
    <col min="3" max="3" width="9.75" style="677" bestFit="1" customWidth="1"/>
    <col min="4" max="4" width="9.5" style="677" bestFit="1" customWidth="1"/>
    <col min="5" max="5" width="19.375" style="697" bestFit="1" customWidth="1"/>
    <col min="6" max="16384" width="9" style="677"/>
  </cols>
  <sheetData>
    <row r="1" spans="1:5">
      <c r="A1" s="692" t="s">
        <v>266</v>
      </c>
      <c r="B1" s="692" t="s">
        <v>267</v>
      </c>
      <c r="C1" s="692" t="s">
        <v>268</v>
      </c>
      <c r="D1" s="692" t="s">
        <v>269</v>
      </c>
      <c r="E1" s="696" t="s">
        <v>270</v>
      </c>
    </row>
    <row r="2" spans="1:5">
      <c r="A2" s="692" t="s">
        <v>204</v>
      </c>
      <c r="B2" s="692" t="s">
        <v>205</v>
      </c>
      <c r="C2" s="692" t="s">
        <v>206</v>
      </c>
      <c r="D2" s="692" t="s">
        <v>125</v>
      </c>
      <c r="E2" s="696" t="s">
        <v>207</v>
      </c>
    </row>
    <row r="3" spans="1:5">
      <c r="A3" s="692" t="s">
        <v>208</v>
      </c>
      <c r="B3" s="692" t="s">
        <v>205</v>
      </c>
      <c r="C3" s="692" t="s">
        <v>206</v>
      </c>
      <c r="D3" s="692" t="s">
        <v>126</v>
      </c>
      <c r="E3" s="696" t="s">
        <v>209</v>
      </c>
    </row>
    <row r="4" spans="1:5">
      <c r="A4" s="692" t="s">
        <v>210</v>
      </c>
      <c r="B4" s="692" t="s">
        <v>205</v>
      </c>
      <c r="C4" s="692" t="s">
        <v>206</v>
      </c>
      <c r="D4" s="692" t="s">
        <v>125</v>
      </c>
      <c r="E4" s="696" t="s">
        <v>211</v>
      </c>
    </row>
    <row r="5" spans="1:5" s="679" customFormat="1">
      <c r="A5" s="692" t="s">
        <v>212</v>
      </c>
      <c r="B5" s="692" t="s">
        <v>205</v>
      </c>
      <c r="C5" s="692" t="s">
        <v>206</v>
      </c>
      <c r="D5" s="692" t="s">
        <v>126</v>
      </c>
      <c r="E5" s="696" t="s">
        <v>213</v>
      </c>
    </row>
    <row r="6" spans="1:5">
      <c r="A6" s="692" t="s">
        <v>214</v>
      </c>
      <c r="B6" s="692" t="s">
        <v>205</v>
      </c>
      <c r="C6" s="692" t="s">
        <v>206</v>
      </c>
      <c r="D6" s="692" t="s">
        <v>125</v>
      </c>
      <c r="E6" s="696" t="s">
        <v>215</v>
      </c>
    </row>
    <row r="7" spans="1:5">
      <c r="A7" s="692" t="s">
        <v>216</v>
      </c>
      <c r="B7" s="692" t="s">
        <v>205</v>
      </c>
      <c r="C7" s="692" t="s">
        <v>206</v>
      </c>
      <c r="D7" s="692" t="s">
        <v>126</v>
      </c>
      <c r="E7" s="696" t="s">
        <v>217</v>
      </c>
    </row>
    <row r="8" spans="1:5">
      <c r="A8" s="692" t="s">
        <v>218</v>
      </c>
      <c r="B8" s="692" t="s">
        <v>205</v>
      </c>
      <c r="C8" s="692" t="s">
        <v>206</v>
      </c>
      <c r="D8" s="692" t="s">
        <v>127</v>
      </c>
      <c r="E8" s="696" t="s">
        <v>219</v>
      </c>
    </row>
    <row r="9" spans="1:5">
      <c r="A9" s="692" t="s">
        <v>220</v>
      </c>
      <c r="B9" s="692" t="s">
        <v>205</v>
      </c>
      <c r="C9" s="692" t="s">
        <v>206</v>
      </c>
      <c r="D9" s="692" t="s">
        <v>128</v>
      </c>
      <c r="E9" s="696" t="s">
        <v>221</v>
      </c>
    </row>
    <row r="10" spans="1:5">
      <c r="A10" s="692" t="s">
        <v>222</v>
      </c>
      <c r="B10" s="692" t="s">
        <v>205</v>
      </c>
      <c r="C10" s="692" t="s">
        <v>206</v>
      </c>
      <c r="D10" s="692" t="s">
        <v>125</v>
      </c>
      <c r="E10" s="696" t="s">
        <v>223</v>
      </c>
    </row>
    <row r="11" spans="1:5">
      <c r="A11" s="692" t="s">
        <v>224</v>
      </c>
      <c r="B11" s="692" t="s">
        <v>205</v>
      </c>
      <c r="C11" s="692" t="s">
        <v>206</v>
      </c>
      <c r="D11" s="692" t="s">
        <v>126</v>
      </c>
      <c r="E11" s="696" t="s">
        <v>225</v>
      </c>
    </row>
    <row r="12" spans="1:5">
      <c r="A12" s="692" t="s">
        <v>226</v>
      </c>
      <c r="B12" s="692" t="s">
        <v>205</v>
      </c>
      <c r="C12" s="692" t="s">
        <v>206</v>
      </c>
      <c r="D12" s="692" t="s">
        <v>125</v>
      </c>
      <c r="E12" s="696" t="s">
        <v>227</v>
      </c>
    </row>
    <row r="13" spans="1:5">
      <c r="A13" s="692" t="s">
        <v>228</v>
      </c>
      <c r="B13" s="692" t="s">
        <v>205</v>
      </c>
      <c r="C13" s="692" t="s">
        <v>206</v>
      </c>
      <c r="D13" s="692" t="s">
        <v>126</v>
      </c>
      <c r="E13" s="696" t="s">
        <v>229</v>
      </c>
    </row>
    <row r="14" spans="1:5">
      <c r="A14" s="692" t="s">
        <v>230</v>
      </c>
      <c r="B14" s="692" t="s">
        <v>205</v>
      </c>
      <c r="C14" s="692" t="s">
        <v>206</v>
      </c>
      <c r="D14" s="692" t="s">
        <v>127</v>
      </c>
      <c r="E14" s="696" t="s">
        <v>231</v>
      </c>
    </row>
    <row r="15" spans="1:5">
      <c r="A15" s="692" t="s">
        <v>232</v>
      </c>
      <c r="B15" s="692" t="s">
        <v>205</v>
      </c>
      <c r="C15" s="692" t="s">
        <v>206</v>
      </c>
      <c r="D15" s="692" t="s">
        <v>128</v>
      </c>
      <c r="E15" s="696" t="s">
        <v>233</v>
      </c>
    </row>
    <row r="16" spans="1:5">
      <c r="A16" s="692" t="s">
        <v>234</v>
      </c>
      <c r="B16" s="692" t="s">
        <v>205</v>
      </c>
      <c r="C16" s="692" t="s">
        <v>206</v>
      </c>
      <c r="D16" s="692" t="s">
        <v>125</v>
      </c>
      <c r="E16" s="696" t="s">
        <v>235</v>
      </c>
    </row>
    <row r="17" spans="1:5">
      <c r="A17" s="692" t="s">
        <v>236</v>
      </c>
      <c r="B17" s="692" t="s">
        <v>205</v>
      </c>
      <c r="C17" s="692" t="s">
        <v>206</v>
      </c>
      <c r="D17" s="692" t="s">
        <v>126</v>
      </c>
      <c r="E17" s="696" t="s">
        <v>237</v>
      </c>
    </row>
    <row r="18" spans="1:5">
      <c r="A18" s="692" t="s">
        <v>238</v>
      </c>
      <c r="B18" s="692" t="s">
        <v>205</v>
      </c>
      <c r="C18" s="692" t="s">
        <v>206</v>
      </c>
      <c r="D18" s="692" t="s">
        <v>127</v>
      </c>
      <c r="E18" s="696" t="s">
        <v>239</v>
      </c>
    </row>
    <row r="19" spans="1:5">
      <c r="A19" s="692" t="s">
        <v>240</v>
      </c>
      <c r="B19" s="692" t="s">
        <v>205</v>
      </c>
      <c r="C19" s="692" t="s">
        <v>206</v>
      </c>
      <c r="D19" s="692" t="s">
        <v>128</v>
      </c>
      <c r="E19" s="696" t="s">
        <v>241</v>
      </c>
    </row>
    <row r="20" spans="1:5">
      <c r="A20" s="692" t="s">
        <v>246</v>
      </c>
      <c r="B20" s="692" t="s">
        <v>205</v>
      </c>
      <c r="C20" s="692" t="s">
        <v>206</v>
      </c>
      <c r="D20" s="692" t="s">
        <v>125</v>
      </c>
      <c r="E20" s="696" t="s">
        <v>247</v>
      </c>
    </row>
    <row r="21" spans="1:5">
      <c r="A21" s="692" t="s">
        <v>248</v>
      </c>
      <c r="B21" s="692" t="s">
        <v>205</v>
      </c>
      <c r="C21" s="692" t="s">
        <v>206</v>
      </c>
      <c r="D21" s="692" t="s">
        <v>126</v>
      </c>
      <c r="E21" s="696" t="s">
        <v>249</v>
      </c>
    </row>
    <row r="22" spans="1:5">
      <c r="A22" s="692" t="s">
        <v>250</v>
      </c>
      <c r="B22" s="692" t="s">
        <v>205</v>
      </c>
      <c r="C22" s="692" t="s">
        <v>206</v>
      </c>
      <c r="D22" s="692" t="s">
        <v>127</v>
      </c>
      <c r="E22" s="696" t="s">
        <v>251</v>
      </c>
    </row>
    <row r="23" spans="1:5">
      <c r="A23" s="692" t="s">
        <v>252</v>
      </c>
      <c r="B23" s="692" t="s">
        <v>205</v>
      </c>
      <c r="C23" s="692" t="s">
        <v>206</v>
      </c>
      <c r="D23" s="692" t="s">
        <v>128</v>
      </c>
      <c r="E23" s="696" t="s">
        <v>253</v>
      </c>
    </row>
    <row r="24" spans="1:5">
      <c r="A24" s="692" t="s">
        <v>254</v>
      </c>
      <c r="B24" s="692" t="s">
        <v>205</v>
      </c>
      <c r="C24" s="692" t="s">
        <v>206</v>
      </c>
      <c r="D24" s="692" t="s">
        <v>125</v>
      </c>
      <c r="E24" s="696" t="s">
        <v>255</v>
      </c>
    </row>
    <row r="25" spans="1:5">
      <c r="A25" s="692" t="s">
        <v>256</v>
      </c>
      <c r="B25" s="692" t="s">
        <v>205</v>
      </c>
      <c r="C25" s="692" t="s">
        <v>206</v>
      </c>
      <c r="D25" s="692" t="s">
        <v>126</v>
      </c>
      <c r="E25" s="696" t="s">
        <v>257</v>
      </c>
    </row>
    <row r="26" spans="1:5">
      <c r="A26" s="692" t="s">
        <v>258</v>
      </c>
      <c r="B26" s="692" t="s">
        <v>205</v>
      </c>
      <c r="C26" s="692" t="s">
        <v>206</v>
      </c>
      <c r="D26" s="692" t="s">
        <v>125</v>
      </c>
      <c r="E26" s="696" t="s">
        <v>259</v>
      </c>
    </row>
    <row r="27" spans="1:5">
      <c r="A27" s="692" t="s">
        <v>260</v>
      </c>
      <c r="B27" s="692" t="s">
        <v>205</v>
      </c>
      <c r="C27" s="692" t="s">
        <v>206</v>
      </c>
      <c r="D27" s="692" t="s">
        <v>126</v>
      </c>
      <c r="E27" s="696" t="s">
        <v>261</v>
      </c>
    </row>
    <row r="28" spans="1:5">
      <c r="A28" s="692" t="s">
        <v>262</v>
      </c>
      <c r="B28" s="692" t="s">
        <v>205</v>
      </c>
      <c r="C28" s="692" t="s">
        <v>206</v>
      </c>
      <c r="D28" s="692" t="s">
        <v>127</v>
      </c>
      <c r="E28" s="696" t="s">
        <v>263</v>
      </c>
    </row>
    <row r="29" spans="1:5">
      <c r="A29" s="692" t="s">
        <v>264</v>
      </c>
      <c r="B29" s="692" t="s">
        <v>205</v>
      </c>
      <c r="C29" s="692" t="s">
        <v>206</v>
      </c>
      <c r="D29" s="692" t="s">
        <v>128</v>
      </c>
      <c r="E29" s="696" t="s">
        <v>265</v>
      </c>
    </row>
    <row r="135" spans="1:5" s="679" customFormat="1">
      <c r="A135" s="677"/>
      <c r="B135" s="677"/>
      <c r="C135" s="677"/>
      <c r="D135" s="677"/>
      <c r="E135" s="697"/>
    </row>
    <row r="136" spans="1:5" s="679" customFormat="1">
      <c r="A136" s="677"/>
      <c r="B136" s="677"/>
      <c r="C136" s="677"/>
      <c r="D136" s="677"/>
      <c r="E136" s="697"/>
    </row>
    <row r="184" spans="1:5" s="680" customFormat="1">
      <c r="A184" s="677"/>
      <c r="B184" s="677"/>
      <c r="C184" s="677"/>
      <c r="D184" s="677"/>
      <c r="E184" s="697"/>
    </row>
    <row r="222" spans="9:13">
      <c r="I222" s="681"/>
      <c r="J222" s="681"/>
      <c r="K222" s="681"/>
      <c r="L222" s="681"/>
      <c r="M222" s="682"/>
    </row>
    <row r="223" spans="9:13">
      <c r="I223" s="681"/>
      <c r="J223" s="681"/>
      <c r="K223" s="681"/>
      <c r="L223" s="681"/>
      <c r="M223" s="682"/>
    </row>
    <row r="224" spans="9:13">
      <c r="I224" s="681"/>
      <c r="J224" s="681"/>
      <c r="K224" s="681"/>
      <c r="L224" s="681"/>
      <c r="M224" s="682"/>
    </row>
    <row r="225" spans="9:13">
      <c r="I225" s="681"/>
      <c r="J225" s="681"/>
      <c r="K225" s="681"/>
      <c r="L225" s="681"/>
      <c r="M225" s="682"/>
    </row>
    <row r="510" spans="1:5">
      <c r="A510" s="683"/>
      <c r="B510" s="683"/>
      <c r="C510" s="683"/>
      <c r="D510" s="683"/>
      <c r="E510" s="698"/>
    </row>
    <row r="574" spans="1:5">
      <c r="A574" s="683"/>
      <c r="B574" s="683"/>
      <c r="C574" s="683"/>
      <c r="D574" s="683"/>
      <c r="E574" s="698"/>
    </row>
    <row r="575" spans="1:5">
      <c r="A575" s="684"/>
      <c r="B575" s="684"/>
      <c r="C575" s="684"/>
      <c r="D575" s="684"/>
      <c r="E575" s="699"/>
    </row>
    <row r="615" spans="1:5">
      <c r="A615" s="684"/>
      <c r="B615" s="684"/>
      <c r="C615" s="684"/>
      <c r="D615" s="684"/>
      <c r="E615" s="699"/>
    </row>
    <row r="813" spans="1:5" s="680" customFormat="1">
      <c r="A813" s="677"/>
      <c r="B813" s="677"/>
      <c r="C813" s="677"/>
      <c r="D813" s="677"/>
      <c r="E813" s="697"/>
    </row>
  </sheetData>
  <phoneticPr fontId="18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80BD-45BE-4AC6-9A8D-38CF6E1C8BE5}">
  <sheetPr codeName="工作表36"/>
  <dimension ref="A1:O687"/>
  <sheetViews>
    <sheetView workbookViewId="0"/>
  </sheetViews>
  <sheetFormatPr defaultRowHeight="15.75"/>
  <cols>
    <col min="1" max="1" width="26.75" style="632" bestFit="1" customWidth="1"/>
    <col min="2" max="2" width="6.5" style="632" bestFit="1" customWidth="1"/>
    <col min="3" max="3" width="9.75" style="632" bestFit="1" customWidth="1"/>
    <col min="4" max="4" width="9.5" style="632" bestFit="1" customWidth="1"/>
    <col min="5" max="5" width="19.375" style="693" bestFit="1" customWidth="1"/>
    <col min="6" max="6" width="9" style="690" customWidth="1"/>
    <col min="7" max="7" width="9.5" style="689" bestFit="1" customWidth="1"/>
    <col min="8" max="8" width="9.5" style="686" bestFit="1" customWidth="1"/>
    <col min="9" max="9" width="16.875" style="687" bestFit="1" customWidth="1"/>
    <col min="10" max="10" width="11.625" style="438" bestFit="1" customWidth="1"/>
    <col min="11" max="11" width="9.5" style="685" bestFit="1" customWidth="1"/>
    <col min="12" max="12" width="9.375" style="632" bestFit="1" customWidth="1"/>
    <col min="13" max="14" width="9.5" style="685" bestFit="1" customWidth="1"/>
    <col min="15" max="15" width="9.375" style="632" bestFit="1" customWidth="1"/>
    <col min="16" max="16384" width="9" style="681"/>
  </cols>
  <sheetData>
    <row r="1" spans="1:15">
      <c r="A1" s="632" t="s">
        <v>266</v>
      </c>
      <c r="B1" s="632" t="s">
        <v>267</v>
      </c>
      <c r="C1" s="632" t="s">
        <v>268</v>
      </c>
      <c r="D1" s="632" t="s">
        <v>269</v>
      </c>
      <c r="E1" s="693" t="s">
        <v>270</v>
      </c>
    </row>
    <row r="2" spans="1:15">
      <c r="A2" s="632" t="s">
        <v>204</v>
      </c>
      <c r="B2" s="632" t="s">
        <v>205</v>
      </c>
      <c r="C2" s="632" t="s">
        <v>206</v>
      </c>
      <c r="D2" s="632" t="s">
        <v>125</v>
      </c>
      <c r="E2" s="693">
        <v>44046.355312500003</v>
      </c>
      <c r="F2" s="690">
        <v>0.35486111111111113</v>
      </c>
      <c r="G2" s="689">
        <v>9.6170000000000009</v>
      </c>
      <c r="H2" s="686">
        <v>1</v>
      </c>
      <c r="I2" s="687">
        <v>44046.355312500003</v>
      </c>
      <c r="J2" s="438">
        <v>44046.355312500003</v>
      </c>
      <c r="K2" s="685">
        <v>8</v>
      </c>
      <c r="L2" s="632" t="s">
        <v>115</v>
      </c>
    </row>
    <row r="3" spans="1:15">
      <c r="A3" s="632" t="s">
        <v>208</v>
      </c>
      <c r="B3" s="632" t="s">
        <v>205</v>
      </c>
      <c r="C3" s="632" t="s">
        <v>206</v>
      </c>
      <c r="D3" s="632" t="s">
        <v>126</v>
      </c>
      <c r="E3" s="693">
        <v>44046.755856481483</v>
      </c>
      <c r="F3" s="690">
        <v>0.75555555555555554</v>
      </c>
      <c r="G3" s="689" t="s">
        <v>115</v>
      </c>
      <c r="H3" s="686">
        <v>2</v>
      </c>
      <c r="I3" s="687">
        <v>44046.755856481483</v>
      </c>
      <c r="J3" s="438">
        <v>44046.755856481483</v>
      </c>
      <c r="K3" s="685" t="s">
        <v>115</v>
      </c>
      <c r="L3" s="632" t="s">
        <v>115</v>
      </c>
    </row>
    <row r="4" spans="1:15">
      <c r="A4" s="632" t="s">
        <v>210</v>
      </c>
      <c r="B4" s="632" t="s">
        <v>205</v>
      </c>
      <c r="C4" s="632" t="s">
        <v>206</v>
      </c>
      <c r="D4" s="632" t="s">
        <v>125</v>
      </c>
      <c r="E4" s="693">
        <v>44047.36178240741</v>
      </c>
      <c r="F4" s="690">
        <v>0.3611111111111111</v>
      </c>
      <c r="G4" s="689">
        <v>9.6170000000000009</v>
      </c>
      <c r="H4" s="686">
        <v>3</v>
      </c>
      <c r="I4" s="687">
        <v>44047.36178240741</v>
      </c>
      <c r="J4" s="438">
        <v>44047.36178240741</v>
      </c>
      <c r="K4" s="685">
        <v>8</v>
      </c>
      <c r="L4" s="632" t="s">
        <v>115</v>
      </c>
    </row>
    <row r="5" spans="1:15">
      <c r="A5" s="632" t="s">
        <v>212</v>
      </c>
      <c r="B5" s="632" t="s">
        <v>205</v>
      </c>
      <c r="C5" s="632" t="s">
        <v>206</v>
      </c>
      <c r="D5" s="632" t="s">
        <v>126</v>
      </c>
      <c r="E5" s="693">
        <v>44047.762280092589</v>
      </c>
      <c r="F5" s="690">
        <v>0.76180555555555562</v>
      </c>
      <c r="G5" s="689" t="s">
        <v>115</v>
      </c>
      <c r="H5" s="686">
        <v>4</v>
      </c>
      <c r="I5" s="687">
        <v>44047.762280092589</v>
      </c>
      <c r="J5" s="438">
        <v>44047.762280092589</v>
      </c>
      <c r="K5" s="685" t="s">
        <v>115</v>
      </c>
      <c r="L5" s="632" t="s">
        <v>115</v>
      </c>
    </row>
    <row r="6" spans="1:15">
      <c r="A6" s="632" t="s">
        <v>214</v>
      </c>
      <c r="B6" s="632" t="s">
        <v>205</v>
      </c>
      <c r="C6" s="632" t="s">
        <v>206</v>
      </c>
      <c r="D6" s="632" t="s">
        <v>125</v>
      </c>
      <c r="E6" s="693">
        <v>44048.354108796295</v>
      </c>
      <c r="F6" s="690">
        <v>0.35347222222222219</v>
      </c>
      <c r="G6" s="689">
        <v>9.5329999999999995</v>
      </c>
      <c r="H6" s="686">
        <v>5</v>
      </c>
      <c r="I6" s="687">
        <v>44048.354108796295</v>
      </c>
      <c r="J6" s="438">
        <v>44048.354108796295</v>
      </c>
      <c r="K6" s="685">
        <v>8</v>
      </c>
      <c r="L6" s="632" t="s">
        <v>115</v>
      </c>
    </row>
    <row r="7" spans="1:15">
      <c r="A7" s="632" t="s">
        <v>216</v>
      </c>
      <c r="B7" s="632" t="s">
        <v>205</v>
      </c>
      <c r="C7" s="632" t="s">
        <v>206</v>
      </c>
      <c r="D7" s="632" t="s">
        <v>126</v>
      </c>
      <c r="E7" s="693">
        <v>44048.751250000001</v>
      </c>
      <c r="F7" s="690">
        <v>0.75069444444444444</v>
      </c>
      <c r="G7" s="689" t="s">
        <v>115</v>
      </c>
      <c r="H7" s="686">
        <v>6</v>
      </c>
      <c r="I7" s="687">
        <v>44048.751250000001</v>
      </c>
      <c r="J7" s="438">
        <v>44048.751250000001</v>
      </c>
      <c r="K7" s="685" t="s">
        <v>115</v>
      </c>
      <c r="L7" s="632" t="s">
        <v>115</v>
      </c>
    </row>
    <row r="8" spans="1:15">
      <c r="A8" s="632" t="s">
        <v>218</v>
      </c>
      <c r="B8" s="632" t="s">
        <v>205</v>
      </c>
      <c r="C8" s="632" t="s">
        <v>206</v>
      </c>
      <c r="D8" s="632" t="s">
        <v>127</v>
      </c>
      <c r="E8" s="693">
        <v>44048.779872685183</v>
      </c>
      <c r="F8" s="690">
        <v>0.77986111111111101</v>
      </c>
      <c r="G8" s="689" t="s">
        <v>115</v>
      </c>
      <c r="H8" s="686">
        <v>7</v>
      </c>
      <c r="I8" s="687">
        <v>44048.779872685183</v>
      </c>
      <c r="J8" s="438">
        <v>44048.779872685183</v>
      </c>
      <c r="K8" s="685" t="s">
        <v>115</v>
      </c>
      <c r="L8" s="632" t="s">
        <v>115</v>
      </c>
      <c r="M8" s="685">
        <v>1.083</v>
      </c>
      <c r="N8" s="685">
        <v>1.083</v>
      </c>
      <c r="O8" s="632">
        <v>0</v>
      </c>
    </row>
    <row r="9" spans="1:15">
      <c r="A9" s="632" t="s">
        <v>220</v>
      </c>
      <c r="B9" s="632" t="s">
        <v>205</v>
      </c>
      <c r="C9" s="632" t="s">
        <v>206</v>
      </c>
      <c r="D9" s="632" t="s">
        <v>128</v>
      </c>
      <c r="E9" s="693">
        <v>44048.824999999997</v>
      </c>
      <c r="F9" s="690">
        <v>0.82500000000000007</v>
      </c>
      <c r="G9" s="689" t="s">
        <v>115</v>
      </c>
      <c r="H9" s="686">
        <v>8</v>
      </c>
      <c r="I9" s="687">
        <v>44048.824999999997</v>
      </c>
      <c r="J9" s="438">
        <v>44048.824999999997</v>
      </c>
      <c r="K9" s="685" t="s">
        <v>115</v>
      </c>
      <c r="L9" s="632" t="s">
        <v>115</v>
      </c>
    </row>
    <row r="10" spans="1:15">
      <c r="A10" s="632" t="s">
        <v>222</v>
      </c>
      <c r="B10" s="632" t="s">
        <v>205</v>
      </c>
      <c r="C10" s="632" t="s">
        <v>206</v>
      </c>
      <c r="D10" s="632" t="s">
        <v>125</v>
      </c>
      <c r="E10" s="693">
        <v>44049.361215277779</v>
      </c>
      <c r="F10" s="690">
        <v>0.3611111111111111</v>
      </c>
      <c r="G10" s="689">
        <v>9.5169999999999995</v>
      </c>
      <c r="H10" s="686">
        <v>9</v>
      </c>
      <c r="I10" s="687">
        <v>44049.361215277779</v>
      </c>
      <c r="J10" s="438">
        <v>44049.361215277779</v>
      </c>
      <c r="K10" s="685">
        <v>8</v>
      </c>
      <c r="L10" s="632" t="s">
        <v>115</v>
      </c>
    </row>
    <row r="11" spans="1:15">
      <c r="A11" s="632" t="s">
        <v>224</v>
      </c>
      <c r="B11" s="632" t="s">
        <v>205</v>
      </c>
      <c r="C11" s="632" t="s">
        <v>206</v>
      </c>
      <c r="D11" s="632" t="s">
        <v>126</v>
      </c>
      <c r="E11" s="693">
        <v>44049.758194444446</v>
      </c>
      <c r="F11" s="690">
        <v>0.75763888888888886</v>
      </c>
      <c r="G11" s="689" t="s">
        <v>115</v>
      </c>
      <c r="H11" s="686">
        <v>10</v>
      </c>
      <c r="I11" s="687">
        <v>44049.758194444446</v>
      </c>
      <c r="J11" s="438">
        <v>44049.758194444446</v>
      </c>
      <c r="K11" s="685" t="s">
        <v>115</v>
      </c>
      <c r="L11" s="632" t="s">
        <v>115</v>
      </c>
    </row>
    <row r="12" spans="1:15">
      <c r="A12" s="632" t="s">
        <v>226</v>
      </c>
      <c r="B12" s="632" t="s">
        <v>205</v>
      </c>
      <c r="C12" s="632" t="s">
        <v>206</v>
      </c>
      <c r="D12" s="632" t="s">
        <v>125</v>
      </c>
      <c r="E12" s="693">
        <v>44050.360254629632</v>
      </c>
      <c r="F12" s="690">
        <v>0.35972222222222222</v>
      </c>
      <c r="G12" s="689">
        <v>9.6999999999999993</v>
      </c>
      <c r="H12" s="686">
        <v>11</v>
      </c>
      <c r="I12" s="687">
        <v>44050.360254629632</v>
      </c>
      <c r="J12" s="438">
        <v>44050.360254629632</v>
      </c>
      <c r="K12" s="685">
        <v>8</v>
      </c>
      <c r="L12" s="632" t="s">
        <v>115</v>
      </c>
    </row>
    <row r="13" spans="1:15">
      <c r="A13" s="632" t="s">
        <v>228</v>
      </c>
      <c r="B13" s="632" t="s">
        <v>205</v>
      </c>
      <c r="C13" s="632" t="s">
        <v>206</v>
      </c>
      <c r="D13" s="632" t="s">
        <v>126</v>
      </c>
      <c r="E13" s="693">
        <v>44050.763935185183</v>
      </c>
      <c r="F13" s="690">
        <v>0.76388888888888884</v>
      </c>
      <c r="G13" s="689" t="s">
        <v>115</v>
      </c>
      <c r="H13" s="686">
        <v>12</v>
      </c>
      <c r="I13" s="687">
        <v>44050.763935185183</v>
      </c>
      <c r="J13" s="438">
        <v>44050.763935185183</v>
      </c>
      <c r="K13" s="685" t="s">
        <v>115</v>
      </c>
      <c r="L13" s="632" t="s">
        <v>115</v>
      </c>
    </row>
    <row r="14" spans="1:15">
      <c r="A14" s="632" t="s">
        <v>230</v>
      </c>
      <c r="B14" s="632" t="s">
        <v>205</v>
      </c>
      <c r="C14" s="632" t="s">
        <v>206</v>
      </c>
      <c r="D14" s="632" t="s">
        <v>127</v>
      </c>
      <c r="E14" s="693">
        <v>44050.770833333336</v>
      </c>
      <c r="F14" s="690">
        <v>0.77083333333333337</v>
      </c>
      <c r="G14" s="689" t="s">
        <v>115</v>
      </c>
      <c r="H14" s="686">
        <v>13</v>
      </c>
      <c r="I14" s="687">
        <v>44050.770833333336</v>
      </c>
      <c r="J14" s="438">
        <v>44050.770833333336</v>
      </c>
      <c r="K14" s="685" t="s">
        <v>115</v>
      </c>
      <c r="L14" s="632" t="s">
        <v>115</v>
      </c>
      <c r="M14" s="685">
        <v>0.51700000000000002</v>
      </c>
      <c r="N14" s="685">
        <v>0.51700000000000002</v>
      </c>
      <c r="O14" s="632">
        <v>0</v>
      </c>
    </row>
    <row r="15" spans="1:15">
      <c r="A15" s="632" t="s">
        <v>232</v>
      </c>
      <c r="B15" s="632" t="s">
        <v>205</v>
      </c>
      <c r="C15" s="632" t="s">
        <v>206</v>
      </c>
      <c r="D15" s="632" t="s">
        <v>128</v>
      </c>
      <c r="E15" s="693">
        <v>44050.79241898148</v>
      </c>
      <c r="F15" s="690">
        <v>0.79236111111111107</v>
      </c>
      <c r="G15" s="689" t="s">
        <v>115</v>
      </c>
      <c r="H15" s="686">
        <v>14</v>
      </c>
      <c r="I15" s="687">
        <v>44050.79241898148</v>
      </c>
      <c r="J15" s="438">
        <v>44050.79241898148</v>
      </c>
      <c r="K15" s="685" t="s">
        <v>115</v>
      </c>
      <c r="L15" s="632" t="s">
        <v>115</v>
      </c>
    </row>
    <row r="16" spans="1:15">
      <c r="A16" s="632" t="s">
        <v>234</v>
      </c>
      <c r="B16" s="632" t="s">
        <v>205</v>
      </c>
      <c r="C16" s="632" t="s">
        <v>206</v>
      </c>
      <c r="D16" s="632" t="s">
        <v>125</v>
      </c>
      <c r="E16" s="693">
        <v>44053.360474537039</v>
      </c>
      <c r="F16" s="690">
        <v>0.36041666666666666</v>
      </c>
      <c r="G16" s="689">
        <v>9.8330000000000002</v>
      </c>
      <c r="H16" s="686">
        <v>15</v>
      </c>
      <c r="I16" s="687">
        <v>44053.360474537039</v>
      </c>
      <c r="J16" s="438">
        <v>44053.360474537039</v>
      </c>
      <c r="K16" s="685">
        <v>8</v>
      </c>
      <c r="L16" s="632" t="s">
        <v>115</v>
      </c>
    </row>
    <row r="17" spans="1:15">
      <c r="A17" s="632" t="s">
        <v>236</v>
      </c>
      <c r="B17" s="632" t="s">
        <v>205</v>
      </c>
      <c r="C17" s="632" t="s">
        <v>206</v>
      </c>
      <c r="D17" s="632" t="s">
        <v>126</v>
      </c>
      <c r="E17" s="693">
        <v>44053.770601851851</v>
      </c>
      <c r="F17" s="690">
        <v>0.77013888888888893</v>
      </c>
      <c r="G17" s="689" t="s">
        <v>115</v>
      </c>
      <c r="H17" s="686">
        <v>16</v>
      </c>
      <c r="I17" s="687">
        <v>44053.770601851851</v>
      </c>
      <c r="J17" s="438">
        <v>44053.770601851851</v>
      </c>
      <c r="K17" s="685" t="s">
        <v>115</v>
      </c>
      <c r="L17" s="632" t="s">
        <v>115</v>
      </c>
    </row>
    <row r="18" spans="1:15">
      <c r="A18" s="632" t="s">
        <v>238</v>
      </c>
      <c r="B18" s="632" t="s">
        <v>205</v>
      </c>
      <c r="C18" s="632" t="s">
        <v>206</v>
      </c>
      <c r="D18" s="632" t="s">
        <v>127</v>
      </c>
      <c r="E18" s="693">
        <v>44053.770682870374</v>
      </c>
      <c r="F18" s="690">
        <v>0.77013888888888893</v>
      </c>
      <c r="G18" s="689" t="s">
        <v>115</v>
      </c>
      <c r="H18" s="686">
        <v>17</v>
      </c>
      <c r="I18" s="687">
        <v>44053.770682870374</v>
      </c>
      <c r="J18" s="438">
        <v>44053.770682870374</v>
      </c>
      <c r="K18" s="685" t="s">
        <v>115</v>
      </c>
      <c r="L18" s="632" t="s">
        <v>115</v>
      </c>
      <c r="M18" s="685">
        <v>0.48299999999999998</v>
      </c>
      <c r="N18" s="685">
        <v>0.48299999999999998</v>
      </c>
      <c r="O18" s="632">
        <v>0</v>
      </c>
    </row>
    <row r="19" spans="1:15">
      <c r="A19" s="632" t="s">
        <v>240</v>
      </c>
      <c r="B19" s="632" t="s">
        <v>205</v>
      </c>
      <c r="C19" s="632" t="s">
        <v>206</v>
      </c>
      <c r="D19" s="632" t="s">
        <v>128</v>
      </c>
      <c r="E19" s="693">
        <v>44053.791203703702</v>
      </c>
      <c r="F19" s="690">
        <v>0.7909722222222223</v>
      </c>
      <c r="G19" s="689" t="s">
        <v>115</v>
      </c>
      <c r="H19" s="686">
        <v>18</v>
      </c>
      <c r="I19" s="687">
        <v>44053.791203703702</v>
      </c>
      <c r="J19" s="438">
        <v>44053.791203703702</v>
      </c>
      <c r="K19" s="685" t="s">
        <v>115</v>
      </c>
      <c r="L19" s="632" t="s">
        <v>115</v>
      </c>
    </row>
    <row r="20" spans="1:15">
      <c r="A20" s="632" t="s">
        <v>246</v>
      </c>
      <c r="B20" s="632" t="s">
        <v>205</v>
      </c>
      <c r="C20" s="632" t="s">
        <v>206</v>
      </c>
      <c r="D20" s="632" t="s">
        <v>125</v>
      </c>
      <c r="E20" s="693">
        <v>44055.353761574072</v>
      </c>
      <c r="F20" s="690">
        <v>0.35347222222222219</v>
      </c>
      <c r="G20" s="689">
        <v>9.6329999999999991</v>
      </c>
      <c r="H20" s="686">
        <v>19</v>
      </c>
      <c r="I20" s="687">
        <v>44055.353761574072</v>
      </c>
      <c r="J20" s="438">
        <v>44055.353761574072</v>
      </c>
      <c r="K20" s="685">
        <v>8</v>
      </c>
      <c r="L20" s="632" t="s">
        <v>115</v>
      </c>
    </row>
    <row r="21" spans="1:15">
      <c r="A21" s="632" t="s">
        <v>248</v>
      </c>
      <c r="B21" s="632" t="s">
        <v>205</v>
      </c>
      <c r="C21" s="632" t="s">
        <v>206</v>
      </c>
      <c r="D21" s="632" t="s">
        <v>126</v>
      </c>
      <c r="E21" s="693">
        <v>44055.755381944444</v>
      </c>
      <c r="F21" s="690">
        <v>0.75486111111111109</v>
      </c>
      <c r="G21" s="689" t="s">
        <v>115</v>
      </c>
      <c r="H21" s="686">
        <v>20</v>
      </c>
      <c r="I21" s="687">
        <v>44055.755381944444</v>
      </c>
      <c r="J21" s="438">
        <v>44055.755381944444</v>
      </c>
      <c r="K21" s="685" t="s">
        <v>115</v>
      </c>
      <c r="L21" s="632" t="s">
        <v>115</v>
      </c>
    </row>
    <row r="22" spans="1:15">
      <c r="A22" s="632" t="s">
        <v>250</v>
      </c>
      <c r="B22" s="632" t="s">
        <v>205</v>
      </c>
      <c r="C22" s="632" t="s">
        <v>206</v>
      </c>
      <c r="D22" s="632" t="s">
        <v>127</v>
      </c>
      <c r="E22" s="693">
        <v>44055.775219907409</v>
      </c>
      <c r="F22" s="690">
        <v>0.77500000000000002</v>
      </c>
      <c r="G22" s="689" t="s">
        <v>115</v>
      </c>
      <c r="H22" s="686">
        <v>21</v>
      </c>
      <c r="I22" s="687">
        <v>44055.775219907409</v>
      </c>
      <c r="J22" s="438">
        <v>44055.775219907409</v>
      </c>
      <c r="K22" s="685" t="s">
        <v>115</v>
      </c>
      <c r="L22" s="632" t="s">
        <v>115</v>
      </c>
      <c r="M22" s="685">
        <v>0.41699999999999998</v>
      </c>
      <c r="N22" s="685">
        <v>0.41699999999999998</v>
      </c>
      <c r="O22" s="632">
        <v>0</v>
      </c>
    </row>
    <row r="23" spans="1:15">
      <c r="A23" s="632" t="s">
        <v>252</v>
      </c>
      <c r="B23" s="632" t="s">
        <v>205</v>
      </c>
      <c r="C23" s="632" t="s">
        <v>206</v>
      </c>
      <c r="D23" s="632" t="s">
        <v>128</v>
      </c>
      <c r="E23" s="693">
        <v>44055.792569444442</v>
      </c>
      <c r="F23" s="690">
        <v>0.79236111111111107</v>
      </c>
      <c r="G23" s="689" t="s">
        <v>115</v>
      </c>
      <c r="H23" s="686">
        <v>22</v>
      </c>
      <c r="I23" s="687">
        <v>44055.792569444442</v>
      </c>
      <c r="J23" s="438">
        <v>44055.792569444442</v>
      </c>
      <c r="K23" s="685" t="s">
        <v>115</v>
      </c>
      <c r="L23" s="632" t="s">
        <v>115</v>
      </c>
    </row>
    <row r="24" spans="1:15">
      <c r="A24" s="632" t="s">
        <v>254</v>
      </c>
      <c r="B24" s="632" t="s">
        <v>205</v>
      </c>
      <c r="C24" s="632" t="s">
        <v>206</v>
      </c>
      <c r="D24" s="632" t="s">
        <v>125</v>
      </c>
      <c r="E24" s="693">
        <v>44056.355057870373</v>
      </c>
      <c r="F24" s="690">
        <v>0.35486111111111113</v>
      </c>
      <c r="G24" s="689">
        <v>9.5169999999999995</v>
      </c>
      <c r="H24" s="686">
        <v>23</v>
      </c>
      <c r="I24" s="687">
        <v>44056.355057870373</v>
      </c>
      <c r="J24" s="438">
        <v>44056.355057870373</v>
      </c>
      <c r="K24" s="685">
        <v>8</v>
      </c>
      <c r="L24" s="632" t="s">
        <v>115</v>
      </c>
    </row>
    <row r="25" spans="1:15">
      <c r="A25" s="632" t="s">
        <v>256</v>
      </c>
      <c r="B25" s="632" t="s">
        <v>205</v>
      </c>
      <c r="C25" s="632" t="s">
        <v>206</v>
      </c>
      <c r="D25" s="632" t="s">
        <v>126</v>
      </c>
      <c r="E25" s="693">
        <v>44056.751875000002</v>
      </c>
      <c r="F25" s="690">
        <v>0.75138888888888899</v>
      </c>
      <c r="G25" s="689" t="s">
        <v>115</v>
      </c>
      <c r="H25" s="686">
        <v>24</v>
      </c>
      <c r="I25" s="687">
        <v>44056.751875000002</v>
      </c>
      <c r="J25" s="438">
        <v>44056.751875000002</v>
      </c>
      <c r="K25" s="685" t="s">
        <v>115</v>
      </c>
      <c r="L25" s="632" t="s">
        <v>115</v>
      </c>
    </row>
    <row r="26" spans="1:15">
      <c r="A26" s="632" t="s">
        <v>258</v>
      </c>
      <c r="B26" s="632" t="s">
        <v>205</v>
      </c>
      <c r="C26" s="632" t="s">
        <v>206</v>
      </c>
      <c r="D26" s="632" t="s">
        <v>125</v>
      </c>
      <c r="E26" s="693">
        <v>44057.361574074072</v>
      </c>
      <c r="F26" s="690">
        <v>0.3611111111111111</v>
      </c>
      <c r="G26" s="689">
        <v>9.5169999999999995</v>
      </c>
      <c r="H26" s="686">
        <v>25</v>
      </c>
      <c r="I26" s="687">
        <v>44057.361574074072</v>
      </c>
      <c r="J26" s="438">
        <v>44057.361574074072</v>
      </c>
      <c r="K26" s="685">
        <v>8</v>
      </c>
      <c r="L26" s="632" t="s">
        <v>115</v>
      </c>
    </row>
    <row r="27" spans="1:15">
      <c r="A27" s="632" t="s">
        <v>260</v>
      </c>
      <c r="B27" s="632" t="s">
        <v>205</v>
      </c>
      <c r="C27" s="632" t="s">
        <v>206</v>
      </c>
      <c r="D27" s="632" t="s">
        <v>126</v>
      </c>
      <c r="E27" s="693">
        <v>44057.758275462962</v>
      </c>
      <c r="F27" s="690">
        <v>0.75763888888888886</v>
      </c>
      <c r="G27" s="689" t="s">
        <v>115</v>
      </c>
      <c r="H27" s="686">
        <v>26</v>
      </c>
      <c r="I27" s="687">
        <v>44057.758275462962</v>
      </c>
      <c r="J27" s="438">
        <v>44057.758275462962</v>
      </c>
      <c r="K27" s="685" t="s">
        <v>115</v>
      </c>
      <c r="L27" s="632" t="s">
        <v>115</v>
      </c>
    </row>
    <row r="28" spans="1:15">
      <c r="A28" s="632" t="s">
        <v>262</v>
      </c>
      <c r="B28" s="632" t="s">
        <v>205</v>
      </c>
      <c r="C28" s="632" t="s">
        <v>206</v>
      </c>
      <c r="D28" s="632" t="s">
        <v>127</v>
      </c>
      <c r="E28" s="693">
        <v>44057.799768518518</v>
      </c>
      <c r="F28" s="690">
        <v>0.7993055555555556</v>
      </c>
      <c r="G28" s="689" t="s">
        <v>115</v>
      </c>
      <c r="H28" s="686">
        <v>27</v>
      </c>
      <c r="I28" s="687">
        <v>44057.799768518518</v>
      </c>
      <c r="J28" s="438">
        <v>44057.799768518518</v>
      </c>
      <c r="K28" s="685" t="s">
        <v>115</v>
      </c>
      <c r="L28" s="632" t="s">
        <v>115</v>
      </c>
      <c r="M28" s="685">
        <v>1.0669999999999999</v>
      </c>
      <c r="N28" s="685">
        <v>1.0669999999999999</v>
      </c>
      <c r="O28" s="632">
        <v>0</v>
      </c>
    </row>
    <row r="29" spans="1:15">
      <c r="A29" s="632" t="s">
        <v>264</v>
      </c>
      <c r="B29" s="632" t="s">
        <v>205</v>
      </c>
      <c r="C29" s="632" t="s">
        <v>206</v>
      </c>
      <c r="D29" s="632" t="s">
        <v>128</v>
      </c>
      <c r="E29" s="693">
        <v>44057.844409722224</v>
      </c>
      <c r="F29" s="690">
        <v>0.84375</v>
      </c>
      <c r="H29" s="686">
        <v>28</v>
      </c>
      <c r="I29" s="687">
        <v>44057.844409722224</v>
      </c>
      <c r="J29" s="438">
        <v>44057.844409722224</v>
      </c>
    </row>
    <row r="510" spans="1:5">
      <c r="A510" s="585"/>
      <c r="B510" s="585"/>
      <c r="C510" s="585"/>
      <c r="D510" s="585"/>
      <c r="E510" s="694"/>
    </row>
    <row r="574" spans="1:5">
      <c r="A574" s="585"/>
      <c r="B574" s="585"/>
      <c r="C574" s="585"/>
      <c r="D574" s="585"/>
      <c r="E574" s="694"/>
    </row>
    <row r="575" spans="1:5">
      <c r="A575" s="640"/>
      <c r="B575" s="640"/>
      <c r="C575" s="640"/>
      <c r="D575" s="640"/>
      <c r="E575" s="695"/>
    </row>
    <row r="615" spans="1:5">
      <c r="A615" s="640"/>
      <c r="B615" s="640"/>
      <c r="C615" s="640"/>
      <c r="D615" s="640"/>
      <c r="E615" s="695"/>
    </row>
    <row r="687" spans="9:9">
      <c r="I687" s="688"/>
    </row>
  </sheetData>
  <phoneticPr fontId="18" type="noConversion"/>
  <conditionalFormatting sqref="K1:K1048576">
    <cfRule type="cellIs" dxfId="39" priority="1" operator="lessThan">
      <formula>4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>
    <tabColor theme="4"/>
    <pageSetUpPr fitToPage="1"/>
  </sheetPr>
  <dimension ref="A1:V77"/>
  <sheetViews>
    <sheetView view="pageBreakPreview" zoomScaleNormal="100" zoomScaleSheetLayoutView="100" workbookViewId="0">
      <selection activeCell="K14" sqref="K1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8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jason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80-39.5-8-7-8.5</f>
        <v>17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800</v>
      </c>
      <c r="F3" s="25"/>
      <c r="G3" s="26"/>
      <c r="H3" s="26"/>
      <c r="I3" s="88"/>
      <c r="J3" s="54">
        <f>D5+E5</f>
        <v>0</v>
      </c>
      <c r="K3" s="53">
        <f>SUM(K7:K200)</f>
        <v>7.0666666666666655</v>
      </c>
      <c r="L3" s="53">
        <f>J3</f>
        <v>0</v>
      </c>
      <c r="M3" s="53">
        <f>M6-J3</f>
        <v>7.0666666666666655</v>
      </c>
      <c r="N3" s="53">
        <f>N6</f>
        <v>0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0</v>
      </c>
      <c r="F5" s="86">
        <v>8.5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4.416666666666666E-2</v>
      </c>
    </row>
    <row r="6" spans="1:22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167.5</v>
      </c>
      <c r="J6" s="78">
        <f t="shared" ref="J6:N6" si="0">SUM(J7:J200)</f>
        <v>16.5</v>
      </c>
      <c r="K6" s="78">
        <f t="shared" si="0"/>
        <v>7.0666666666666655</v>
      </c>
      <c r="L6" s="78">
        <f t="shared" si="0"/>
        <v>0</v>
      </c>
      <c r="M6" s="78">
        <f t="shared" si="0"/>
        <v>7.0666666666666655</v>
      </c>
      <c r="N6" s="78">
        <f t="shared" si="0"/>
        <v>0</v>
      </c>
      <c r="O6" s="45"/>
      <c r="T6" s="345"/>
    </row>
    <row r="7" spans="1:22" s="16" customFormat="1">
      <c r="A7" s="632">
        <v>13464</v>
      </c>
      <c r="B7" s="632" t="s">
        <v>72</v>
      </c>
      <c r="C7" s="632" t="s">
        <v>72</v>
      </c>
      <c r="D7" s="632" t="s">
        <v>125</v>
      </c>
      <c r="E7" s="633">
        <v>43374.369363425925</v>
      </c>
      <c r="F7" s="638">
        <v>43374.369363425925</v>
      </c>
      <c r="G7" s="634">
        <v>0.36874999999999997</v>
      </c>
      <c r="H7" s="635">
        <v>9.7333333333333343</v>
      </c>
      <c r="I7" s="635">
        <v>8</v>
      </c>
      <c r="J7" s="635" t="s">
        <v>115</v>
      </c>
      <c r="K7" s="635"/>
      <c r="L7" s="635"/>
      <c r="M7" s="635"/>
      <c r="N7" s="635"/>
      <c r="O7" s="20"/>
      <c r="P7" s="345"/>
      <c r="Q7" s="453"/>
      <c r="R7" s="137"/>
      <c r="S7" s="137"/>
    </row>
    <row r="8" spans="1:22" s="16" customFormat="1">
      <c r="A8" s="632">
        <v>13480</v>
      </c>
      <c r="B8" s="632" t="s">
        <v>72</v>
      </c>
      <c r="C8" s="632" t="s">
        <v>72</v>
      </c>
      <c r="D8" s="632" t="s">
        <v>126</v>
      </c>
      <c r="E8" s="633">
        <v>43374.774409722224</v>
      </c>
      <c r="F8" s="638">
        <v>43374.774409722224</v>
      </c>
      <c r="G8" s="634">
        <v>0.77430555555555547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20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13500</v>
      </c>
      <c r="B9" s="632" t="s">
        <v>86</v>
      </c>
      <c r="C9" s="632" t="s">
        <v>72</v>
      </c>
      <c r="D9" s="632" t="s">
        <v>125</v>
      </c>
      <c r="E9" s="633">
        <v>43375.371701388889</v>
      </c>
      <c r="F9" s="638">
        <v>43375.371701388889</v>
      </c>
      <c r="G9" s="634">
        <v>0.37152777777777773</v>
      </c>
      <c r="H9" s="635">
        <v>9.6666666666666679</v>
      </c>
      <c r="I9" s="635">
        <v>8</v>
      </c>
      <c r="J9" s="635" t="s">
        <v>115</v>
      </c>
      <c r="K9" s="635"/>
      <c r="L9" s="635"/>
      <c r="M9" s="635"/>
      <c r="N9" s="635"/>
      <c r="O9" s="20"/>
      <c r="P9" s="345"/>
      <c r="Q9" s="373"/>
      <c r="R9" s="372"/>
      <c r="S9" s="372"/>
      <c r="T9" s="373"/>
      <c r="U9" s="373"/>
      <c r="V9" s="373"/>
    </row>
    <row r="10" spans="1:22">
      <c r="A10" s="632">
        <v>13517</v>
      </c>
      <c r="B10" s="632" t="s">
        <v>72</v>
      </c>
      <c r="C10" s="632" t="s">
        <v>72</v>
      </c>
      <c r="D10" s="632" t="s">
        <v>126</v>
      </c>
      <c r="E10" s="633">
        <v>43375.774340277778</v>
      </c>
      <c r="F10" s="638">
        <v>43375.774340277778</v>
      </c>
      <c r="G10" s="634">
        <v>0.77430555555555547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20"/>
      <c r="Q10" s="63"/>
      <c r="R10" s="18"/>
      <c r="S10" s="18"/>
      <c r="T10" s="63"/>
      <c r="U10" s="63"/>
      <c r="V10" s="63"/>
    </row>
    <row r="11" spans="1:22" s="421" customFormat="1">
      <c r="A11" s="632">
        <v>13529</v>
      </c>
      <c r="B11" s="632" t="s">
        <v>72</v>
      </c>
      <c r="C11" s="632" t="s">
        <v>72</v>
      </c>
      <c r="D11" s="632" t="s">
        <v>125</v>
      </c>
      <c r="E11" s="633">
        <v>43376.372974537036</v>
      </c>
      <c r="F11" s="638">
        <v>43376.372974537036</v>
      </c>
      <c r="G11" s="634">
        <v>0.37291666666666662</v>
      </c>
      <c r="H11" s="635">
        <v>9.5833333333333339</v>
      </c>
      <c r="I11" s="635">
        <v>8</v>
      </c>
      <c r="J11" s="635" t="s">
        <v>115</v>
      </c>
      <c r="K11" s="635"/>
      <c r="L11" s="635"/>
      <c r="M11" s="635"/>
      <c r="N11" s="635"/>
      <c r="O11" s="20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13543</v>
      </c>
      <c r="B12" s="632" t="s">
        <v>72</v>
      </c>
      <c r="C12" s="632" t="s">
        <v>72</v>
      </c>
      <c r="D12" s="632" t="s">
        <v>126</v>
      </c>
      <c r="E12" s="633">
        <v>43376.772847222222</v>
      </c>
      <c r="F12" s="638">
        <v>43376.772847222222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20"/>
      <c r="P12" s="345"/>
      <c r="Q12" s="369"/>
      <c r="R12" s="372"/>
      <c r="S12" s="372"/>
      <c r="T12" s="373"/>
      <c r="U12" s="373"/>
      <c r="V12" s="373"/>
    </row>
    <row r="13" spans="1:22" s="16" customFormat="1">
      <c r="A13" s="632">
        <v>13544</v>
      </c>
      <c r="B13" s="632" t="s">
        <v>72</v>
      </c>
      <c r="C13" s="632" t="s">
        <v>72</v>
      </c>
      <c r="D13" s="632" t="s">
        <v>127</v>
      </c>
      <c r="E13" s="633">
        <v>43376.772893518515</v>
      </c>
      <c r="F13" s="638">
        <v>43376.772893518515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20"/>
      <c r="P13" s="137"/>
      <c r="Q13" s="397"/>
      <c r="R13" s="137"/>
      <c r="S13" s="137"/>
    </row>
    <row r="14" spans="1:22" s="16" customFormat="1">
      <c r="A14" s="632">
        <v>13548</v>
      </c>
      <c r="B14" s="632" t="s">
        <v>72</v>
      </c>
      <c r="C14" s="632" t="s">
        <v>72</v>
      </c>
      <c r="D14" s="632" t="s">
        <v>128</v>
      </c>
      <c r="E14" s="633">
        <v>43376.802615740744</v>
      </c>
      <c r="F14" s="638">
        <v>43376.802615740744</v>
      </c>
      <c r="G14" s="634">
        <v>0.80208333333333337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20"/>
      <c r="P14" s="137"/>
      <c r="Q14" s="397"/>
      <c r="R14" s="137"/>
      <c r="S14" s="137"/>
    </row>
    <row r="15" spans="1:22" s="398" customFormat="1">
      <c r="A15" s="632">
        <v>13558</v>
      </c>
      <c r="B15" s="632" t="s">
        <v>72</v>
      </c>
      <c r="C15" s="632" t="s">
        <v>72</v>
      </c>
      <c r="D15" s="632" t="s">
        <v>125</v>
      </c>
      <c r="E15" s="633">
        <v>43377.370972222219</v>
      </c>
      <c r="F15" s="638">
        <v>43377.370972222219</v>
      </c>
      <c r="G15" s="634">
        <v>0.37083333333333335</v>
      </c>
      <c r="H15" s="635">
        <v>9.6333333333333329</v>
      </c>
      <c r="I15" s="635">
        <v>8</v>
      </c>
      <c r="J15" s="635" t="s">
        <v>115</v>
      </c>
      <c r="K15" s="635"/>
      <c r="L15" s="635"/>
      <c r="M15" s="635"/>
      <c r="N15" s="635"/>
      <c r="O15" s="20" t="s">
        <v>155</v>
      </c>
      <c r="P15" s="137"/>
      <c r="Q15" s="397"/>
      <c r="R15" s="137"/>
      <c r="S15" s="137"/>
      <c r="T15" s="16"/>
      <c r="U15" s="16"/>
      <c r="V15" s="16"/>
    </row>
    <row r="16" spans="1:22">
      <c r="A16" s="632">
        <v>13569</v>
      </c>
      <c r="B16" s="632" t="s">
        <v>86</v>
      </c>
      <c r="C16" s="632" t="s">
        <v>72</v>
      </c>
      <c r="D16" s="632" t="s">
        <v>126</v>
      </c>
      <c r="E16" s="633">
        <v>43377.772905092592</v>
      </c>
      <c r="F16" s="638">
        <v>43377.772905092592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20"/>
      <c r="P16" s="137"/>
      <c r="Q16" s="397"/>
      <c r="R16" s="137"/>
      <c r="S16" s="137"/>
      <c r="T16" s="16"/>
      <c r="U16" s="16"/>
      <c r="V16" s="16"/>
    </row>
    <row r="17" spans="1:22" s="16" customFormat="1">
      <c r="A17" s="632">
        <v>13570</v>
      </c>
      <c r="B17" s="632" t="s">
        <v>86</v>
      </c>
      <c r="C17" s="632" t="s">
        <v>72</v>
      </c>
      <c r="D17" s="632" t="s">
        <v>127</v>
      </c>
      <c r="E17" s="633">
        <v>43377.772916666669</v>
      </c>
      <c r="F17" s="638">
        <v>43377.772916666669</v>
      </c>
      <c r="G17" s="634">
        <v>0.7729166666666667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20"/>
      <c r="P17" s="345"/>
      <c r="Q17" s="369"/>
      <c r="R17" s="372"/>
      <c r="S17" s="372"/>
      <c r="T17" s="373"/>
      <c r="U17" s="373"/>
      <c r="V17" s="373"/>
    </row>
    <row r="18" spans="1:22" s="16" customFormat="1">
      <c r="A18" s="632">
        <v>13576</v>
      </c>
      <c r="B18" s="632" t="s">
        <v>72</v>
      </c>
      <c r="C18" s="632" t="s">
        <v>72</v>
      </c>
      <c r="D18" s="632" t="s">
        <v>128</v>
      </c>
      <c r="E18" s="633">
        <v>43377.796111111114</v>
      </c>
      <c r="F18" s="638">
        <v>43377.796111111114</v>
      </c>
      <c r="G18" s="634">
        <v>0.79583333333333339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20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13592</v>
      </c>
      <c r="B19" s="632" t="s">
        <v>72</v>
      </c>
      <c r="C19" s="632" t="s">
        <v>72</v>
      </c>
      <c r="D19" s="632" t="s">
        <v>125</v>
      </c>
      <c r="E19" s="633">
        <v>43378.372766203705</v>
      </c>
      <c r="F19" s="638">
        <v>43378.372766203705</v>
      </c>
      <c r="G19" s="634">
        <v>0.37222222222222223</v>
      </c>
      <c r="H19" s="635">
        <v>9.8333333333333321</v>
      </c>
      <c r="I19" s="635">
        <v>8</v>
      </c>
      <c r="J19" s="635" t="s">
        <v>115</v>
      </c>
      <c r="K19" s="635"/>
      <c r="L19" s="635"/>
      <c r="M19" s="635"/>
      <c r="N19" s="635"/>
      <c r="O19" s="20"/>
      <c r="P19" s="9"/>
      <c r="Q19" s="345"/>
      <c r="R19" s="372"/>
      <c r="S19" s="372"/>
      <c r="T19" s="373"/>
      <c r="U19" s="373"/>
      <c r="V19" s="373"/>
    </row>
    <row r="20" spans="1:22" s="63" customFormat="1">
      <c r="A20" s="632">
        <v>13609</v>
      </c>
      <c r="B20" s="632" t="s">
        <v>72</v>
      </c>
      <c r="C20" s="632" t="s">
        <v>72</v>
      </c>
      <c r="D20" s="632" t="s">
        <v>126</v>
      </c>
      <c r="E20" s="633">
        <v>43378.782060185185</v>
      </c>
      <c r="F20" s="638">
        <v>43378.782060185185</v>
      </c>
      <c r="G20" s="634">
        <v>0.78194444444444444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20"/>
      <c r="P20" s="9"/>
      <c r="Q20" s="345"/>
      <c r="R20" s="372"/>
      <c r="S20" s="372"/>
      <c r="T20" s="373"/>
      <c r="U20" s="373"/>
      <c r="V20" s="373"/>
    </row>
    <row r="21" spans="1:22" s="323" customFormat="1">
      <c r="A21" s="632">
        <v>13617</v>
      </c>
      <c r="B21" s="632" t="s">
        <v>72</v>
      </c>
      <c r="C21" s="632" t="s">
        <v>72</v>
      </c>
      <c r="D21" s="632" t="s">
        <v>125</v>
      </c>
      <c r="E21" s="633">
        <v>43381.368263888886</v>
      </c>
      <c r="F21" s="638">
        <v>43381.368263888886</v>
      </c>
      <c r="G21" s="634">
        <v>0.36805555555555558</v>
      </c>
      <c r="H21" s="635">
        <v>9.8333333333333321</v>
      </c>
      <c r="I21" s="635">
        <v>8</v>
      </c>
      <c r="J21" s="635" t="s">
        <v>115</v>
      </c>
      <c r="K21" s="635"/>
      <c r="L21" s="635"/>
      <c r="M21" s="635"/>
      <c r="N21" s="635"/>
      <c r="O21" s="20"/>
      <c r="P21" s="9"/>
      <c r="Q21" s="345"/>
      <c r="R21" s="372"/>
      <c r="S21" s="372"/>
      <c r="T21" s="373"/>
      <c r="U21" s="373"/>
      <c r="V21" s="373"/>
    </row>
    <row r="22" spans="1:22" s="63" customFormat="1">
      <c r="A22" s="632">
        <v>13636</v>
      </c>
      <c r="B22" s="632" t="s">
        <v>72</v>
      </c>
      <c r="C22" s="632" t="s">
        <v>72</v>
      </c>
      <c r="D22" s="632" t="s">
        <v>126</v>
      </c>
      <c r="E22" s="633">
        <v>43381.778148148151</v>
      </c>
      <c r="F22" s="638">
        <v>43381.778148148151</v>
      </c>
      <c r="G22" s="634">
        <v>0.77777777777777779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20"/>
      <c r="P22" s="9"/>
      <c r="Q22" s="345"/>
      <c r="R22" s="372"/>
      <c r="S22" s="372"/>
      <c r="T22" s="373"/>
      <c r="U22" s="373"/>
      <c r="V22" s="373"/>
    </row>
    <row r="23" spans="1:22" s="63" customFormat="1">
      <c r="A23" s="632">
        <v>13649</v>
      </c>
      <c r="B23" s="632" t="s">
        <v>72</v>
      </c>
      <c r="C23" s="632" t="s">
        <v>72</v>
      </c>
      <c r="D23" s="632" t="s">
        <v>125</v>
      </c>
      <c r="E23" s="633">
        <v>43382.389826388891</v>
      </c>
      <c r="F23" s="638">
        <v>43382.389826388891</v>
      </c>
      <c r="G23" s="634">
        <v>0.38958333333333334</v>
      </c>
      <c r="H23" s="635">
        <v>9.2333333333333343</v>
      </c>
      <c r="I23" s="635">
        <v>7.5</v>
      </c>
      <c r="J23" s="635">
        <v>0.5</v>
      </c>
      <c r="K23" s="635"/>
      <c r="L23" s="635"/>
      <c r="M23" s="635"/>
      <c r="N23" s="635"/>
      <c r="O23" s="643" t="s">
        <v>156</v>
      </c>
      <c r="P23" s="9"/>
      <c r="Q23" s="345"/>
      <c r="R23" s="372"/>
      <c r="S23" s="372"/>
      <c r="T23" s="373"/>
      <c r="U23" s="373"/>
      <c r="V23" s="373"/>
    </row>
    <row r="24" spans="1:22" s="63" customFormat="1">
      <c r="A24" s="632">
        <v>13681</v>
      </c>
      <c r="B24" s="632" t="s">
        <v>72</v>
      </c>
      <c r="C24" s="632" t="s">
        <v>72</v>
      </c>
      <c r="D24" s="632" t="s">
        <v>126</v>
      </c>
      <c r="E24" s="633">
        <v>43382.774907407409</v>
      </c>
      <c r="F24" s="638">
        <v>43382.774907407409</v>
      </c>
      <c r="G24" s="634">
        <v>0.77430555555555547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20"/>
      <c r="P24" s="9"/>
      <c r="Q24" s="345"/>
      <c r="R24" s="372"/>
      <c r="S24" s="372"/>
      <c r="T24" s="373"/>
      <c r="U24" s="373"/>
      <c r="V24" s="373"/>
    </row>
    <row r="25" spans="1:22" s="63" customFormat="1">
      <c r="A25" s="632"/>
      <c r="B25" s="632"/>
      <c r="C25" s="632"/>
      <c r="D25" s="632" t="s">
        <v>125</v>
      </c>
      <c r="E25" s="633">
        <v>43383.354409722226</v>
      </c>
      <c r="F25" s="638">
        <v>43383.354409722226</v>
      </c>
      <c r="G25" s="634">
        <v>0.38958333333333334</v>
      </c>
      <c r="H25" s="635"/>
      <c r="I25" s="635">
        <v>0</v>
      </c>
      <c r="J25" s="635">
        <v>8</v>
      </c>
      <c r="K25" s="635"/>
      <c r="L25" s="635"/>
      <c r="M25" s="635"/>
      <c r="N25" s="635"/>
      <c r="O25" s="628" t="s">
        <v>157</v>
      </c>
      <c r="P25" s="627"/>
      <c r="Q25" s="345"/>
      <c r="R25" s="372"/>
      <c r="S25" s="372"/>
      <c r="T25" s="373"/>
      <c r="U25" s="373"/>
      <c r="V25" s="373"/>
    </row>
    <row r="26" spans="1:22" s="63" customFormat="1">
      <c r="A26" s="632"/>
      <c r="B26" s="632"/>
      <c r="C26" s="632"/>
      <c r="D26" s="632" t="s">
        <v>126</v>
      </c>
      <c r="E26" s="633">
        <v>43383.771435185183</v>
      </c>
      <c r="F26" s="638">
        <v>43383.771435185183</v>
      </c>
      <c r="G26" s="634">
        <v>0.77430555555555547</v>
      </c>
      <c r="H26" s="635"/>
      <c r="I26" s="635"/>
      <c r="J26" s="635"/>
      <c r="K26" s="635"/>
      <c r="L26" s="635"/>
      <c r="M26" s="635"/>
      <c r="N26" s="635"/>
      <c r="O26" s="628"/>
      <c r="P26" s="627"/>
      <c r="Q26" s="345"/>
      <c r="R26" s="372"/>
      <c r="S26" s="372"/>
      <c r="T26" s="373"/>
      <c r="U26" s="373"/>
      <c r="V26" s="373"/>
    </row>
    <row r="27" spans="1:22" s="2" customFormat="1">
      <c r="A27" s="632">
        <v>13667</v>
      </c>
      <c r="B27" s="632" t="s">
        <v>72</v>
      </c>
      <c r="C27" s="632" t="s">
        <v>72</v>
      </c>
      <c r="D27" s="632" t="s">
        <v>125</v>
      </c>
      <c r="E27" s="633">
        <v>43384.369571759256</v>
      </c>
      <c r="F27" s="638">
        <v>43384.369571759256</v>
      </c>
      <c r="G27" s="634">
        <v>0.36944444444444446</v>
      </c>
      <c r="H27" s="635">
        <v>9.7166666666666668</v>
      </c>
      <c r="I27" s="635">
        <v>8</v>
      </c>
      <c r="J27" s="635" t="s">
        <v>115</v>
      </c>
      <c r="K27" s="635"/>
      <c r="L27" s="635"/>
      <c r="M27" s="635"/>
      <c r="N27" s="635"/>
      <c r="O27" s="20"/>
      <c r="P27" s="9"/>
      <c r="Q27" s="345"/>
      <c r="R27" s="372"/>
      <c r="S27" s="372"/>
      <c r="T27" s="373"/>
      <c r="U27" s="373"/>
      <c r="V27" s="373"/>
    </row>
    <row r="28" spans="1:22">
      <c r="A28" s="632">
        <v>13681</v>
      </c>
      <c r="B28" s="632" t="s">
        <v>72</v>
      </c>
      <c r="C28" s="632" t="s">
        <v>72</v>
      </c>
      <c r="D28" s="632" t="s">
        <v>126</v>
      </c>
      <c r="E28" s="633">
        <v>43384.774907407409</v>
      </c>
      <c r="F28" s="638">
        <v>43384.774907407409</v>
      </c>
      <c r="G28" s="634">
        <v>0.77430555555555547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20"/>
      <c r="P28" s="9"/>
      <c r="R28" s="372"/>
      <c r="S28" s="372"/>
      <c r="T28" s="373"/>
      <c r="U28" s="373"/>
      <c r="V28" s="373"/>
    </row>
    <row r="29" spans="1:22" s="16" customFormat="1">
      <c r="A29" s="632">
        <v>13684</v>
      </c>
      <c r="B29" s="632" t="s">
        <v>72</v>
      </c>
      <c r="C29" s="632" t="s">
        <v>72</v>
      </c>
      <c r="D29" s="632" t="s">
        <v>127</v>
      </c>
      <c r="E29" s="633">
        <v>43384.784305555557</v>
      </c>
      <c r="F29" s="638">
        <v>43384.784305555557</v>
      </c>
      <c r="G29" s="634">
        <v>0.78402777777777777</v>
      </c>
      <c r="H29" s="635" t="s">
        <v>115</v>
      </c>
      <c r="I29" s="635" t="s">
        <v>115</v>
      </c>
      <c r="J29" s="635" t="s">
        <v>115</v>
      </c>
      <c r="K29" s="635">
        <v>1.3333333333333339</v>
      </c>
      <c r="L29" s="635"/>
      <c r="M29" s="635">
        <v>1.3333333333333339</v>
      </c>
      <c r="N29" s="635">
        <v>0</v>
      </c>
      <c r="O29" s="20"/>
      <c r="P29" s="9"/>
      <c r="Q29" s="345"/>
      <c r="R29" s="372"/>
      <c r="S29" s="372"/>
      <c r="T29" s="373"/>
      <c r="U29" s="373"/>
      <c r="V29" s="373"/>
    </row>
    <row r="30" spans="1:22">
      <c r="A30" s="632">
        <v>13689</v>
      </c>
      <c r="B30" s="632" t="s">
        <v>72</v>
      </c>
      <c r="C30" s="632" t="s">
        <v>72</v>
      </c>
      <c r="D30" s="632" t="s">
        <v>128</v>
      </c>
      <c r="E30" s="633">
        <v>43384.839641203704</v>
      </c>
      <c r="F30" s="638">
        <v>43384.839641203704</v>
      </c>
      <c r="G30" s="634">
        <v>0.83958333333333324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20"/>
      <c r="P30" s="9"/>
      <c r="R30" s="372"/>
      <c r="S30" s="372"/>
      <c r="T30" s="373"/>
      <c r="U30" s="373"/>
      <c r="V30" s="373"/>
    </row>
    <row r="31" spans="1:22" s="444" customFormat="1">
      <c r="A31" s="632">
        <v>13698</v>
      </c>
      <c r="B31" s="632" t="s">
        <v>72</v>
      </c>
      <c r="C31" s="632" t="s">
        <v>72</v>
      </c>
      <c r="D31" s="632" t="s">
        <v>125</v>
      </c>
      <c r="E31" s="633">
        <v>43385.370289351849</v>
      </c>
      <c r="F31" s="638">
        <v>43385.370289351849</v>
      </c>
      <c r="G31" s="634">
        <v>0.37013888888888885</v>
      </c>
      <c r="H31" s="635">
        <v>9.7666666666666657</v>
      </c>
      <c r="I31" s="635">
        <v>8</v>
      </c>
      <c r="J31" s="635" t="s">
        <v>115</v>
      </c>
      <c r="K31" s="635"/>
      <c r="L31" s="635"/>
      <c r="M31" s="635"/>
      <c r="N31" s="635"/>
      <c r="O31" s="20"/>
      <c r="R31" s="137"/>
      <c r="S31" s="137"/>
      <c r="T31" s="137"/>
      <c r="U31" s="137"/>
      <c r="V31" s="137"/>
    </row>
    <row r="32" spans="1:22" s="444" customFormat="1">
      <c r="A32" s="632">
        <v>13708</v>
      </c>
      <c r="B32" s="632" t="s">
        <v>72</v>
      </c>
      <c r="C32" s="632" t="s">
        <v>72</v>
      </c>
      <c r="D32" s="632" t="s">
        <v>126</v>
      </c>
      <c r="E32" s="633">
        <v>43385.777766203704</v>
      </c>
      <c r="F32" s="638">
        <v>43385.777766203704</v>
      </c>
      <c r="G32" s="634">
        <v>0.77708333333333324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20"/>
      <c r="R32" s="137"/>
      <c r="S32" s="137"/>
      <c r="T32" s="137"/>
      <c r="U32" s="137"/>
      <c r="V32" s="137"/>
    </row>
    <row r="33" spans="1:22" s="63" customFormat="1">
      <c r="A33" s="632">
        <v>13713</v>
      </c>
      <c r="B33" s="632" t="s">
        <v>72</v>
      </c>
      <c r="C33" s="632" t="s">
        <v>72</v>
      </c>
      <c r="D33" s="632" t="s">
        <v>127</v>
      </c>
      <c r="E33" s="633">
        <v>43385.785636574074</v>
      </c>
      <c r="F33" s="638">
        <v>43385.785636574074</v>
      </c>
      <c r="G33" s="634">
        <v>0.78541666666666676</v>
      </c>
      <c r="H33" s="635" t="s">
        <v>115</v>
      </c>
      <c r="I33" s="635" t="s">
        <v>115</v>
      </c>
      <c r="J33" s="635" t="s">
        <v>115</v>
      </c>
      <c r="K33" s="635">
        <v>0.48333333333333428</v>
      </c>
      <c r="L33" s="635"/>
      <c r="M33" s="635">
        <v>0.48333333333333428</v>
      </c>
      <c r="N33" s="635">
        <v>0</v>
      </c>
      <c r="O33" s="20"/>
      <c r="P33" s="9"/>
      <c r="Q33" s="345"/>
      <c r="R33" s="372"/>
      <c r="S33" s="401"/>
      <c r="T33" s="401"/>
      <c r="U33" s="401"/>
      <c r="V33" s="401"/>
    </row>
    <row r="34" spans="1:22">
      <c r="A34" s="632">
        <v>13717</v>
      </c>
      <c r="B34" s="632" t="s">
        <v>72</v>
      </c>
      <c r="C34" s="632" t="s">
        <v>72</v>
      </c>
      <c r="D34" s="632" t="s">
        <v>128</v>
      </c>
      <c r="E34" s="633">
        <v>43385.805752314816</v>
      </c>
      <c r="F34" s="638">
        <v>43385.805752314816</v>
      </c>
      <c r="G34" s="634">
        <v>0.80555555555555547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20"/>
      <c r="P34" s="9"/>
      <c r="R34" s="372"/>
      <c r="S34" s="372"/>
      <c r="T34" s="373"/>
      <c r="U34" s="373"/>
      <c r="V34" s="373"/>
    </row>
    <row r="35" spans="1:22" s="63" customFormat="1">
      <c r="A35" s="632"/>
      <c r="B35" s="632"/>
      <c r="C35" s="632"/>
      <c r="D35" s="632" t="s">
        <v>125</v>
      </c>
      <c r="E35" s="633">
        <v>43383.354409722226</v>
      </c>
      <c r="F35" s="638">
        <v>43383.354409722226</v>
      </c>
      <c r="G35" s="634">
        <v>0.35416666666666669</v>
      </c>
      <c r="H35" s="635"/>
      <c r="I35" s="635">
        <v>0</v>
      </c>
      <c r="J35" s="635">
        <v>8</v>
      </c>
      <c r="K35" s="635"/>
      <c r="L35" s="635"/>
      <c r="M35" s="635"/>
      <c r="N35" s="635"/>
      <c r="O35" s="628" t="s">
        <v>157</v>
      </c>
      <c r="P35" s="627"/>
      <c r="Q35" s="345"/>
      <c r="R35" s="372"/>
      <c r="S35" s="372"/>
      <c r="T35" s="373"/>
      <c r="U35" s="373"/>
      <c r="V35" s="373"/>
    </row>
    <row r="36" spans="1:22" s="63" customFormat="1">
      <c r="A36" s="632"/>
      <c r="B36" s="632"/>
      <c r="C36" s="632"/>
      <c r="D36" s="632" t="s">
        <v>126</v>
      </c>
      <c r="E36" s="633">
        <v>43383.75</v>
      </c>
      <c r="F36" s="638">
        <v>43383.771435185183</v>
      </c>
      <c r="G36" s="634">
        <v>0.75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2" customFormat="1">
      <c r="A37" s="632">
        <v>13752</v>
      </c>
      <c r="B37" s="632" t="s">
        <v>72</v>
      </c>
      <c r="C37" s="632" t="s">
        <v>72</v>
      </c>
      <c r="D37" s="632" t="s">
        <v>125</v>
      </c>
      <c r="E37" s="633">
        <v>43389.369293981479</v>
      </c>
      <c r="F37" s="638">
        <v>43389.369293981479</v>
      </c>
      <c r="G37" s="634">
        <v>0.36874999999999997</v>
      </c>
      <c r="H37" s="635">
        <v>9.65</v>
      </c>
      <c r="I37" s="635">
        <v>8</v>
      </c>
      <c r="J37" s="635" t="s">
        <v>115</v>
      </c>
      <c r="K37" s="635"/>
      <c r="L37" s="635"/>
      <c r="M37" s="635"/>
      <c r="N37" s="635"/>
      <c r="O37" s="20"/>
      <c r="P37" s="9"/>
      <c r="Q37" s="345"/>
      <c r="R37" s="372"/>
      <c r="S37" s="372"/>
      <c r="T37" s="373"/>
      <c r="U37" s="373"/>
      <c r="V37" s="373"/>
    </row>
    <row r="38" spans="1:22">
      <c r="A38" s="632">
        <v>13766</v>
      </c>
      <c r="B38" s="632" t="s">
        <v>86</v>
      </c>
      <c r="C38" s="632" t="s">
        <v>72</v>
      </c>
      <c r="D38" s="632" t="s">
        <v>126</v>
      </c>
      <c r="E38" s="633">
        <v>43389.770891203705</v>
      </c>
      <c r="F38" s="638">
        <v>43389.770891203705</v>
      </c>
      <c r="G38" s="634">
        <v>0.77083333333333337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20"/>
      <c r="P38" s="9"/>
      <c r="R38" s="372"/>
      <c r="S38" s="372"/>
      <c r="T38" s="373"/>
      <c r="U38" s="373"/>
      <c r="V38" s="373"/>
    </row>
    <row r="39" spans="1:22" s="2" customFormat="1">
      <c r="A39" s="632">
        <v>13767</v>
      </c>
      <c r="B39" s="632" t="s">
        <v>86</v>
      </c>
      <c r="C39" s="632" t="s">
        <v>72</v>
      </c>
      <c r="D39" s="632" t="s">
        <v>127</v>
      </c>
      <c r="E39" s="633">
        <v>43389.772743055553</v>
      </c>
      <c r="F39" s="638">
        <v>43389.772743055553</v>
      </c>
      <c r="G39" s="634">
        <v>0.77222222222222225</v>
      </c>
      <c r="H39" s="635" t="s">
        <v>115</v>
      </c>
      <c r="I39" s="635" t="s">
        <v>115</v>
      </c>
      <c r="J39" s="635" t="s">
        <v>115</v>
      </c>
      <c r="K39" s="635">
        <v>1.0166666666666657</v>
      </c>
      <c r="L39" s="635"/>
      <c r="M39" s="635">
        <v>1.0166666666666657</v>
      </c>
      <c r="N39" s="635">
        <v>0</v>
      </c>
      <c r="O39" s="20"/>
      <c r="P39" s="9"/>
      <c r="Q39" s="345"/>
      <c r="R39" s="372"/>
      <c r="S39" s="374"/>
      <c r="T39" s="375"/>
      <c r="U39" s="375"/>
      <c r="V39" s="375"/>
    </row>
    <row r="40" spans="1:22">
      <c r="A40" s="632">
        <v>13773</v>
      </c>
      <c r="B40" s="632" t="s">
        <v>86</v>
      </c>
      <c r="C40" s="632" t="s">
        <v>72</v>
      </c>
      <c r="D40" s="632" t="s">
        <v>128</v>
      </c>
      <c r="E40" s="633">
        <v>43389.814722222225</v>
      </c>
      <c r="F40" s="638">
        <v>43389.814722222225</v>
      </c>
      <c r="G40" s="634">
        <v>0.81458333333333333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20"/>
      <c r="P40" s="9"/>
      <c r="R40" s="372"/>
    </row>
    <row r="41" spans="1:22" s="2" customFormat="1">
      <c r="A41" s="632">
        <v>13781</v>
      </c>
      <c r="B41" s="632" t="s">
        <v>72</v>
      </c>
      <c r="C41" s="632" t="s">
        <v>72</v>
      </c>
      <c r="D41" s="632" t="s">
        <v>125</v>
      </c>
      <c r="E41" s="633">
        <v>43390.369826388887</v>
      </c>
      <c r="F41" s="638">
        <v>43390.369826388887</v>
      </c>
      <c r="G41" s="634">
        <v>0.36944444444444446</v>
      </c>
      <c r="H41" s="635">
        <v>9.9499999999999993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9"/>
      <c r="Q41" s="345"/>
      <c r="R41" s="372"/>
      <c r="S41" s="372"/>
      <c r="T41" s="373"/>
      <c r="U41" s="373"/>
      <c r="V41" s="373"/>
    </row>
    <row r="42" spans="1:22">
      <c r="A42" s="632">
        <v>13796</v>
      </c>
      <c r="B42" s="632" t="s">
        <v>86</v>
      </c>
      <c r="C42" s="632" t="s">
        <v>72</v>
      </c>
      <c r="D42" s="632" t="s">
        <v>126</v>
      </c>
      <c r="E42" s="633">
        <v>43390.784687500003</v>
      </c>
      <c r="F42" s="638">
        <v>43390.784687500003</v>
      </c>
      <c r="G42" s="634">
        <v>0.78402777777777777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9"/>
      <c r="R42" s="372"/>
      <c r="S42" s="18"/>
      <c r="T42" s="63"/>
      <c r="U42" s="63"/>
      <c r="V42" s="63"/>
    </row>
    <row r="43" spans="1:22" s="2" customFormat="1">
      <c r="A43" s="632">
        <v>13797</v>
      </c>
      <c r="B43" s="632" t="s">
        <v>86</v>
      </c>
      <c r="C43" s="632" t="s">
        <v>72</v>
      </c>
      <c r="D43" s="632" t="s">
        <v>127</v>
      </c>
      <c r="E43" s="633">
        <v>43390.786041666666</v>
      </c>
      <c r="F43" s="638">
        <v>43390.786041666666</v>
      </c>
      <c r="G43" s="634">
        <v>0.78541666666666676</v>
      </c>
      <c r="H43" s="635" t="s">
        <v>115</v>
      </c>
      <c r="I43" s="635" t="s">
        <v>115</v>
      </c>
      <c r="J43" s="635" t="s">
        <v>115</v>
      </c>
      <c r="K43" s="635">
        <v>0.58333333333333393</v>
      </c>
      <c r="L43" s="635"/>
      <c r="M43" s="635">
        <v>0.58333333333333393</v>
      </c>
      <c r="N43" s="635">
        <v>0</v>
      </c>
      <c r="O43" s="20"/>
      <c r="P43" s="9"/>
      <c r="Q43" s="345"/>
      <c r="R43" s="372"/>
      <c r="S43" s="16"/>
      <c r="T43" s="16"/>
      <c r="U43" s="16"/>
      <c r="V43" s="16"/>
    </row>
    <row r="44" spans="1:22">
      <c r="A44" s="632">
        <v>13801</v>
      </c>
      <c r="B44" s="632" t="s">
        <v>86</v>
      </c>
      <c r="C44" s="632" t="s">
        <v>72</v>
      </c>
      <c r="D44" s="632" t="s">
        <v>128</v>
      </c>
      <c r="E44" s="633">
        <v>43390.810243055559</v>
      </c>
      <c r="F44" s="638">
        <v>43390.810243055559</v>
      </c>
      <c r="G44" s="634">
        <v>0.80972222222222223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20"/>
      <c r="P44" s="9"/>
      <c r="R44" s="372"/>
      <c r="S44" s="16"/>
      <c r="T44" s="16"/>
      <c r="U44" s="16"/>
      <c r="V44" s="16"/>
    </row>
    <row r="45" spans="1:22" s="2" customFormat="1">
      <c r="A45" s="632">
        <v>13812</v>
      </c>
      <c r="B45" s="632" t="s">
        <v>72</v>
      </c>
      <c r="C45" s="632" t="s">
        <v>72</v>
      </c>
      <c r="D45" s="632" t="s">
        <v>125</v>
      </c>
      <c r="E45" s="633">
        <v>43391.370694444442</v>
      </c>
      <c r="F45" s="638">
        <v>43391.370694444442</v>
      </c>
      <c r="G45" s="634">
        <v>0.37013888888888885</v>
      </c>
      <c r="H45" s="635">
        <v>9.6000000000000014</v>
      </c>
      <c r="I45" s="635">
        <v>8</v>
      </c>
      <c r="J45" s="635" t="s">
        <v>115</v>
      </c>
      <c r="K45" s="635"/>
      <c r="L45" s="635"/>
      <c r="M45" s="635"/>
      <c r="N45" s="635"/>
      <c r="O45" s="20"/>
      <c r="P45" s="9"/>
      <c r="Q45" s="345"/>
      <c r="R45" s="372"/>
      <c r="S45" s="370"/>
      <c r="T45" s="371"/>
      <c r="U45" s="371"/>
      <c r="V45" s="371"/>
    </row>
    <row r="46" spans="1:22">
      <c r="A46" s="632">
        <v>13818</v>
      </c>
      <c r="B46" s="632" t="s">
        <v>72</v>
      </c>
      <c r="C46" s="632" t="s">
        <v>72</v>
      </c>
      <c r="D46" s="632" t="s">
        <v>126</v>
      </c>
      <c r="E46" s="633">
        <v>43391.770416666666</v>
      </c>
      <c r="F46" s="638">
        <v>43391.770416666666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20"/>
      <c r="P46" s="9"/>
      <c r="R46" s="372"/>
      <c r="S46" s="18"/>
      <c r="T46" s="63"/>
      <c r="U46" s="63"/>
      <c r="V46" s="63"/>
    </row>
    <row r="47" spans="1:22" s="2" customFormat="1">
      <c r="A47" s="632">
        <v>13831</v>
      </c>
      <c r="B47" s="632" t="s">
        <v>72</v>
      </c>
      <c r="C47" s="632" t="s">
        <v>72</v>
      </c>
      <c r="D47" s="632" t="s">
        <v>125</v>
      </c>
      <c r="E47" s="633">
        <v>43392.368379629632</v>
      </c>
      <c r="F47" s="638">
        <v>43392.368379629632</v>
      </c>
      <c r="G47" s="634">
        <v>0.36805555555555558</v>
      </c>
      <c r="H47" s="635">
        <v>11.883333333333333</v>
      </c>
      <c r="I47" s="635">
        <v>8</v>
      </c>
      <c r="J47" s="635" t="s">
        <v>115</v>
      </c>
      <c r="K47" s="635"/>
      <c r="L47" s="635"/>
      <c r="M47" s="635"/>
      <c r="N47" s="635"/>
      <c r="O47" s="20"/>
      <c r="P47" s="9"/>
      <c r="Q47" s="345"/>
      <c r="R47" s="372"/>
      <c r="S47" s="18"/>
      <c r="T47" s="63"/>
      <c r="U47" s="63"/>
      <c r="V47" s="63"/>
    </row>
    <row r="48" spans="1:22" s="63" customFormat="1">
      <c r="A48" s="632">
        <v>13843</v>
      </c>
      <c r="B48" s="632" t="s">
        <v>86</v>
      </c>
      <c r="C48" s="632" t="s">
        <v>72</v>
      </c>
      <c r="D48" s="632" t="s">
        <v>126</v>
      </c>
      <c r="E48" s="633">
        <v>43392.863692129627</v>
      </c>
      <c r="F48" s="638">
        <v>43392.863692129627</v>
      </c>
      <c r="G48" s="634">
        <v>0.86319444444444438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20"/>
      <c r="P48" s="9"/>
      <c r="Q48" s="345"/>
      <c r="R48" s="372"/>
      <c r="S48" s="370"/>
      <c r="T48" s="371"/>
      <c r="U48" s="371"/>
      <c r="V48" s="371"/>
    </row>
    <row r="49" spans="1:22" s="2" customFormat="1">
      <c r="A49" s="632">
        <v>13849</v>
      </c>
      <c r="B49" s="632" t="s">
        <v>86</v>
      </c>
      <c r="C49" s="632" t="s">
        <v>72</v>
      </c>
      <c r="D49" s="632" t="s">
        <v>125</v>
      </c>
      <c r="E49" s="633">
        <v>43395.367291666669</v>
      </c>
      <c r="F49" s="638">
        <v>43395.367291666669</v>
      </c>
      <c r="G49" s="634">
        <v>0.3666666666666667</v>
      </c>
      <c r="H49" s="635">
        <v>9.7166666666666686</v>
      </c>
      <c r="I49" s="635">
        <v>8</v>
      </c>
      <c r="J49" s="635" t="s">
        <v>115</v>
      </c>
      <c r="K49" s="635"/>
      <c r="L49" s="635"/>
      <c r="M49" s="635"/>
      <c r="N49" s="635"/>
      <c r="O49" s="20"/>
      <c r="P49" s="9"/>
      <c r="Q49" s="345"/>
      <c r="R49" s="372"/>
      <c r="S49" s="374"/>
      <c r="T49" s="375"/>
      <c r="U49" s="375"/>
      <c r="V49" s="375"/>
    </row>
    <row r="50" spans="1:22">
      <c r="A50" s="632">
        <v>13863</v>
      </c>
      <c r="B50" s="632" t="s">
        <v>72</v>
      </c>
      <c r="C50" s="632" t="s">
        <v>72</v>
      </c>
      <c r="D50" s="632" t="s">
        <v>126</v>
      </c>
      <c r="E50" s="633">
        <v>43395.772175925929</v>
      </c>
      <c r="F50" s="638">
        <v>43395.772175925929</v>
      </c>
      <c r="G50" s="634">
        <v>0.7715277777777777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20"/>
      <c r="P50" s="9"/>
      <c r="R50" s="372"/>
    </row>
    <row r="51" spans="1:22" s="444" customFormat="1">
      <c r="A51" s="632">
        <v>13864</v>
      </c>
      <c r="B51" s="632" t="s">
        <v>72</v>
      </c>
      <c r="C51" s="632" t="s">
        <v>72</v>
      </c>
      <c r="D51" s="632" t="s">
        <v>127</v>
      </c>
      <c r="E51" s="633">
        <v>43395.772210648145</v>
      </c>
      <c r="F51" s="638">
        <v>43395.772210648145</v>
      </c>
      <c r="G51" s="634">
        <v>0.7715277777777777</v>
      </c>
      <c r="H51" s="635" t="s">
        <v>115</v>
      </c>
      <c r="I51" s="635" t="s">
        <v>115</v>
      </c>
      <c r="J51" s="635" t="s">
        <v>115</v>
      </c>
      <c r="K51" s="635">
        <v>0.91666666666666607</v>
      </c>
      <c r="L51" s="635"/>
      <c r="M51" s="635">
        <v>0.91666666666666607</v>
      </c>
      <c r="N51" s="635">
        <v>0</v>
      </c>
      <c r="O51" s="20"/>
      <c r="R51" s="137"/>
      <c r="S51" s="137"/>
      <c r="T51" s="137"/>
      <c r="U51" s="137"/>
      <c r="V51" s="137"/>
    </row>
    <row r="52" spans="1:22" s="9" customFormat="1">
      <c r="A52" s="632">
        <v>13872</v>
      </c>
      <c r="B52" s="632" t="s">
        <v>72</v>
      </c>
      <c r="C52" s="632" t="s">
        <v>72</v>
      </c>
      <c r="D52" s="632" t="s">
        <v>128</v>
      </c>
      <c r="E52" s="633">
        <v>43395.809803240743</v>
      </c>
      <c r="F52" s="638">
        <v>43395.809803240743</v>
      </c>
      <c r="G52" s="634">
        <v>0.80972222222222223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20"/>
      <c r="Q52" s="345"/>
      <c r="R52" s="372"/>
      <c r="S52" s="137"/>
      <c r="T52" s="137"/>
      <c r="U52" s="137"/>
      <c r="V52" s="137"/>
    </row>
    <row r="53" spans="1:22" s="9" customFormat="1">
      <c r="A53" s="632">
        <v>13880</v>
      </c>
      <c r="B53" s="632" t="s">
        <v>72</v>
      </c>
      <c r="C53" s="632" t="s">
        <v>72</v>
      </c>
      <c r="D53" s="632" t="s">
        <v>125</v>
      </c>
      <c r="E53" s="633">
        <v>43396.363553240742</v>
      </c>
      <c r="F53" s="638">
        <v>43396.363553240742</v>
      </c>
      <c r="G53" s="634">
        <v>0.36319444444444443</v>
      </c>
      <c r="H53" s="635">
        <v>9.6333333333333329</v>
      </c>
      <c r="I53" s="635">
        <v>8</v>
      </c>
      <c r="J53" s="635" t="s">
        <v>115</v>
      </c>
      <c r="K53" s="635"/>
      <c r="L53" s="635"/>
      <c r="M53" s="635"/>
      <c r="N53" s="635"/>
      <c r="O53" s="20"/>
      <c r="Q53" s="345"/>
      <c r="R53" s="372"/>
      <c r="S53" s="137"/>
      <c r="T53" s="137"/>
      <c r="U53" s="137"/>
      <c r="V53" s="137"/>
    </row>
    <row r="54" spans="1:22" s="18" customFormat="1">
      <c r="A54" s="632">
        <v>13892</v>
      </c>
      <c r="B54" s="632" t="s">
        <v>72</v>
      </c>
      <c r="C54" s="632" t="s">
        <v>72</v>
      </c>
      <c r="D54" s="632" t="s">
        <v>126</v>
      </c>
      <c r="E54" s="633">
        <v>43396.764826388891</v>
      </c>
      <c r="F54" s="638">
        <v>43396.764826388891</v>
      </c>
      <c r="G54" s="634">
        <v>0.76458333333333339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20"/>
      <c r="P54" s="9"/>
      <c r="Q54" s="345"/>
      <c r="R54" s="372"/>
      <c r="S54" s="137"/>
      <c r="T54" s="137"/>
      <c r="U54" s="137"/>
      <c r="V54" s="137"/>
    </row>
    <row r="55" spans="1:22" s="18" customFormat="1">
      <c r="A55" s="632">
        <v>13917</v>
      </c>
      <c r="B55" s="632" t="s">
        <v>72</v>
      </c>
      <c r="C55" s="632" t="s">
        <v>72</v>
      </c>
      <c r="D55" s="632" t="s">
        <v>125</v>
      </c>
      <c r="E55" s="633">
        <v>43397.373229166667</v>
      </c>
      <c r="F55" s="638">
        <v>43397.373229166667</v>
      </c>
      <c r="G55" s="634">
        <v>0.37291666666666662</v>
      </c>
      <c r="H55" s="635">
        <v>9.533333333333335</v>
      </c>
      <c r="I55" s="635">
        <v>8</v>
      </c>
      <c r="J55" s="635" t="s">
        <v>115</v>
      </c>
      <c r="K55" s="635"/>
      <c r="L55" s="635"/>
      <c r="M55" s="635"/>
      <c r="N55" s="635"/>
      <c r="O55" s="20"/>
      <c r="P55" s="9"/>
      <c r="Q55" s="345"/>
      <c r="R55" s="372"/>
      <c r="S55" s="137"/>
      <c r="T55" s="137"/>
      <c r="U55" s="137"/>
      <c r="V55" s="137"/>
    </row>
    <row r="56" spans="1:22">
      <c r="A56" s="632">
        <v>13923</v>
      </c>
      <c r="B56" s="632" t="s">
        <v>72</v>
      </c>
      <c r="C56" s="632" t="s">
        <v>72</v>
      </c>
      <c r="D56" s="632" t="s">
        <v>126</v>
      </c>
      <c r="E56" s="633">
        <v>43397.770509259259</v>
      </c>
      <c r="F56" s="638">
        <v>43397.770509259259</v>
      </c>
      <c r="G56" s="634">
        <v>0.77013888888888893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20"/>
      <c r="P56" s="9"/>
      <c r="R56" s="372"/>
      <c r="S56" s="137"/>
      <c r="T56" s="137"/>
      <c r="U56" s="137"/>
      <c r="V56" s="137"/>
    </row>
    <row r="57" spans="1:22">
      <c r="A57" s="632">
        <v>13941</v>
      </c>
      <c r="B57" s="632" t="s">
        <v>72</v>
      </c>
      <c r="C57" s="632" t="s">
        <v>72</v>
      </c>
      <c r="D57" s="632" t="s">
        <v>125</v>
      </c>
      <c r="E57" s="633">
        <v>43398.374212962961</v>
      </c>
      <c r="F57" s="638">
        <v>43398.374212962961</v>
      </c>
      <c r="G57" s="634">
        <v>0.37361111111111112</v>
      </c>
      <c r="H57" s="635">
        <v>9.5833333333333339</v>
      </c>
      <c r="I57" s="635">
        <v>8</v>
      </c>
      <c r="J57" s="635" t="s">
        <v>115</v>
      </c>
      <c r="K57" s="635"/>
      <c r="L57" s="635"/>
      <c r="M57" s="635"/>
      <c r="N57" s="635"/>
      <c r="O57" s="20"/>
      <c r="P57" s="9"/>
      <c r="R57" s="372"/>
      <c r="S57" s="18"/>
      <c r="T57" s="63"/>
      <c r="U57" s="63"/>
      <c r="V57" s="63"/>
    </row>
    <row r="58" spans="1:22">
      <c r="A58" s="632">
        <v>13951</v>
      </c>
      <c r="B58" s="632" t="s">
        <v>72</v>
      </c>
      <c r="C58" s="632" t="s">
        <v>72</v>
      </c>
      <c r="D58" s="632" t="s">
        <v>126</v>
      </c>
      <c r="E58" s="633">
        <v>43398.773206018515</v>
      </c>
      <c r="F58" s="638">
        <v>43398.773206018515</v>
      </c>
      <c r="G58" s="634">
        <v>0.7729166666666667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20"/>
      <c r="P58" s="9"/>
      <c r="R58" s="372"/>
    </row>
    <row r="59" spans="1:22">
      <c r="A59" s="632">
        <v>13952</v>
      </c>
      <c r="B59" s="632" t="s">
        <v>72</v>
      </c>
      <c r="C59" s="632" t="s">
        <v>72</v>
      </c>
      <c r="D59" s="632" t="s">
        <v>127</v>
      </c>
      <c r="E59" s="633">
        <v>43398.773252314815</v>
      </c>
      <c r="F59" s="638">
        <v>43398.773252314815</v>
      </c>
      <c r="G59" s="634">
        <v>0.7729166666666667</v>
      </c>
      <c r="H59" s="635" t="s">
        <v>115</v>
      </c>
      <c r="I59" s="635" t="s">
        <v>115</v>
      </c>
      <c r="J59" s="635" t="s">
        <v>115</v>
      </c>
      <c r="K59" s="635">
        <v>1.4666666666666668</v>
      </c>
      <c r="L59" s="635"/>
      <c r="M59" s="635">
        <v>1.4666666666666668</v>
      </c>
      <c r="N59" s="635">
        <v>0</v>
      </c>
      <c r="O59" s="20"/>
      <c r="P59" s="9"/>
      <c r="R59" s="372"/>
      <c r="S59" s="374"/>
      <c r="T59" s="375"/>
      <c r="U59" s="375"/>
      <c r="V59" s="375"/>
    </row>
    <row r="60" spans="1:22">
      <c r="A60" s="632">
        <v>13955</v>
      </c>
      <c r="B60" s="632" t="s">
        <v>72</v>
      </c>
      <c r="C60" s="632" t="s">
        <v>72</v>
      </c>
      <c r="D60" s="632" t="s">
        <v>128</v>
      </c>
      <c r="E60" s="633">
        <v>43398.834421296298</v>
      </c>
      <c r="F60" s="638">
        <v>43398.834421296298</v>
      </c>
      <c r="G60" s="634">
        <v>0.8340277777777777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20"/>
      <c r="P60" s="9"/>
      <c r="R60" s="372"/>
    </row>
    <row r="61" spans="1:22">
      <c r="A61" s="632">
        <v>13964</v>
      </c>
      <c r="B61" s="632" t="s">
        <v>72</v>
      </c>
      <c r="C61" s="632" t="s">
        <v>72</v>
      </c>
      <c r="D61" s="632" t="s">
        <v>125</v>
      </c>
      <c r="E61" s="633">
        <v>43399.370370370372</v>
      </c>
      <c r="F61" s="638">
        <v>43399.370370370372</v>
      </c>
      <c r="G61" s="634">
        <v>0.37013888888888885</v>
      </c>
      <c r="H61" s="635">
        <v>10.25</v>
      </c>
      <c r="I61" s="635">
        <v>8</v>
      </c>
      <c r="J61" s="635" t="s">
        <v>115</v>
      </c>
      <c r="K61" s="635"/>
      <c r="L61" s="635"/>
      <c r="M61" s="635"/>
      <c r="N61" s="635"/>
      <c r="O61" s="20"/>
      <c r="P61" s="9"/>
      <c r="R61" s="372"/>
      <c r="S61" s="370"/>
      <c r="T61" s="371"/>
      <c r="U61" s="371"/>
      <c r="V61" s="371"/>
    </row>
    <row r="62" spans="1:22">
      <c r="A62" s="632">
        <v>13975</v>
      </c>
      <c r="B62" s="632" t="s">
        <v>72</v>
      </c>
      <c r="C62" s="632" t="s">
        <v>72</v>
      </c>
      <c r="D62" s="632" t="s">
        <v>126</v>
      </c>
      <c r="E62" s="633">
        <v>43399.797789351855</v>
      </c>
      <c r="F62" s="638">
        <v>43399.797789351855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20"/>
      <c r="P62" s="9"/>
      <c r="R62" s="372"/>
    </row>
    <row r="63" spans="1:22">
      <c r="A63" s="632">
        <v>13981</v>
      </c>
      <c r="B63" s="632" t="s">
        <v>72</v>
      </c>
      <c r="C63" s="632" t="s">
        <v>72</v>
      </c>
      <c r="D63" s="632" t="s">
        <v>125</v>
      </c>
      <c r="E63" s="633">
        <v>43402.366446759261</v>
      </c>
      <c r="F63" s="638">
        <v>43402.366446759261</v>
      </c>
      <c r="G63" s="634">
        <v>0.3659722222222222</v>
      </c>
      <c r="H63" s="635">
        <v>9.7333333333333343</v>
      </c>
      <c r="I63" s="635">
        <v>8</v>
      </c>
      <c r="J63" s="635" t="s">
        <v>115</v>
      </c>
      <c r="K63" s="635"/>
      <c r="L63" s="635"/>
      <c r="M63" s="635"/>
      <c r="N63" s="635"/>
      <c r="O63" s="20"/>
      <c r="P63" s="9"/>
      <c r="R63" s="372"/>
      <c r="S63" s="137"/>
      <c r="T63" s="16"/>
      <c r="U63" s="16"/>
      <c r="V63" s="16"/>
    </row>
    <row r="64" spans="1:22" s="63" customFormat="1">
      <c r="A64" s="632">
        <v>13996</v>
      </c>
      <c r="B64" s="632" t="s">
        <v>72</v>
      </c>
      <c r="C64" s="632" t="s">
        <v>72</v>
      </c>
      <c r="D64" s="632" t="s">
        <v>126</v>
      </c>
      <c r="E64" s="633">
        <v>43402.771805555552</v>
      </c>
      <c r="F64" s="638">
        <v>43402.771805555552</v>
      </c>
      <c r="G64" s="634">
        <v>0.7715277777777777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20"/>
      <c r="P64" s="9"/>
      <c r="Q64" s="345"/>
      <c r="R64" s="372"/>
      <c r="S64" s="345"/>
      <c r="T64" s="335"/>
      <c r="U64" s="335"/>
      <c r="V64" s="335"/>
    </row>
    <row r="65" spans="1:22" s="398" customFormat="1">
      <c r="A65" s="632">
        <v>14015</v>
      </c>
      <c r="B65" s="632" t="s">
        <v>72</v>
      </c>
      <c r="C65" s="632" t="s">
        <v>72</v>
      </c>
      <c r="D65" s="632" t="s">
        <v>125</v>
      </c>
      <c r="E65" s="633">
        <v>43403.371747685182</v>
      </c>
      <c r="F65" s="638">
        <v>43403.371747685182</v>
      </c>
      <c r="G65" s="634">
        <v>0.37152777777777773</v>
      </c>
      <c r="H65" s="635">
        <v>10.183333333333332</v>
      </c>
      <c r="I65" s="635">
        <v>8</v>
      </c>
      <c r="J65" s="635" t="s">
        <v>115</v>
      </c>
      <c r="K65" s="635"/>
      <c r="L65" s="635"/>
      <c r="M65" s="635"/>
      <c r="N65" s="635"/>
      <c r="O65" s="20"/>
      <c r="P65" s="444"/>
      <c r="Q65" s="444"/>
      <c r="R65" s="137"/>
      <c r="S65" s="137"/>
      <c r="T65" s="16"/>
      <c r="U65" s="16"/>
      <c r="V65" s="16"/>
    </row>
    <row r="66" spans="1:22" s="398" customFormat="1">
      <c r="A66" s="632">
        <v>14028</v>
      </c>
      <c r="B66" s="632" t="s">
        <v>72</v>
      </c>
      <c r="C66" s="632" t="s">
        <v>72</v>
      </c>
      <c r="D66" s="632" t="s">
        <v>126</v>
      </c>
      <c r="E66" s="633">
        <v>43403.796076388891</v>
      </c>
      <c r="F66" s="638">
        <v>43403.796076388891</v>
      </c>
      <c r="G66" s="634">
        <v>0.79583333333333339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20"/>
      <c r="P66" s="444"/>
      <c r="Q66" s="444"/>
      <c r="R66" s="137"/>
      <c r="S66" s="444"/>
    </row>
    <row r="67" spans="1:22" s="63" customFormat="1">
      <c r="A67" s="632">
        <v>14037</v>
      </c>
      <c r="B67" s="632" t="s">
        <v>72</v>
      </c>
      <c r="C67" s="632" t="s">
        <v>72</v>
      </c>
      <c r="D67" s="632" t="s">
        <v>125</v>
      </c>
      <c r="E67" s="633">
        <v>43404.368738425925</v>
      </c>
      <c r="F67" s="638">
        <v>43404.368738425925</v>
      </c>
      <c r="G67" s="634">
        <v>0.36805555555555558</v>
      </c>
      <c r="H67" s="635">
        <v>9.6999999999999993</v>
      </c>
      <c r="I67" s="635">
        <v>8</v>
      </c>
      <c r="J67" s="635" t="s">
        <v>115</v>
      </c>
      <c r="K67" s="635"/>
      <c r="L67" s="635"/>
      <c r="M67" s="635"/>
      <c r="N67" s="635"/>
      <c r="O67" s="20"/>
      <c r="P67" s="9"/>
      <c r="Q67" s="345"/>
      <c r="R67" s="372"/>
      <c r="S67" s="374"/>
      <c r="T67" s="375"/>
      <c r="U67" s="375"/>
      <c r="V67" s="375"/>
    </row>
    <row r="68" spans="1:22" s="63" customFormat="1">
      <c r="A68" s="632">
        <v>14047</v>
      </c>
      <c r="B68" s="632" t="s">
        <v>72</v>
      </c>
      <c r="C68" s="632" t="s">
        <v>72</v>
      </c>
      <c r="D68" s="632" t="s">
        <v>126</v>
      </c>
      <c r="E68" s="633">
        <v>43404.772696759261</v>
      </c>
      <c r="F68" s="638">
        <v>43404.772696759261</v>
      </c>
      <c r="G68" s="634">
        <v>0.77222222222222225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20"/>
      <c r="P68" s="9"/>
      <c r="Q68" s="345"/>
      <c r="R68" s="372"/>
      <c r="S68" s="345"/>
      <c r="T68" s="335"/>
      <c r="U68" s="335"/>
      <c r="V68" s="335"/>
    </row>
    <row r="69" spans="1:22">
      <c r="D69" s="9" t="s">
        <v>36</v>
      </c>
      <c r="O69" s="454"/>
    </row>
    <row r="70" spans="1:22">
      <c r="D70" s="9" t="s">
        <v>35</v>
      </c>
      <c r="O70" s="454"/>
    </row>
    <row r="71" spans="1:22">
      <c r="D71" s="172" t="s">
        <v>63</v>
      </c>
      <c r="O71" s="454"/>
      <c r="S71" s="444"/>
      <c r="T71" s="398"/>
      <c r="U71" s="398"/>
      <c r="V71" s="398"/>
    </row>
    <row r="72" spans="1:22">
      <c r="D72" s="458" t="s">
        <v>135</v>
      </c>
      <c r="O72" s="454"/>
    </row>
    <row r="73" spans="1:22">
      <c r="D73" s="458" t="s">
        <v>64</v>
      </c>
      <c r="E73" s="504"/>
      <c r="O73" s="454"/>
    </row>
    <row r="74" spans="1:22">
      <c r="D74" s="458" t="s">
        <v>68</v>
      </c>
      <c r="E74" s="504"/>
      <c r="O74" s="454"/>
    </row>
    <row r="75" spans="1:22">
      <c r="D75" s="458" t="s">
        <v>69</v>
      </c>
      <c r="E75" s="504"/>
      <c r="O75" s="454"/>
    </row>
    <row r="76" spans="1:22">
      <c r="D76" s="458" t="s">
        <v>116</v>
      </c>
      <c r="E76" s="504"/>
    </row>
    <row r="77" spans="1:22">
      <c r="D77" s="458" t="s">
        <v>136</v>
      </c>
      <c r="E77" s="504"/>
    </row>
  </sheetData>
  <phoneticPr fontId="18" type="noConversion"/>
  <conditionalFormatting sqref="I7:I34 I37:I68">
    <cfRule type="cellIs" dxfId="38" priority="2" operator="lessThan">
      <formula>4</formula>
    </cfRule>
  </conditionalFormatting>
  <conditionalFormatting sqref="I35:I36">
    <cfRule type="cellIs" dxfId="3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>
    <tabColor theme="4"/>
    <pageSetUpPr fitToPage="1"/>
  </sheetPr>
  <dimension ref="A1:V82"/>
  <sheetViews>
    <sheetView view="pageBreakPreview" zoomScaleNormal="100" zoomScaleSheetLayoutView="100" workbookViewId="0">
      <selection activeCell="K3" sqref="K3"/>
    </sheetView>
  </sheetViews>
  <sheetFormatPr defaultRowHeight="16.5" outlineLevelCol="1"/>
  <cols>
    <col min="1" max="1" width="6.75" customWidth="1" outlineLevel="1"/>
    <col min="2" max="2" width="6.875" customWidth="1" outlineLevel="1"/>
    <col min="3" max="3" width="6.5" style="3" customWidth="1" outlineLevel="1"/>
    <col min="4" max="4" width="9.75" style="3" customWidth="1"/>
    <col min="5" max="5" width="17.875" style="3" customWidth="1"/>
    <col min="6" max="6" width="12.625" style="16" customWidth="1"/>
    <col min="7" max="7" width="8.625" style="17" customWidth="1" outlineLevel="1"/>
    <col min="8" max="8" width="11.125" style="51" customWidth="1" outlineLevel="1"/>
    <col min="9" max="9" width="9.37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375" style="28" customWidth="1"/>
    <col min="16" max="17" width="9" style="9"/>
    <col min="18" max="18" width="2.5" style="9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jessie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386">
        <v>0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SUM(K7:K200)</f>
        <v>12.216666666666661</v>
      </c>
      <c r="L3" s="53">
        <f>J3</f>
        <v>0</v>
      </c>
      <c r="M3" s="53">
        <f>M6-J3</f>
        <v>11.433333333333334</v>
      </c>
      <c r="N3" s="53">
        <f>N6</f>
        <v>0.78333333333333233</v>
      </c>
      <c r="O3" s="50"/>
    </row>
    <row r="4" spans="1:21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1">
      <c r="D5" s="87">
        <v>0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7.6354166666666654E-2</v>
      </c>
    </row>
    <row r="6" spans="1:21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SUM(I7:I200)</f>
        <v>176</v>
      </c>
      <c r="J6" s="509">
        <f t="shared" ref="J6:N6" si="0">SUM(J7:J200)</f>
        <v>8</v>
      </c>
      <c r="K6" s="509">
        <f t="shared" si="0"/>
        <v>12.216666666666661</v>
      </c>
      <c r="L6" s="509">
        <f t="shared" si="0"/>
        <v>0</v>
      </c>
      <c r="M6" s="509">
        <f t="shared" si="0"/>
        <v>11.433333333333334</v>
      </c>
      <c r="N6" s="509">
        <f t="shared" si="0"/>
        <v>0.78333333333333233</v>
      </c>
      <c r="O6" s="498"/>
      <c r="Q6" s="47"/>
    </row>
    <row r="7" spans="1:21" s="2" customFormat="1">
      <c r="A7" s="632">
        <v>13457</v>
      </c>
      <c r="B7" s="632" t="s">
        <v>113</v>
      </c>
      <c r="C7" s="632" t="s">
        <v>113</v>
      </c>
      <c r="D7" s="632" t="s">
        <v>125</v>
      </c>
      <c r="E7" s="633">
        <v>43374.351967592593</v>
      </c>
      <c r="F7" s="638">
        <v>43374.351967592593</v>
      </c>
      <c r="G7" s="634">
        <v>0.35138888888888892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19"/>
      <c r="P7" s="8"/>
      <c r="Q7" s="8"/>
      <c r="R7" s="8"/>
      <c r="S7" s="8"/>
    </row>
    <row r="8" spans="1:21">
      <c r="A8" s="632">
        <v>13471</v>
      </c>
      <c r="B8" s="632" t="s">
        <v>113</v>
      </c>
      <c r="C8" s="632" t="s">
        <v>113</v>
      </c>
      <c r="D8" s="632" t="s">
        <v>126</v>
      </c>
      <c r="E8" s="633">
        <v>43374.754895833335</v>
      </c>
      <c r="F8" s="638">
        <v>43374.754895833335</v>
      </c>
      <c r="G8" s="634">
        <v>0.75486111111111109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8"/>
    </row>
    <row r="9" spans="1:21" s="187" customFormat="1">
      <c r="A9" s="632">
        <v>13495</v>
      </c>
      <c r="B9" s="632" t="s">
        <v>149</v>
      </c>
      <c r="C9" s="632" t="s">
        <v>113</v>
      </c>
      <c r="D9" s="632" t="s">
        <v>125</v>
      </c>
      <c r="E9" s="633">
        <v>43375.351400462961</v>
      </c>
      <c r="F9" s="638">
        <v>43375.351400462961</v>
      </c>
      <c r="G9" s="634">
        <v>0.35138888888888892</v>
      </c>
      <c r="H9" s="635">
        <v>9.65</v>
      </c>
      <c r="I9" s="635">
        <v>8</v>
      </c>
      <c r="J9" s="635" t="s">
        <v>115</v>
      </c>
      <c r="K9" s="635"/>
      <c r="L9" s="635"/>
      <c r="M9" s="635"/>
      <c r="N9" s="635"/>
      <c r="O9" s="526"/>
    </row>
    <row r="10" spans="1:21" s="187" customFormat="1">
      <c r="A10" s="632">
        <v>13508</v>
      </c>
      <c r="B10" s="632" t="s">
        <v>113</v>
      </c>
      <c r="C10" s="632" t="s">
        <v>113</v>
      </c>
      <c r="D10" s="632" t="s">
        <v>126</v>
      </c>
      <c r="E10" s="633">
        <v>43375.753645833334</v>
      </c>
      <c r="F10" s="638">
        <v>43375.753645833334</v>
      </c>
      <c r="G10" s="634">
        <v>0.75347222222222221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26"/>
    </row>
    <row r="11" spans="1:21" s="2" customFormat="1">
      <c r="A11" s="632">
        <v>13509</v>
      </c>
      <c r="B11" s="632" t="s">
        <v>113</v>
      </c>
      <c r="C11" s="632" t="s">
        <v>113</v>
      </c>
      <c r="D11" s="632" t="s">
        <v>127</v>
      </c>
      <c r="E11" s="633">
        <v>43375.753703703704</v>
      </c>
      <c r="F11" s="638">
        <v>43375.753703703704</v>
      </c>
      <c r="G11" s="634">
        <v>0.75347222222222221</v>
      </c>
      <c r="H11" s="635" t="s">
        <v>115</v>
      </c>
      <c r="I11" s="635" t="s">
        <v>115</v>
      </c>
      <c r="J11" s="635" t="s">
        <v>115</v>
      </c>
      <c r="K11" s="635">
        <v>1.6166666666666663</v>
      </c>
      <c r="L11" s="635"/>
      <c r="M11" s="635">
        <v>1.6166666666666663</v>
      </c>
      <c r="N11" s="635">
        <v>0</v>
      </c>
      <c r="O11" s="526"/>
      <c r="P11" s="8"/>
      <c r="Q11" s="8"/>
      <c r="R11" s="8"/>
      <c r="S11" s="8"/>
    </row>
    <row r="12" spans="1:21" s="2" customFormat="1">
      <c r="A12" s="632">
        <v>13519</v>
      </c>
      <c r="B12" s="632" t="s">
        <v>113</v>
      </c>
      <c r="C12" s="632" t="s">
        <v>113</v>
      </c>
      <c r="D12" s="632" t="s">
        <v>128</v>
      </c>
      <c r="E12" s="633">
        <v>43375.821076388886</v>
      </c>
      <c r="F12" s="638">
        <v>43375.821076388886</v>
      </c>
      <c r="G12" s="634">
        <v>0.8208333333333333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26"/>
      <c r="P12" s="8"/>
      <c r="Q12" s="8"/>
      <c r="R12" s="8"/>
      <c r="S12" s="8"/>
    </row>
    <row r="13" spans="1:21" s="63" customFormat="1">
      <c r="A13" s="632">
        <v>13524</v>
      </c>
      <c r="B13" s="632" t="s">
        <v>150</v>
      </c>
      <c r="C13" s="632" t="s">
        <v>113</v>
      </c>
      <c r="D13" s="632" t="s">
        <v>125</v>
      </c>
      <c r="E13" s="633">
        <v>43376.353055555555</v>
      </c>
      <c r="F13" s="638">
        <v>43376.353055555555</v>
      </c>
      <c r="G13" s="634">
        <v>0.3527777777777778</v>
      </c>
      <c r="H13" s="635">
        <v>9.8999999999999986</v>
      </c>
      <c r="I13" s="635">
        <v>8</v>
      </c>
      <c r="J13" s="635" t="s">
        <v>115</v>
      </c>
      <c r="K13" s="635"/>
      <c r="L13" s="635"/>
      <c r="M13" s="635"/>
      <c r="N13" s="635"/>
      <c r="O13" s="526"/>
      <c r="P13" s="18"/>
      <c r="Q13" s="18"/>
      <c r="R13" s="18"/>
      <c r="S13" s="18"/>
    </row>
    <row r="14" spans="1:21" s="63" customFormat="1">
      <c r="A14" s="632">
        <v>13532</v>
      </c>
      <c r="B14" s="632" t="s">
        <v>113</v>
      </c>
      <c r="C14" s="632" t="s">
        <v>113</v>
      </c>
      <c r="D14" s="632" t="s">
        <v>126</v>
      </c>
      <c r="E14" s="633">
        <v>43376.765833333331</v>
      </c>
      <c r="F14" s="638">
        <v>43376.765833333331</v>
      </c>
      <c r="G14" s="634">
        <v>0.76527777777777783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26"/>
      <c r="P14" s="18"/>
      <c r="Q14" s="18"/>
      <c r="R14" s="18"/>
      <c r="S14" s="18"/>
    </row>
    <row r="15" spans="1:21" s="2" customFormat="1">
      <c r="A15" s="632">
        <v>13533</v>
      </c>
      <c r="B15" s="632" t="s">
        <v>113</v>
      </c>
      <c r="C15" s="632" t="s">
        <v>113</v>
      </c>
      <c r="D15" s="632" t="s">
        <v>127</v>
      </c>
      <c r="E15" s="633">
        <v>43376.7658912037</v>
      </c>
      <c r="F15" s="638">
        <v>43376.7658912037</v>
      </c>
      <c r="G15" s="634">
        <v>0.76527777777777783</v>
      </c>
      <c r="H15" s="635" t="s">
        <v>115</v>
      </c>
      <c r="I15" s="635" t="s">
        <v>115</v>
      </c>
      <c r="J15" s="635" t="s">
        <v>115</v>
      </c>
      <c r="K15" s="635">
        <v>0.88333333333333552</v>
      </c>
      <c r="L15" s="635"/>
      <c r="M15" s="635">
        <v>0.88333333333333552</v>
      </c>
      <c r="N15" s="635">
        <v>0</v>
      </c>
      <c r="O15" s="526"/>
      <c r="P15" s="8"/>
      <c r="Q15" s="8"/>
      <c r="R15" s="8"/>
      <c r="S15" s="8"/>
    </row>
    <row r="16" spans="1:21" s="2" customFormat="1">
      <c r="A16" s="632">
        <v>13547</v>
      </c>
      <c r="B16" s="632" t="s">
        <v>113</v>
      </c>
      <c r="C16" s="632" t="s">
        <v>113</v>
      </c>
      <c r="D16" s="632" t="s">
        <v>128</v>
      </c>
      <c r="E16" s="633">
        <v>43376.802152777775</v>
      </c>
      <c r="F16" s="638">
        <v>43376.802152777775</v>
      </c>
      <c r="G16" s="634">
        <v>0.80208333333333337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26"/>
      <c r="P16" s="8"/>
      <c r="Q16" s="8"/>
      <c r="R16" s="8"/>
      <c r="S16" s="8"/>
    </row>
    <row r="17" spans="1:22" s="2" customFormat="1">
      <c r="A17" s="632">
        <v>13554</v>
      </c>
      <c r="B17" s="632" t="s">
        <v>113</v>
      </c>
      <c r="C17" s="632" t="s">
        <v>113</v>
      </c>
      <c r="D17" s="632" t="s">
        <v>125</v>
      </c>
      <c r="E17" s="633">
        <v>43377.352337962962</v>
      </c>
      <c r="F17" s="638">
        <v>43377.352337962962</v>
      </c>
      <c r="G17" s="634">
        <v>0.3520833333333333</v>
      </c>
      <c r="H17" s="635">
        <v>9.7666666666666657</v>
      </c>
      <c r="I17" s="635">
        <v>8</v>
      </c>
      <c r="J17" s="635" t="s">
        <v>115</v>
      </c>
      <c r="K17" s="635"/>
      <c r="L17" s="635"/>
      <c r="M17" s="635"/>
      <c r="N17" s="635"/>
      <c r="O17" s="526"/>
      <c r="P17" s="8"/>
      <c r="Q17" s="8"/>
      <c r="R17" s="8"/>
      <c r="S17" s="8"/>
    </row>
    <row r="18" spans="1:22" s="63" customFormat="1">
      <c r="A18" s="632">
        <v>13562</v>
      </c>
      <c r="B18" s="632" t="s">
        <v>113</v>
      </c>
      <c r="C18" s="632" t="s">
        <v>113</v>
      </c>
      <c r="D18" s="632" t="s">
        <v>126</v>
      </c>
      <c r="E18" s="633">
        <v>43377.759062500001</v>
      </c>
      <c r="F18" s="638">
        <v>43377.759062500001</v>
      </c>
      <c r="G18" s="634">
        <v>0.75902777777777775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26"/>
      <c r="P18" s="18"/>
      <c r="Q18" s="18"/>
      <c r="R18" s="18"/>
      <c r="S18" s="18"/>
    </row>
    <row r="19" spans="1:22" s="63" customFormat="1">
      <c r="A19" s="632">
        <v>13563</v>
      </c>
      <c r="B19" s="632" t="s">
        <v>113</v>
      </c>
      <c r="C19" s="632" t="s">
        <v>113</v>
      </c>
      <c r="D19" s="632" t="s">
        <v>127</v>
      </c>
      <c r="E19" s="633">
        <v>43377.759247685186</v>
      </c>
      <c r="F19" s="638">
        <v>43377.759247685186</v>
      </c>
      <c r="G19" s="634">
        <v>0.75902777777777775</v>
      </c>
      <c r="H19" s="635" t="s">
        <v>115</v>
      </c>
      <c r="I19" s="635" t="s">
        <v>115</v>
      </c>
      <c r="J19" s="635" t="s">
        <v>115</v>
      </c>
      <c r="K19" s="635">
        <v>0.93333333333333535</v>
      </c>
      <c r="L19" s="635"/>
      <c r="M19" s="635">
        <v>0.93333333333333535</v>
      </c>
      <c r="N19" s="635">
        <v>0</v>
      </c>
      <c r="O19" s="518"/>
      <c r="P19" s="18"/>
      <c r="Q19" s="18"/>
      <c r="R19" s="18"/>
      <c r="S19" s="18"/>
    </row>
    <row r="20" spans="1:22" s="63" customFormat="1">
      <c r="A20" s="632">
        <v>13577</v>
      </c>
      <c r="B20" s="632" t="s">
        <v>113</v>
      </c>
      <c r="C20" s="632" t="s">
        <v>113</v>
      </c>
      <c r="D20" s="632" t="s">
        <v>128</v>
      </c>
      <c r="E20" s="633">
        <v>43377.798564814817</v>
      </c>
      <c r="F20" s="638">
        <v>43377.798564814817</v>
      </c>
      <c r="G20" s="634">
        <v>0.79791666666666661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8"/>
      <c r="P20" s="18"/>
      <c r="Q20" s="18"/>
      <c r="R20" s="18"/>
      <c r="S20" s="18"/>
    </row>
    <row r="21" spans="1:22" s="63" customFormat="1">
      <c r="A21" s="632">
        <v>13584</v>
      </c>
      <c r="B21" s="632" t="s">
        <v>113</v>
      </c>
      <c r="C21" s="632" t="s">
        <v>113</v>
      </c>
      <c r="D21" s="632" t="s">
        <v>125</v>
      </c>
      <c r="E21" s="633">
        <v>43378.350752314815</v>
      </c>
      <c r="F21" s="638">
        <v>43378.350752314815</v>
      </c>
      <c r="G21" s="634">
        <v>0.35069444444444442</v>
      </c>
      <c r="H21" s="635">
        <v>10.033333333333335</v>
      </c>
      <c r="I21" s="635">
        <v>8</v>
      </c>
      <c r="J21" s="635" t="s">
        <v>115</v>
      </c>
      <c r="K21" s="635"/>
      <c r="L21" s="635"/>
      <c r="M21" s="635"/>
      <c r="N21" s="635"/>
      <c r="O21" s="526"/>
      <c r="P21" s="18"/>
      <c r="Q21" s="18"/>
      <c r="R21" s="18"/>
      <c r="S21" s="18"/>
    </row>
    <row r="22" spans="1:22" s="2" customFormat="1">
      <c r="A22" s="632">
        <v>13595</v>
      </c>
      <c r="B22" s="632" t="s">
        <v>113</v>
      </c>
      <c r="C22" s="632" t="s">
        <v>113</v>
      </c>
      <c r="D22" s="632" t="s">
        <v>126</v>
      </c>
      <c r="E22" s="633">
        <v>43378.768807870372</v>
      </c>
      <c r="F22" s="638">
        <v>43378.768807870372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26"/>
      <c r="P22" s="8"/>
      <c r="Q22" s="8"/>
      <c r="R22" s="8"/>
      <c r="S22" s="8"/>
    </row>
    <row r="23" spans="1:22" s="63" customFormat="1">
      <c r="A23" s="632">
        <v>13615</v>
      </c>
      <c r="B23" s="632" t="s">
        <v>113</v>
      </c>
      <c r="C23" s="632" t="s">
        <v>113</v>
      </c>
      <c r="D23" s="632" t="s">
        <v>125</v>
      </c>
      <c r="E23" s="633">
        <v>43381.352962962963</v>
      </c>
      <c r="F23" s="638">
        <v>43381.352962962963</v>
      </c>
      <c r="G23" s="634">
        <v>0.3527777777777778</v>
      </c>
      <c r="H23" s="635">
        <v>9.5666666666666664</v>
      </c>
      <c r="I23" s="635">
        <v>8</v>
      </c>
      <c r="J23" s="635" t="s">
        <v>115</v>
      </c>
      <c r="K23" s="635"/>
      <c r="L23" s="635"/>
      <c r="M23" s="635"/>
      <c r="N23" s="635"/>
      <c r="O23" s="526"/>
      <c r="P23" s="18"/>
      <c r="Q23" s="18"/>
      <c r="R23" s="18"/>
      <c r="S23" s="18"/>
    </row>
    <row r="24" spans="1:22" s="2" customFormat="1">
      <c r="A24" s="632">
        <v>13624</v>
      </c>
      <c r="B24" s="632" t="s">
        <v>113</v>
      </c>
      <c r="C24" s="632" t="s">
        <v>113</v>
      </c>
      <c r="D24" s="632" t="s">
        <v>126</v>
      </c>
      <c r="E24" s="633">
        <v>43381.752060185187</v>
      </c>
      <c r="F24" s="638">
        <v>43381.752060185187</v>
      </c>
      <c r="G24" s="634">
        <v>0.75138888888888899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26"/>
      <c r="P24" s="8"/>
      <c r="Q24" s="8"/>
      <c r="R24" s="8"/>
      <c r="S24" s="8"/>
    </row>
    <row r="25" spans="1:22" s="2" customFormat="1">
      <c r="A25" s="632">
        <v>13630</v>
      </c>
      <c r="B25" s="632" t="s">
        <v>113</v>
      </c>
      <c r="C25" s="632" t="s">
        <v>113</v>
      </c>
      <c r="D25" s="632" t="s">
        <v>127</v>
      </c>
      <c r="E25" s="633">
        <v>43381.769293981481</v>
      </c>
      <c r="F25" s="638">
        <v>43381.769293981481</v>
      </c>
      <c r="G25" s="634">
        <v>0.76874999999999993</v>
      </c>
      <c r="H25" s="635" t="s">
        <v>115</v>
      </c>
      <c r="I25" s="635" t="s">
        <v>115</v>
      </c>
      <c r="J25" s="635" t="s">
        <v>115</v>
      </c>
      <c r="K25" s="635">
        <v>2.5666666666666655</v>
      </c>
      <c r="L25" s="635"/>
      <c r="M25" s="635">
        <v>2</v>
      </c>
      <c r="N25" s="635">
        <v>0.56666666666666554</v>
      </c>
      <c r="O25" s="526"/>
      <c r="P25" s="8"/>
      <c r="Q25" s="8"/>
      <c r="R25" s="8"/>
      <c r="S25" s="8"/>
    </row>
    <row r="26" spans="1:22" s="2" customFormat="1">
      <c r="A26" s="632">
        <v>13640</v>
      </c>
      <c r="B26" s="632" t="s">
        <v>113</v>
      </c>
      <c r="C26" s="632" t="s">
        <v>113</v>
      </c>
      <c r="D26" s="632" t="s">
        <v>128</v>
      </c>
      <c r="E26" s="633">
        <v>43381.876145833332</v>
      </c>
      <c r="F26" s="638">
        <v>43381.876145833332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26"/>
      <c r="P26" s="8"/>
      <c r="Q26" s="8"/>
      <c r="R26" s="8"/>
      <c r="S26" s="8"/>
    </row>
    <row r="27" spans="1:22" s="63" customFormat="1">
      <c r="A27" s="632">
        <v>13644</v>
      </c>
      <c r="B27" s="632" t="s">
        <v>113</v>
      </c>
      <c r="C27" s="632" t="s">
        <v>113</v>
      </c>
      <c r="D27" s="632" t="s">
        <v>125</v>
      </c>
      <c r="E27" s="633">
        <v>43382.354490740741</v>
      </c>
      <c r="F27" s="638">
        <v>43382.354490740741</v>
      </c>
      <c r="G27" s="634">
        <v>0.35416666666666669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526"/>
      <c r="P27" s="18"/>
      <c r="Q27" s="18"/>
      <c r="R27" s="18"/>
      <c r="S27" s="18"/>
    </row>
    <row r="28" spans="1:22" s="63" customFormat="1">
      <c r="A28" s="632">
        <v>13655</v>
      </c>
      <c r="B28" s="632" t="s">
        <v>113</v>
      </c>
      <c r="C28" s="632" t="s">
        <v>113</v>
      </c>
      <c r="D28" s="632" t="s">
        <v>126</v>
      </c>
      <c r="E28" s="633">
        <v>43382.756053240744</v>
      </c>
      <c r="F28" s="638">
        <v>43382.756053240744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526"/>
      <c r="P28" s="18"/>
      <c r="Q28" s="18"/>
      <c r="R28" s="18"/>
      <c r="S28" s="18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157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63" customFormat="1">
      <c r="A31" s="632">
        <v>13662</v>
      </c>
      <c r="B31" s="632" t="s">
        <v>113</v>
      </c>
      <c r="C31" s="632" t="s">
        <v>113</v>
      </c>
      <c r="D31" s="632" t="s">
        <v>125</v>
      </c>
      <c r="E31" s="633">
        <v>43384.352627314816</v>
      </c>
      <c r="F31" s="638">
        <v>43384.352627314816</v>
      </c>
      <c r="G31" s="634">
        <v>0.3520833333333333</v>
      </c>
      <c r="H31" s="635">
        <v>10.016666666666667</v>
      </c>
      <c r="I31" s="635">
        <v>8</v>
      </c>
      <c r="J31" s="635" t="s">
        <v>115</v>
      </c>
      <c r="K31" s="635"/>
      <c r="L31" s="635"/>
      <c r="M31" s="635"/>
      <c r="N31" s="635"/>
      <c r="O31" s="520"/>
      <c r="P31" s="18"/>
      <c r="Q31" s="18"/>
      <c r="R31" s="18"/>
      <c r="S31" s="18"/>
    </row>
    <row r="32" spans="1:22" s="63" customFormat="1">
      <c r="A32" s="632">
        <v>13676</v>
      </c>
      <c r="B32" s="632" t="s">
        <v>113</v>
      </c>
      <c r="C32" s="632" t="s">
        <v>113</v>
      </c>
      <c r="D32" s="632" t="s">
        <v>126</v>
      </c>
      <c r="E32" s="633">
        <v>43384.769884259258</v>
      </c>
      <c r="F32" s="638">
        <v>43384.769884259258</v>
      </c>
      <c r="G32" s="634">
        <v>0.76944444444444438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20"/>
      <c r="P32" s="18"/>
      <c r="Q32" s="18"/>
      <c r="R32" s="18"/>
      <c r="S32" s="18"/>
    </row>
    <row r="33" spans="1:21" s="16" customFormat="1">
      <c r="A33" s="632">
        <v>13683</v>
      </c>
      <c r="B33" s="632" t="s">
        <v>113</v>
      </c>
      <c r="C33" s="632" t="s">
        <v>113</v>
      </c>
      <c r="D33" s="632" t="s">
        <v>127</v>
      </c>
      <c r="E33" s="633">
        <v>43384.781099537038</v>
      </c>
      <c r="F33" s="638">
        <v>43384.781099537038</v>
      </c>
      <c r="G33" s="634">
        <v>0.78055555555555556</v>
      </c>
      <c r="H33" s="635" t="s">
        <v>115</v>
      </c>
      <c r="I33" s="635" t="s">
        <v>115</v>
      </c>
      <c r="J33" s="635" t="s">
        <v>115</v>
      </c>
      <c r="K33" s="635">
        <v>2.2166666666666668</v>
      </c>
      <c r="L33" s="635"/>
      <c r="M33" s="635">
        <v>2</v>
      </c>
      <c r="N33" s="635">
        <v>0.21666666666666679</v>
      </c>
      <c r="O33" s="520"/>
      <c r="P33" s="137"/>
      <c r="Q33" s="137"/>
      <c r="R33" s="137"/>
      <c r="S33" s="137"/>
    </row>
    <row r="34" spans="1:21" s="16" customFormat="1">
      <c r="A34" s="632">
        <v>13691</v>
      </c>
      <c r="B34" s="632" t="s">
        <v>113</v>
      </c>
      <c r="C34" s="632" t="s">
        <v>113</v>
      </c>
      <c r="D34" s="632" t="s">
        <v>128</v>
      </c>
      <c r="E34" s="633">
        <v>43384.872928240744</v>
      </c>
      <c r="F34" s="638">
        <v>43384.872928240744</v>
      </c>
      <c r="G34" s="634">
        <v>0.87291666666666667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20"/>
      <c r="P34" s="137"/>
      <c r="Q34" s="137"/>
      <c r="R34" s="137"/>
      <c r="S34" s="137"/>
    </row>
    <row r="35" spans="1:21" s="63" customFormat="1">
      <c r="A35" s="632">
        <v>13694</v>
      </c>
      <c r="B35" s="632" t="s">
        <v>113</v>
      </c>
      <c r="C35" s="632" t="s">
        <v>113</v>
      </c>
      <c r="D35" s="632" t="s">
        <v>125</v>
      </c>
      <c r="E35" s="633">
        <v>43385.356134259258</v>
      </c>
      <c r="F35" s="638">
        <v>43385.356134259258</v>
      </c>
      <c r="G35" s="634">
        <v>0.35555555555555557</v>
      </c>
      <c r="H35" s="635">
        <v>9.9</v>
      </c>
      <c r="I35" s="635">
        <v>8</v>
      </c>
      <c r="J35" s="635" t="s">
        <v>115</v>
      </c>
      <c r="K35" s="635"/>
      <c r="L35" s="635"/>
      <c r="M35" s="635"/>
      <c r="N35" s="635"/>
      <c r="O35" s="526"/>
      <c r="P35" s="18"/>
      <c r="Q35" s="18"/>
      <c r="R35" s="18"/>
      <c r="S35" s="18"/>
    </row>
    <row r="36" spans="1:21" s="63" customFormat="1">
      <c r="A36" s="632">
        <v>13703</v>
      </c>
      <c r="B36" s="632" t="s">
        <v>113</v>
      </c>
      <c r="C36" s="632" t="s">
        <v>113</v>
      </c>
      <c r="D36" s="632" t="s">
        <v>126</v>
      </c>
      <c r="E36" s="633">
        <v>43385.768148148149</v>
      </c>
      <c r="F36" s="638">
        <v>43385.768148148149</v>
      </c>
      <c r="G36" s="634">
        <v>0.7680555555555556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26"/>
      <c r="P36" s="18"/>
      <c r="Q36" s="18"/>
      <c r="R36" s="18"/>
      <c r="S36" s="18"/>
    </row>
    <row r="37" spans="1:21">
      <c r="A37" s="632">
        <v>13720</v>
      </c>
      <c r="B37" s="632" t="s">
        <v>113</v>
      </c>
      <c r="C37" s="632" t="s">
        <v>113</v>
      </c>
      <c r="D37" s="632" t="s">
        <v>125</v>
      </c>
      <c r="E37" s="633">
        <v>43388.353750000002</v>
      </c>
      <c r="F37" s="638">
        <v>43388.353750000002</v>
      </c>
      <c r="G37" s="634">
        <v>0.35347222222222219</v>
      </c>
      <c r="H37" s="635">
        <v>9.7666666666666657</v>
      </c>
      <c r="I37" s="635">
        <v>8</v>
      </c>
      <c r="J37" s="635" t="s">
        <v>115</v>
      </c>
      <c r="K37" s="635"/>
      <c r="L37" s="635"/>
      <c r="M37" s="635"/>
      <c r="N37" s="635"/>
      <c r="O37" s="520"/>
    </row>
    <row r="38" spans="1:21">
      <c r="A38" s="632">
        <v>13732</v>
      </c>
      <c r="B38" s="632" t="s">
        <v>113</v>
      </c>
      <c r="C38" s="632" t="s">
        <v>113</v>
      </c>
      <c r="D38" s="632" t="s">
        <v>126</v>
      </c>
      <c r="E38" s="633">
        <v>43388.761041666665</v>
      </c>
      <c r="F38" s="638">
        <v>43388.761041666665</v>
      </c>
      <c r="G38" s="634">
        <v>0.76041666666666663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20"/>
    </row>
    <row r="39" spans="1:21">
      <c r="A39" s="632">
        <v>13736</v>
      </c>
      <c r="B39" s="632" t="s">
        <v>113</v>
      </c>
      <c r="C39" s="632" t="s">
        <v>113</v>
      </c>
      <c r="D39" s="632" t="s">
        <v>127</v>
      </c>
      <c r="E39" s="633">
        <v>43388.770520833335</v>
      </c>
      <c r="F39" s="638">
        <v>43388.770520833335</v>
      </c>
      <c r="G39" s="634">
        <v>0.77013888888888893</v>
      </c>
      <c r="H39" s="635" t="s">
        <v>115</v>
      </c>
      <c r="I39" s="635" t="s">
        <v>115</v>
      </c>
      <c r="J39" s="635" t="s">
        <v>115</v>
      </c>
      <c r="K39" s="635">
        <v>0.54999999999999805</v>
      </c>
      <c r="L39" s="635"/>
      <c r="M39" s="635">
        <v>0.54999999999999805</v>
      </c>
      <c r="N39" s="635">
        <v>0</v>
      </c>
      <c r="O39" s="520"/>
    </row>
    <row r="40" spans="1:21">
      <c r="A40" s="632">
        <v>13742</v>
      </c>
      <c r="B40" s="632" t="s">
        <v>113</v>
      </c>
      <c r="C40" s="632" t="s">
        <v>113</v>
      </c>
      <c r="D40" s="632" t="s">
        <v>128</v>
      </c>
      <c r="E40" s="633">
        <v>43388.793368055558</v>
      </c>
      <c r="F40" s="638">
        <v>43388.793368055558</v>
      </c>
      <c r="G40" s="634">
        <v>0.79305555555555562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20"/>
    </row>
    <row r="41" spans="1:21" s="3" customFormat="1">
      <c r="A41" s="632">
        <v>13747</v>
      </c>
      <c r="B41" s="632" t="s">
        <v>113</v>
      </c>
      <c r="C41" s="632" t="s">
        <v>113</v>
      </c>
      <c r="D41" s="632" t="s">
        <v>125</v>
      </c>
      <c r="E41" s="633">
        <v>43389.356620370374</v>
      </c>
      <c r="F41" s="638">
        <v>43389.356620370374</v>
      </c>
      <c r="G41" s="634">
        <v>0.35625000000000001</v>
      </c>
      <c r="H41" s="635">
        <v>9.6833333333333318</v>
      </c>
      <c r="I41" s="635">
        <v>8</v>
      </c>
      <c r="J41" s="635" t="s">
        <v>115</v>
      </c>
      <c r="K41" s="635"/>
      <c r="L41" s="635"/>
      <c r="M41" s="635"/>
      <c r="N41" s="635"/>
      <c r="O41" s="520"/>
      <c r="P41" s="9"/>
      <c r="Q41" s="9"/>
      <c r="R41" s="9"/>
      <c r="S41" s="9"/>
      <c r="T41"/>
      <c r="U41"/>
    </row>
    <row r="42" spans="1:21" s="3" customFormat="1">
      <c r="A42" s="632">
        <v>13759</v>
      </c>
      <c r="B42" s="632" t="s">
        <v>113</v>
      </c>
      <c r="C42" s="632" t="s">
        <v>113</v>
      </c>
      <c r="D42" s="632" t="s">
        <v>126</v>
      </c>
      <c r="E42" s="633">
        <v>43389.759953703702</v>
      </c>
      <c r="F42" s="638">
        <v>43389.759953703702</v>
      </c>
      <c r="G42" s="634">
        <v>0.7597222222222223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20"/>
      <c r="P42" s="9"/>
      <c r="Q42" s="9"/>
      <c r="R42" s="9"/>
      <c r="S42" s="9"/>
      <c r="T42"/>
      <c r="U42"/>
    </row>
    <row r="43" spans="1:21" s="3" customFormat="1">
      <c r="A43" s="632">
        <v>13776</v>
      </c>
      <c r="B43" s="632" t="s">
        <v>113</v>
      </c>
      <c r="C43" s="632" t="s">
        <v>113</v>
      </c>
      <c r="D43" s="632" t="s">
        <v>125</v>
      </c>
      <c r="E43" s="633">
        <v>43390.350868055553</v>
      </c>
      <c r="F43" s="638">
        <v>43390.350868055553</v>
      </c>
      <c r="G43" s="634">
        <v>0.35069444444444442</v>
      </c>
      <c r="H43" s="635">
        <v>10.083333333333336</v>
      </c>
      <c r="I43" s="635">
        <v>8</v>
      </c>
      <c r="J43" s="635" t="s">
        <v>115</v>
      </c>
      <c r="K43" s="635"/>
      <c r="L43" s="635"/>
      <c r="M43" s="635"/>
      <c r="N43" s="635"/>
      <c r="O43" s="516"/>
      <c r="P43" s="9"/>
      <c r="Q43" s="9"/>
      <c r="R43" s="9"/>
      <c r="S43" s="9"/>
      <c r="T43"/>
      <c r="U43"/>
    </row>
    <row r="44" spans="1:21" s="3" customFormat="1">
      <c r="A44" s="632">
        <v>13789</v>
      </c>
      <c r="B44" s="632" t="s">
        <v>113</v>
      </c>
      <c r="C44" s="632" t="s">
        <v>113</v>
      </c>
      <c r="D44" s="632" t="s">
        <v>126</v>
      </c>
      <c r="E44" s="633">
        <v>43390.771273148152</v>
      </c>
      <c r="F44" s="638">
        <v>43390.771273148152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16"/>
      <c r="P44" s="9"/>
      <c r="Q44" s="9"/>
      <c r="R44" s="9"/>
      <c r="S44" s="9"/>
      <c r="T44"/>
      <c r="U44"/>
    </row>
    <row r="45" spans="1:21" s="3" customFormat="1">
      <c r="A45" s="632">
        <v>13790</v>
      </c>
      <c r="B45" s="632" t="s">
        <v>113</v>
      </c>
      <c r="C45" s="632" t="s">
        <v>113</v>
      </c>
      <c r="D45" s="632" t="s">
        <v>127</v>
      </c>
      <c r="E45" s="633">
        <v>43390.771319444444</v>
      </c>
      <c r="F45" s="638">
        <v>43390.771319444444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1.1166666666666654</v>
      </c>
      <c r="L45" s="635"/>
      <c r="M45" s="635">
        <v>1.1166666666666654</v>
      </c>
      <c r="N45" s="635">
        <v>0</v>
      </c>
      <c r="O45" s="516"/>
      <c r="P45" s="9"/>
      <c r="Q45" s="9"/>
      <c r="R45" s="9"/>
      <c r="S45" s="9"/>
      <c r="T45"/>
      <c r="U45"/>
    </row>
    <row r="46" spans="1:21" s="3" customFormat="1">
      <c r="A46" s="632">
        <v>13803</v>
      </c>
      <c r="B46" s="632" t="s">
        <v>113</v>
      </c>
      <c r="C46" s="632" t="s">
        <v>113</v>
      </c>
      <c r="D46" s="632" t="s">
        <v>128</v>
      </c>
      <c r="E46" s="633">
        <v>43390.817372685182</v>
      </c>
      <c r="F46" s="638">
        <v>43390.817372685182</v>
      </c>
      <c r="G46" s="634">
        <v>0.81736111111111109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16"/>
      <c r="P46" s="9"/>
      <c r="Q46" s="9"/>
      <c r="R46" s="9"/>
      <c r="S46" s="9"/>
      <c r="T46"/>
      <c r="U46"/>
    </row>
    <row r="47" spans="1:21" s="165" customFormat="1">
      <c r="A47" s="632">
        <v>13807</v>
      </c>
      <c r="B47" s="632" t="s">
        <v>113</v>
      </c>
      <c r="C47" s="632" t="s">
        <v>113</v>
      </c>
      <c r="D47" s="632" t="s">
        <v>125</v>
      </c>
      <c r="E47" s="633">
        <v>43391.350914351853</v>
      </c>
      <c r="F47" s="638">
        <v>43391.350914351853</v>
      </c>
      <c r="G47" s="634">
        <v>0.35069444444444442</v>
      </c>
      <c r="H47" s="635">
        <v>9.6833333333333336</v>
      </c>
      <c r="I47" s="635">
        <v>8</v>
      </c>
      <c r="J47" s="635" t="s">
        <v>115</v>
      </c>
      <c r="K47" s="635"/>
      <c r="L47" s="635"/>
      <c r="M47" s="635"/>
      <c r="N47" s="635"/>
      <c r="O47" s="526"/>
      <c r="P47" s="8"/>
      <c r="Q47" s="8"/>
      <c r="R47" s="8"/>
      <c r="S47" s="8"/>
      <c r="T47" s="2"/>
      <c r="U47" s="2"/>
    </row>
    <row r="48" spans="1:21" s="2" customFormat="1">
      <c r="A48" s="632">
        <v>13816</v>
      </c>
      <c r="B48" s="632" t="s">
        <v>113</v>
      </c>
      <c r="C48" s="632" t="s">
        <v>113</v>
      </c>
      <c r="D48" s="632" t="s">
        <v>126</v>
      </c>
      <c r="E48" s="633">
        <v>43391.754571759258</v>
      </c>
      <c r="F48" s="638">
        <v>43391.754571759258</v>
      </c>
      <c r="G48" s="634">
        <v>0.75416666666666676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26"/>
      <c r="P48" s="8"/>
      <c r="Q48" s="8"/>
      <c r="R48" s="8"/>
      <c r="S48" s="8"/>
    </row>
    <row r="49" spans="1:19" s="2" customFormat="1">
      <c r="A49" s="632">
        <v>13827</v>
      </c>
      <c r="B49" s="632" t="s">
        <v>113</v>
      </c>
      <c r="C49" s="632" t="s">
        <v>113</v>
      </c>
      <c r="D49" s="632" t="s">
        <v>125</v>
      </c>
      <c r="E49" s="633">
        <v>43392.354710648149</v>
      </c>
      <c r="F49" s="638">
        <v>43392.354710648149</v>
      </c>
      <c r="G49" s="634">
        <v>0.35416666666666669</v>
      </c>
      <c r="H49" s="635">
        <v>9.6166666666666654</v>
      </c>
      <c r="I49" s="635">
        <v>8</v>
      </c>
      <c r="J49" s="635" t="s">
        <v>115</v>
      </c>
      <c r="K49" s="635"/>
      <c r="L49" s="635"/>
      <c r="M49" s="635"/>
      <c r="N49" s="635"/>
      <c r="O49" s="526"/>
      <c r="P49" s="8"/>
      <c r="Q49" s="8"/>
      <c r="R49" s="8"/>
      <c r="S49" s="8"/>
    </row>
    <row r="50" spans="1:19" s="2" customFormat="1">
      <c r="A50" s="632">
        <v>13837</v>
      </c>
      <c r="B50" s="632" t="s">
        <v>113</v>
      </c>
      <c r="C50" s="632" t="s">
        <v>113</v>
      </c>
      <c r="D50" s="632" t="s">
        <v>126</v>
      </c>
      <c r="E50" s="633">
        <v>43392.755162037036</v>
      </c>
      <c r="F50" s="638">
        <v>43392.755162037036</v>
      </c>
      <c r="G50" s="634">
        <v>0.75486111111111109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26"/>
      <c r="P50" s="8"/>
      <c r="Q50" s="8"/>
      <c r="R50" s="8"/>
      <c r="S50" s="8"/>
    </row>
    <row r="51" spans="1:19">
      <c r="A51" s="632">
        <v>13846</v>
      </c>
      <c r="B51" s="632" t="s">
        <v>113</v>
      </c>
      <c r="C51" s="632" t="s">
        <v>113</v>
      </c>
      <c r="D51" s="632" t="s">
        <v>125</v>
      </c>
      <c r="E51" s="633">
        <v>43395.351307870369</v>
      </c>
      <c r="F51" s="638">
        <v>43395.351307870369</v>
      </c>
      <c r="G51" s="634">
        <v>0.35069444444444442</v>
      </c>
      <c r="H51" s="635">
        <v>10.083333333333336</v>
      </c>
      <c r="I51" s="635">
        <v>8</v>
      </c>
      <c r="J51" s="635" t="s">
        <v>115</v>
      </c>
      <c r="K51" s="635"/>
      <c r="L51" s="635"/>
      <c r="M51" s="635"/>
      <c r="N51" s="635"/>
      <c r="O51" s="520"/>
    </row>
    <row r="52" spans="1:19">
      <c r="A52" s="632">
        <v>13859</v>
      </c>
      <c r="B52" s="632" t="s">
        <v>113</v>
      </c>
      <c r="C52" s="632" t="s">
        <v>113</v>
      </c>
      <c r="D52" s="632" t="s">
        <v>126</v>
      </c>
      <c r="E52" s="633">
        <v>43395.771469907406</v>
      </c>
      <c r="F52" s="638">
        <v>43395.771469907406</v>
      </c>
      <c r="G52" s="634">
        <v>0.77083333333333337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20"/>
    </row>
    <row r="53" spans="1:19">
      <c r="A53" s="632">
        <v>13860</v>
      </c>
      <c r="B53" s="632" t="s">
        <v>113</v>
      </c>
      <c r="C53" s="632" t="s">
        <v>113</v>
      </c>
      <c r="D53" s="632" t="s">
        <v>127</v>
      </c>
      <c r="E53" s="633">
        <v>43395.771516203706</v>
      </c>
      <c r="F53" s="638">
        <v>43395.771516203706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0.58333333333333126</v>
      </c>
      <c r="L53" s="635"/>
      <c r="M53" s="635">
        <v>0.58333333333333126</v>
      </c>
      <c r="N53" s="635">
        <v>0</v>
      </c>
      <c r="O53" s="520"/>
    </row>
    <row r="54" spans="1:19">
      <c r="A54" s="632">
        <v>13869</v>
      </c>
      <c r="B54" s="632" t="s">
        <v>113</v>
      </c>
      <c r="C54" s="632" t="s">
        <v>113</v>
      </c>
      <c r="D54" s="632" t="s">
        <v>128</v>
      </c>
      <c r="E54" s="633">
        <v>43395.795347222222</v>
      </c>
      <c r="F54" s="638">
        <v>43395.795347222222</v>
      </c>
      <c r="G54" s="634">
        <v>0.79513888888888884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20"/>
    </row>
    <row r="55" spans="1:19">
      <c r="A55" s="632">
        <v>13877</v>
      </c>
      <c r="B55" s="632" t="s">
        <v>113</v>
      </c>
      <c r="C55" s="632" t="s">
        <v>113</v>
      </c>
      <c r="D55" s="632" t="s">
        <v>125</v>
      </c>
      <c r="E55" s="633">
        <v>43396.349317129629</v>
      </c>
      <c r="F55" s="638">
        <v>43396.349317129629</v>
      </c>
      <c r="G55" s="634">
        <v>0.34930555555555554</v>
      </c>
      <c r="H55" s="635">
        <v>9.6666666666666679</v>
      </c>
      <c r="I55" s="635">
        <v>8</v>
      </c>
      <c r="J55" s="635" t="s">
        <v>115</v>
      </c>
      <c r="K55" s="635"/>
      <c r="L55" s="635"/>
      <c r="M55" s="635"/>
      <c r="N55" s="635"/>
      <c r="O55" s="520"/>
    </row>
    <row r="56" spans="1:19">
      <c r="A56" s="632">
        <v>13891</v>
      </c>
      <c r="B56" s="632" t="s">
        <v>113</v>
      </c>
      <c r="C56" s="632" t="s">
        <v>113</v>
      </c>
      <c r="D56" s="632" t="s">
        <v>126</v>
      </c>
      <c r="E56" s="633">
        <v>43396.752615740741</v>
      </c>
      <c r="F56" s="638">
        <v>43396.752615740741</v>
      </c>
      <c r="G56" s="634">
        <v>0.75208333333333333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20"/>
    </row>
    <row r="57" spans="1:19">
      <c r="A57" s="632">
        <v>13895</v>
      </c>
      <c r="B57" s="632" t="s">
        <v>113</v>
      </c>
      <c r="C57" s="632" t="s">
        <v>113</v>
      </c>
      <c r="D57" s="632" t="s">
        <v>127</v>
      </c>
      <c r="E57" s="633">
        <v>43396.770995370367</v>
      </c>
      <c r="F57" s="638">
        <v>43396.770995370367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1.0166666666666657</v>
      </c>
      <c r="L57" s="635"/>
      <c r="M57" s="635">
        <v>1.0166666666666657</v>
      </c>
      <c r="N57" s="635">
        <v>0</v>
      </c>
      <c r="O57" s="520"/>
    </row>
    <row r="58" spans="1:19">
      <c r="A58" s="632">
        <v>13906</v>
      </c>
      <c r="B58" s="632" t="s">
        <v>113</v>
      </c>
      <c r="C58" s="632" t="s">
        <v>113</v>
      </c>
      <c r="D58" s="632" t="s">
        <v>128</v>
      </c>
      <c r="E58" s="633">
        <v>43396.813726851855</v>
      </c>
      <c r="F58" s="638">
        <v>43396.813726851855</v>
      </c>
      <c r="G58" s="634">
        <v>0.81319444444444444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20"/>
    </row>
    <row r="59" spans="1:19">
      <c r="A59" s="632">
        <v>13913</v>
      </c>
      <c r="B59" s="632" t="s">
        <v>113</v>
      </c>
      <c r="C59" s="632" t="s">
        <v>113</v>
      </c>
      <c r="D59" s="632" t="s">
        <v>125</v>
      </c>
      <c r="E59" s="633">
        <v>43397.35324074074</v>
      </c>
      <c r="F59" s="638">
        <v>43397.35324074074</v>
      </c>
      <c r="G59" s="634">
        <v>0.3527777777777778</v>
      </c>
      <c r="H59" s="635">
        <v>9.6166666666666654</v>
      </c>
      <c r="I59" s="635">
        <v>8</v>
      </c>
      <c r="J59" s="635" t="s">
        <v>115</v>
      </c>
      <c r="K59" s="635"/>
      <c r="L59" s="635"/>
      <c r="M59" s="635"/>
      <c r="N59" s="635"/>
      <c r="O59" s="520"/>
    </row>
    <row r="60" spans="1:19">
      <c r="A60" s="632">
        <v>13919</v>
      </c>
      <c r="B60" s="632" t="s">
        <v>113</v>
      </c>
      <c r="C60" s="632" t="s">
        <v>113</v>
      </c>
      <c r="D60" s="632" t="s">
        <v>126</v>
      </c>
      <c r="E60" s="633">
        <v>43397.753819444442</v>
      </c>
      <c r="F60" s="638">
        <v>43397.753819444442</v>
      </c>
      <c r="G60" s="634">
        <v>0.75347222222222221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20"/>
    </row>
    <row r="61" spans="1:19">
      <c r="A61" s="632">
        <v>13935</v>
      </c>
      <c r="B61" s="632" t="s">
        <v>113</v>
      </c>
      <c r="C61" s="632" t="s">
        <v>113</v>
      </c>
      <c r="D61" s="632" t="s">
        <v>125</v>
      </c>
      <c r="E61" s="633">
        <v>43398.353391203702</v>
      </c>
      <c r="F61" s="638">
        <v>43398.353391203702</v>
      </c>
      <c r="G61" s="634">
        <v>0.3527777777777778</v>
      </c>
      <c r="H61" s="635">
        <v>9.5833333333333321</v>
      </c>
      <c r="I61" s="635">
        <v>8</v>
      </c>
      <c r="J61" s="635" t="s">
        <v>115</v>
      </c>
      <c r="K61" s="635"/>
      <c r="L61" s="635"/>
      <c r="M61" s="635"/>
      <c r="N61" s="635"/>
      <c r="O61" s="520"/>
    </row>
    <row r="62" spans="1:19">
      <c r="A62" s="632">
        <v>13943</v>
      </c>
      <c r="B62" s="632" t="s">
        <v>113</v>
      </c>
      <c r="C62" s="632" t="s">
        <v>113</v>
      </c>
      <c r="D62" s="632" t="s">
        <v>126</v>
      </c>
      <c r="E62" s="633">
        <v>43398.752754629626</v>
      </c>
      <c r="F62" s="638">
        <v>43398.752754629626</v>
      </c>
      <c r="G62" s="634">
        <v>0.75208333333333333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20"/>
    </row>
    <row r="63" spans="1:19">
      <c r="A63" s="632">
        <v>13960</v>
      </c>
      <c r="B63" s="632" t="s">
        <v>113</v>
      </c>
      <c r="C63" s="632" t="s">
        <v>113</v>
      </c>
      <c r="D63" s="632" t="s">
        <v>125</v>
      </c>
      <c r="E63" s="633">
        <v>43399.355613425927</v>
      </c>
      <c r="F63" s="638">
        <v>43399.355613425927</v>
      </c>
      <c r="G63" s="634">
        <v>0.35555555555555557</v>
      </c>
      <c r="H63" s="635">
        <v>10.066666666666666</v>
      </c>
      <c r="I63" s="635">
        <v>8</v>
      </c>
      <c r="J63" s="635" t="s">
        <v>115</v>
      </c>
      <c r="K63" s="635"/>
      <c r="L63" s="635"/>
      <c r="M63" s="635"/>
      <c r="N63" s="635"/>
      <c r="O63" s="520"/>
    </row>
    <row r="64" spans="1:19">
      <c r="A64" s="632">
        <v>13971</v>
      </c>
      <c r="B64" s="632" t="s">
        <v>149</v>
      </c>
      <c r="C64" s="632" t="s">
        <v>113</v>
      </c>
      <c r="D64" s="632" t="s">
        <v>126</v>
      </c>
      <c r="E64" s="633">
        <v>43399.775358796294</v>
      </c>
      <c r="F64" s="638">
        <v>43399.775358796294</v>
      </c>
      <c r="G64" s="634">
        <v>0.77500000000000002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20"/>
    </row>
    <row r="65" spans="1:15">
      <c r="A65" s="632">
        <v>13978</v>
      </c>
      <c r="B65" s="632" t="s">
        <v>113</v>
      </c>
      <c r="C65" s="632" t="s">
        <v>113</v>
      </c>
      <c r="D65" s="632" t="s">
        <v>125</v>
      </c>
      <c r="E65" s="633">
        <v>43402.353402777779</v>
      </c>
      <c r="F65" s="638">
        <v>43402.353402777779</v>
      </c>
      <c r="G65" s="634">
        <v>0.3527777777777778</v>
      </c>
      <c r="H65" s="635">
        <v>9.7833333333333314</v>
      </c>
      <c r="I65" s="635">
        <v>8</v>
      </c>
      <c r="J65" s="635" t="s">
        <v>115</v>
      </c>
      <c r="K65" s="635"/>
      <c r="L65" s="635"/>
      <c r="M65" s="635"/>
      <c r="N65" s="635"/>
      <c r="O65" s="520"/>
    </row>
    <row r="66" spans="1:15">
      <c r="A66" s="632">
        <v>13991</v>
      </c>
      <c r="B66" s="632" t="s">
        <v>113</v>
      </c>
      <c r="C66" s="632" t="s">
        <v>113</v>
      </c>
      <c r="D66" s="632" t="s">
        <v>126</v>
      </c>
      <c r="E66" s="633">
        <v>43402.760451388887</v>
      </c>
      <c r="F66" s="638">
        <v>43402.760451388887</v>
      </c>
      <c r="G66" s="634">
        <v>0.76041666666666663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20"/>
    </row>
    <row r="67" spans="1:15">
      <c r="A67" s="632">
        <v>13992</v>
      </c>
      <c r="B67" s="632" t="s">
        <v>113</v>
      </c>
      <c r="C67" s="632" t="s">
        <v>113</v>
      </c>
      <c r="D67" s="632" t="s">
        <v>127</v>
      </c>
      <c r="E67" s="633">
        <v>43402.768946759257</v>
      </c>
      <c r="F67" s="638">
        <v>43402.768946759257</v>
      </c>
      <c r="G67" s="634">
        <v>0.76874999999999993</v>
      </c>
      <c r="H67" s="635" t="s">
        <v>115</v>
      </c>
      <c r="I67" s="635" t="s">
        <v>115</v>
      </c>
      <c r="J67" s="635" t="s">
        <v>115</v>
      </c>
      <c r="K67" s="635">
        <v>0.73333333333333339</v>
      </c>
      <c r="L67" s="635"/>
      <c r="M67" s="635">
        <v>0.73333333333333339</v>
      </c>
      <c r="N67" s="635">
        <v>0</v>
      </c>
      <c r="O67" s="520"/>
    </row>
    <row r="68" spans="1:15">
      <c r="A68" s="632">
        <v>14003</v>
      </c>
      <c r="B68" s="632" t="s">
        <v>113</v>
      </c>
      <c r="C68" s="632" t="s">
        <v>113</v>
      </c>
      <c r="D68" s="632" t="s">
        <v>128</v>
      </c>
      <c r="E68" s="633">
        <v>43402.799490740741</v>
      </c>
      <c r="F68" s="638">
        <v>43402.799490740741</v>
      </c>
      <c r="G68" s="634">
        <v>0.7993055555555556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20"/>
    </row>
    <row r="69" spans="1:15">
      <c r="A69" s="632">
        <v>14008</v>
      </c>
      <c r="B69" s="632" t="s">
        <v>113</v>
      </c>
      <c r="C69" s="632" t="s">
        <v>113</v>
      </c>
      <c r="D69" s="632" t="s">
        <v>125</v>
      </c>
      <c r="E69" s="633">
        <v>43403.354513888888</v>
      </c>
      <c r="F69" s="638">
        <v>43403.354513888888</v>
      </c>
      <c r="G69" s="634">
        <v>0.35416666666666669</v>
      </c>
      <c r="H69" s="635">
        <v>9.716666666666665</v>
      </c>
      <c r="I69" s="635">
        <v>8</v>
      </c>
      <c r="J69" s="635" t="s">
        <v>115</v>
      </c>
      <c r="K69" s="635"/>
      <c r="L69" s="635"/>
      <c r="M69" s="635"/>
      <c r="N69" s="635"/>
      <c r="O69" s="520"/>
    </row>
    <row r="70" spans="1:15">
      <c r="A70" s="632">
        <v>14019</v>
      </c>
      <c r="B70" s="632" t="s">
        <v>113</v>
      </c>
      <c r="C70" s="632" t="s">
        <v>113</v>
      </c>
      <c r="D70" s="632" t="s">
        <v>126</v>
      </c>
      <c r="E70" s="633">
        <v>43403.759317129632</v>
      </c>
      <c r="F70" s="638">
        <v>43403.759317129632</v>
      </c>
      <c r="G70" s="634">
        <v>0.75902777777777775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20"/>
    </row>
    <row r="71" spans="1:15">
      <c r="A71" s="632">
        <v>14033</v>
      </c>
      <c r="B71" s="632" t="s">
        <v>113</v>
      </c>
      <c r="C71" s="632" t="s">
        <v>113</v>
      </c>
      <c r="D71" s="632" t="s">
        <v>125</v>
      </c>
      <c r="E71" s="633">
        <v>43404.351643518516</v>
      </c>
      <c r="F71" s="638">
        <v>43404.351643518516</v>
      </c>
      <c r="G71" s="634">
        <v>0.35138888888888892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20"/>
    </row>
    <row r="72" spans="1:15">
      <c r="A72" s="632">
        <v>14040</v>
      </c>
      <c r="B72" s="632" t="s">
        <v>113</v>
      </c>
      <c r="C72" s="632" t="s">
        <v>113</v>
      </c>
      <c r="D72" s="632" t="s">
        <v>126</v>
      </c>
      <c r="E72" s="633">
        <v>43404.750960648147</v>
      </c>
      <c r="F72" s="638">
        <v>43404.750960648147</v>
      </c>
      <c r="G72" s="634">
        <v>0.75069444444444444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20"/>
    </row>
    <row r="74" spans="1:15">
      <c r="D74" s="9" t="s">
        <v>36</v>
      </c>
      <c r="O74" s="454"/>
    </row>
    <row r="75" spans="1:15">
      <c r="D75" s="9" t="s">
        <v>35</v>
      </c>
      <c r="O75" s="454"/>
    </row>
    <row r="76" spans="1:15">
      <c r="D76" s="172" t="s">
        <v>63</v>
      </c>
      <c r="O76" s="454"/>
    </row>
    <row r="77" spans="1:15">
      <c r="D77" s="458" t="s">
        <v>66</v>
      </c>
      <c r="O77" s="454"/>
    </row>
    <row r="78" spans="1:15">
      <c r="D78" s="458" t="s">
        <v>64</v>
      </c>
      <c r="E78" s="336"/>
      <c r="F78" s="373"/>
      <c r="G78" s="376"/>
      <c r="H78" s="377"/>
      <c r="I78" s="378"/>
      <c r="J78" s="378"/>
      <c r="K78" s="379"/>
      <c r="L78" s="379"/>
      <c r="M78" s="379"/>
      <c r="N78" s="379"/>
      <c r="O78" s="454"/>
    </row>
    <row r="79" spans="1:15">
      <c r="D79" s="458" t="s">
        <v>68</v>
      </c>
      <c r="E79" s="336"/>
      <c r="F79" s="373"/>
      <c r="G79" s="376"/>
      <c r="H79" s="377"/>
      <c r="I79" s="378"/>
      <c r="J79" s="378"/>
      <c r="K79" s="379"/>
      <c r="L79" s="379"/>
      <c r="M79" s="379"/>
      <c r="N79" s="379"/>
      <c r="O79" s="454"/>
    </row>
    <row r="80" spans="1:15">
      <c r="D80" s="458" t="s">
        <v>69</v>
      </c>
      <c r="E80" s="336"/>
      <c r="F80" s="373"/>
      <c r="G80" s="376"/>
      <c r="H80" s="377"/>
      <c r="I80" s="378"/>
      <c r="J80" s="378"/>
      <c r="K80" s="379"/>
      <c r="L80" s="379"/>
      <c r="M80" s="379"/>
      <c r="N80" s="379"/>
      <c r="O80" s="454"/>
    </row>
    <row r="81" spans="4:14">
      <c r="D81" s="458" t="s">
        <v>116</v>
      </c>
      <c r="E81" s="336"/>
      <c r="F81" s="373"/>
      <c r="G81" s="376"/>
      <c r="H81" s="377"/>
      <c r="I81" s="378"/>
      <c r="J81" s="378"/>
      <c r="K81" s="379"/>
      <c r="L81" s="379"/>
      <c r="M81" s="379"/>
      <c r="N81" s="379"/>
    </row>
    <row r="82" spans="4:14">
      <c r="D82" s="458" t="s">
        <v>67</v>
      </c>
      <c r="E82" s="336"/>
      <c r="F82" s="373"/>
      <c r="G82" s="376"/>
      <c r="H82" s="377"/>
      <c r="I82" s="378"/>
      <c r="J82" s="378"/>
      <c r="K82" s="379"/>
      <c r="L82" s="379"/>
      <c r="M82" s="379"/>
      <c r="N82" s="379"/>
    </row>
  </sheetData>
  <phoneticPr fontId="18" type="noConversion"/>
  <conditionalFormatting sqref="I7:I28 I31:I72">
    <cfRule type="cellIs" dxfId="36" priority="3" operator="lessThan">
      <formula>4</formula>
    </cfRule>
  </conditionalFormatting>
  <conditionalFormatting sqref="I29:I30">
    <cfRule type="cellIs" dxfId="35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75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theme="4"/>
  </sheetPr>
  <dimension ref="A1:Z62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3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4" style="62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style="458" customWidth="1"/>
    <col min="21" max="21" width="10.25" style="458" customWidth="1"/>
    <col min="22" max="23" width="8.875" style="458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str">
        <f>B17</f>
        <v>justin</v>
      </c>
      <c r="J1" s="258" t="s">
        <v>29</v>
      </c>
      <c r="K1" s="259"/>
      <c r="L1" s="259"/>
      <c r="M1" s="259"/>
      <c r="N1" s="259"/>
      <c r="O1" s="628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f>80-24-14-17-13.5</f>
        <v>11.5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628" t="s">
        <v>158</v>
      </c>
    </row>
    <row r="3" spans="1:26" ht="17.25" thickBot="1">
      <c r="D3" s="272" t="s">
        <v>76</v>
      </c>
      <c r="E3" s="645">
        <v>0</v>
      </c>
      <c r="F3" s="274"/>
      <c r="G3" s="275"/>
      <c r="H3" s="275"/>
      <c r="I3" s="276"/>
      <c r="J3" s="277">
        <v>0</v>
      </c>
      <c r="K3" s="278">
        <f>SUM(K7:K200)</f>
        <v>0</v>
      </c>
      <c r="L3" s="278">
        <v>0</v>
      </c>
      <c r="M3" s="278">
        <v>1</v>
      </c>
      <c r="N3" s="278">
        <v>0</v>
      </c>
    </row>
    <row r="4" spans="1:26">
      <c r="D4" s="280" t="s">
        <v>45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21</v>
      </c>
      <c r="M4" s="283" t="s">
        <v>21</v>
      </c>
      <c r="N4" s="283" t="s">
        <v>21</v>
      </c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184</v>
      </c>
    </row>
    <row r="5" spans="1:26">
      <c r="D5" s="285">
        <v>0</v>
      </c>
      <c r="E5" s="286">
        <v>0</v>
      </c>
      <c r="F5" s="460">
        <v>13.5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Q5" s="9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162.5</v>
      </c>
      <c r="J6" s="295">
        <f t="shared" ref="J6:N6" si="0">SUM(J7:J200)</f>
        <v>21.5</v>
      </c>
      <c r="K6" s="295">
        <f t="shared" si="0"/>
        <v>0</v>
      </c>
      <c r="L6" s="295">
        <f t="shared" si="0"/>
        <v>0</v>
      </c>
      <c r="M6" s="295">
        <f t="shared" si="0"/>
        <v>0</v>
      </c>
      <c r="N6" s="295">
        <f t="shared" si="0"/>
        <v>0</v>
      </c>
      <c r="Q6" s="381"/>
      <c r="R6" s="8"/>
      <c r="S6" s="8"/>
      <c r="U6" s="381"/>
      <c r="V6" s="381"/>
      <c r="W6" s="8"/>
      <c r="X6" s="500"/>
    </row>
    <row r="7" spans="1:26" s="16" customFormat="1">
      <c r="A7" s="632">
        <v>13465</v>
      </c>
      <c r="B7" s="632" t="s">
        <v>10</v>
      </c>
      <c r="C7" s="632" t="s">
        <v>10</v>
      </c>
      <c r="D7" s="632" t="s">
        <v>125</v>
      </c>
      <c r="E7" s="633">
        <v>43374.371249999997</v>
      </c>
      <c r="F7" s="638">
        <v>43374.371249999997</v>
      </c>
      <c r="G7" s="634">
        <v>0.37083333333333335</v>
      </c>
      <c r="H7" s="635">
        <v>10.766666666666666</v>
      </c>
      <c r="I7" s="635">
        <v>8</v>
      </c>
      <c r="J7" s="635" t="s">
        <v>115</v>
      </c>
      <c r="K7" s="635"/>
      <c r="L7" s="635"/>
      <c r="M7" s="635"/>
      <c r="N7" s="635"/>
      <c r="O7" s="628"/>
      <c r="P7" s="137"/>
      <c r="Q7" s="382"/>
      <c r="R7" s="137"/>
      <c r="U7" s="406"/>
      <c r="V7" s="406"/>
    </row>
    <row r="8" spans="1:26" s="303" customFormat="1">
      <c r="A8" s="632">
        <v>13486</v>
      </c>
      <c r="B8" s="632" t="s">
        <v>10</v>
      </c>
      <c r="C8" s="632" t="s">
        <v>10</v>
      </c>
      <c r="D8" s="632" t="s">
        <v>126</v>
      </c>
      <c r="E8" s="633">
        <v>43374.819687499999</v>
      </c>
      <c r="F8" s="638">
        <v>43374.819687499999</v>
      </c>
      <c r="G8" s="634">
        <v>0.81944444444444453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137"/>
      <c r="Q8" s="382"/>
      <c r="R8" s="137"/>
      <c r="S8" s="16"/>
      <c r="T8" s="16"/>
      <c r="U8" s="406"/>
      <c r="V8" s="406"/>
      <c r="W8" s="16"/>
      <c r="X8" s="16"/>
      <c r="Y8" s="16"/>
      <c r="Z8" s="16"/>
    </row>
    <row r="9" spans="1:26" s="16" customFormat="1">
      <c r="A9" s="632">
        <v>13503</v>
      </c>
      <c r="B9" s="632" t="s">
        <v>77</v>
      </c>
      <c r="C9" s="632" t="s">
        <v>10</v>
      </c>
      <c r="D9" s="632" t="s">
        <v>125</v>
      </c>
      <c r="E9" s="633">
        <v>43375.372847222221</v>
      </c>
      <c r="F9" s="638">
        <v>43375.372847222221</v>
      </c>
      <c r="G9" s="634">
        <v>0.37222222222222223</v>
      </c>
      <c r="H9" s="635">
        <v>10.416666666666668</v>
      </c>
      <c r="I9" s="635">
        <v>8</v>
      </c>
      <c r="J9" s="635" t="s">
        <v>115</v>
      </c>
      <c r="K9" s="635"/>
      <c r="L9" s="635"/>
      <c r="M9" s="635"/>
      <c r="N9" s="635"/>
      <c r="O9" s="628"/>
      <c r="P9" s="137"/>
      <c r="Q9" s="382"/>
      <c r="R9" s="137"/>
      <c r="S9" s="63"/>
      <c r="U9" s="406"/>
      <c r="V9" s="406"/>
      <c r="X9" s="63"/>
    </row>
    <row r="10" spans="1:26" s="16" customFormat="1">
      <c r="A10" s="632">
        <v>13518</v>
      </c>
      <c r="B10" s="632" t="s">
        <v>10</v>
      </c>
      <c r="C10" s="632" t="s">
        <v>10</v>
      </c>
      <c r="D10" s="632" t="s">
        <v>126</v>
      </c>
      <c r="E10" s="633">
        <v>43375.806481481479</v>
      </c>
      <c r="F10" s="638">
        <v>43375.806481481479</v>
      </c>
      <c r="G10" s="634">
        <v>0.80625000000000002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137"/>
      <c r="Q10" s="382"/>
      <c r="R10" s="137"/>
      <c r="S10" s="63"/>
      <c r="U10" s="406"/>
      <c r="V10" s="406"/>
      <c r="X10" s="63"/>
    </row>
    <row r="11" spans="1:26" s="63" customFormat="1">
      <c r="A11" s="632">
        <v>13530</v>
      </c>
      <c r="B11" s="632" t="s">
        <v>10</v>
      </c>
      <c r="C11" s="632" t="s">
        <v>10</v>
      </c>
      <c r="D11" s="632" t="s">
        <v>125</v>
      </c>
      <c r="E11" s="633">
        <v>43376.373715277776</v>
      </c>
      <c r="F11" s="638">
        <v>43376.373715277776</v>
      </c>
      <c r="G11" s="634">
        <v>0.37361111111111112</v>
      </c>
      <c r="H11" s="635">
        <v>10.3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137"/>
      <c r="Q11" s="382"/>
      <c r="R11" s="137"/>
      <c r="S11" s="16"/>
      <c r="T11" s="16"/>
      <c r="U11" s="406"/>
      <c r="V11" s="406"/>
      <c r="W11" s="16"/>
      <c r="X11" s="16"/>
      <c r="Y11" s="16"/>
    </row>
    <row r="12" spans="1:26" s="63" customFormat="1">
      <c r="A12" s="632">
        <v>13550</v>
      </c>
      <c r="B12" s="632" t="s">
        <v>10</v>
      </c>
      <c r="C12" s="632" t="s">
        <v>10</v>
      </c>
      <c r="D12" s="632" t="s">
        <v>126</v>
      </c>
      <c r="E12" s="633">
        <v>43376.803240740737</v>
      </c>
      <c r="F12" s="638">
        <v>43376.803240740737</v>
      </c>
      <c r="G12" s="634">
        <v>0.8027777777777777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137"/>
      <c r="Q12" s="382"/>
      <c r="R12" s="137"/>
      <c r="S12" s="16"/>
      <c r="T12" s="16"/>
      <c r="U12" s="406"/>
      <c r="V12" s="406"/>
      <c r="W12" s="16"/>
      <c r="X12" s="16"/>
      <c r="Y12" s="16"/>
    </row>
    <row r="13" spans="1:26" s="303" customFormat="1">
      <c r="A13" s="632">
        <v>13559</v>
      </c>
      <c r="B13" s="632" t="s">
        <v>10</v>
      </c>
      <c r="C13" s="632" t="s">
        <v>10</v>
      </c>
      <c r="D13" s="632" t="s">
        <v>125</v>
      </c>
      <c r="E13" s="633">
        <v>43377.37127314815</v>
      </c>
      <c r="F13" s="638">
        <v>43377.37127314815</v>
      </c>
      <c r="G13" s="634">
        <v>0.37083333333333335</v>
      </c>
      <c r="H13" s="635">
        <v>10.516666666666666</v>
      </c>
      <c r="I13" s="635">
        <v>8</v>
      </c>
      <c r="J13" s="635" t="s">
        <v>115</v>
      </c>
      <c r="K13" s="635"/>
      <c r="L13" s="635"/>
      <c r="M13" s="635"/>
      <c r="N13" s="635"/>
      <c r="O13" s="628"/>
      <c r="P13" s="137"/>
      <c r="Q13" s="382"/>
      <c r="R13" s="137"/>
      <c r="S13" s="16"/>
      <c r="T13" s="16"/>
      <c r="U13" s="406"/>
      <c r="V13" s="406"/>
      <c r="W13" s="16"/>
      <c r="X13" s="16"/>
      <c r="Y13" s="16"/>
      <c r="Z13" s="16"/>
    </row>
    <row r="14" spans="1:26" s="305" customFormat="1">
      <c r="A14" s="632">
        <v>13580</v>
      </c>
      <c r="B14" s="632" t="s">
        <v>10</v>
      </c>
      <c r="C14" s="632" t="s">
        <v>10</v>
      </c>
      <c r="D14" s="632" t="s">
        <v>126</v>
      </c>
      <c r="E14" s="633">
        <v>43377.809155092589</v>
      </c>
      <c r="F14" s="638">
        <v>43377.809155092589</v>
      </c>
      <c r="G14" s="634">
        <v>0.80902777777777779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137"/>
      <c r="Q14" s="382"/>
      <c r="R14" s="18"/>
      <c r="S14" s="63"/>
      <c r="T14" s="63"/>
      <c r="U14" s="406"/>
      <c r="V14" s="406"/>
      <c r="W14" s="63"/>
      <c r="X14" s="63"/>
      <c r="Y14" s="63"/>
      <c r="Z14" s="63"/>
    </row>
    <row r="15" spans="1:26" s="305" customFormat="1">
      <c r="A15" s="632">
        <v>13585</v>
      </c>
      <c r="B15" s="632" t="s">
        <v>10</v>
      </c>
      <c r="C15" s="632" t="s">
        <v>10</v>
      </c>
      <c r="D15" s="632" t="s">
        <v>125</v>
      </c>
      <c r="E15" s="633">
        <v>43378.361168981479</v>
      </c>
      <c r="F15" s="638">
        <v>43378.361168981479</v>
      </c>
      <c r="G15" s="634">
        <v>0.3611111111111111</v>
      </c>
      <c r="H15" s="635">
        <v>9.8666666666666671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50"/>
      <c r="R15" s="18"/>
      <c r="S15" s="63"/>
      <c r="T15" s="63"/>
      <c r="U15" s="552"/>
      <c r="V15" s="552"/>
      <c r="W15" s="63"/>
      <c r="X15" s="63"/>
      <c r="Y15" s="63"/>
      <c r="Z15" s="63"/>
    </row>
    <row r="16" spans="1:26" s="305" customFormat="1">
      <c r="A16" s="632">
        <v>13603</v>
      </c>
      <c r="B16" s="632" t="s">
        <v>10</v>
      </c>
      <c r="C16" s="632" t="s">
        <v>10</v>
      </c>
      <c r="D16" s="632" t="s">
        <v>126</v>
      </c>
      <c r="E16" s="633">
        <v>43378.772361111114</v>
      </c>
      <c r="F16" s="638">
        <v>43378.772361111114</v>
      </c>
      <c r="G16" s="634">
        <v>0.77222222222222225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50"/>
      <c r="R16" s="18"/>
      <c r="S16" s="63"/>
      <c r="T16" s="63"/>
      <c r="U16" s="552"/>
      <c r="V16" s="552"/>
      <c r="W16" s="63"/>
      <c r="X16" s="63"/>
      <c r="Y16" s="63"/>
      <c r="Z16" s="63"/>
    </row>
    <row r="17" spans="1:26">
      <c r="A17" s="632">
        <v>13616</v>
      </c>
      <c r="B17" s="632" t="s">
        <v>10</v>
      </c>
      <c r="C17" s="632" t="s">
        <v>10</v>
      </c>
      <c r="D17" s="632" t="s">
        <v>125</v>
      </c>
      <c r="E17" s="633">
        <v>43381.365034722221</v>
      </c>
      <c r="F17" s="638">
        <v>43381.365034722221</v>
      </c>
      <c r="G17" s="634">
        <v>0.36458333333333331</v>
      </c>
      <c r="H17" s="635">
        <v>9.7000000000000011</v>
      </c>
      <c r="I17" s="635">
        <v>8</v>
      </c>
      <c r="J17" s="635" t="s">
        <v>115</v>
      </c>
      <c r="K17" s="635"/>
      <c r="L17" s="635"/>
      <c r="M17" s="635"/>
      <c r="N17" s="635"/>
      <c r="P17" s="137"/>
      <c r="Q17" s="382"/>
      <c r="U17" s="406"/>
      <c r="V17" s="406"/>
    </row>
    <row r="18" spans="1:26" s="63" customFormat="1">
      <c r="A18" s="632">
        <v>13627</v>
      </c>
      <c r="B18" s="632" t="s">
        <v>10</v>
      </c>
      <c r="C18" s="632" t="s">
        <v>10</v>
      </c>
      <c r="D18" s="632" t="s">
        <v>126</v>
      </c>
      <c r="E18" s="633">
        <v>43381.768877314818</v>
      </c>
      <c r="F18" s="638">
        <v>43381.768877314818</v>
      </c>
      <c r="G18" s="634">
        <v>0.76874999999999993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137"/>
      <c r="Q18" s="382"/>
      <c r="R18" s="9"/>
      <c r="S18" s="9"/>
      <c r="T18" s="458"/>
      <c r="U18" s="406"/>
      <c r="V18" s="406"/>
      <c r="W18" s="458"/>
      <c r="X18" s="391"/>
    </row>
    <row r="19" spans="1:26">
      <c r="A19" s="632">
        <v>13643</v>
      </c>
      <c r="B19" s="632" t="s">
        <v>10</v>
      </c>
      <c r="C19" s="632" t="s">
        <v>10</v>
      </c>
      <c r="D19" s="632" t="s">
        <v>125</v>
      </c>
      <c r="E19" s="633">
        <v>43382.351990740739</v>
      </c>
      <c r="F19" s="638">
        <v>43382.351990740739</v>
      </c>
      <c r="G19" s="634">
        <v>0.35138888888888892</v>
      </c>
      <c r="H19" s="635">
        <v>3.6833333333333336</v>
      </c>
      <c r="I19" s="635">
        <v>3.5</v>
      </c>
      <c r="J19" s="635">
        <v>4.5</v>
      </c>
      <c r="K19" s="635"/>
      <c r="L19" s="635"/>
      <c r="M19" s="635"/>
      <c r="N19" s="635"/>
      <c r="O19" s="628" t="s">
        <v>156</v>
      </c>
      <c r="P19" s="137"/>
      <c r="Q19" s="382"/>
      <c r="R19" s="8"/>
      <c r="S19" s="63"/>
      <c r="T19" s="2"/>
      <c r="U19" s="406"/>
      <c r="V19" s="406"/>
      <c r="W19" s="63"/>
      <c r="X19" s="63"/>
    </row>
    <row r="20" spans="1:26">
      <c r="A20" s="632">
        <v>13651</v>
      </c>
      <c r="B20" s="632" t="s">
        <v>10</v>
      </c>
      <c r="C20" s="632" t="s">
        <v>10</v>
      </c>
      <c r="D20" s="632" t="s">
        <v>126</v>
      </c>
      <c r="E20" s="633">
        <v>43382.504976851851</v>
      </c>
      <c r="F20" s="638">
        <v>43382.504976851851</v>
      </c>
      <c r="G20" s="634">
        <v>0.50486111111111109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P20" s="137"/>
      <c r="Q20" s="382"/>
      <c r="U20" s="406"/>
      <c r="V20" s="406"/>
    </row>
    <row r="21" spans="1:26" s="63" customFormat="1">
      <c r="A21" s="632"/>
      <c r="B21" s="632"/>
      <c r="C21" s="632"/>
      <c r="D21" s="632" t="s">
        <v>125</v>
      </c>
      <c r="E21" s="633">
        <v>43383.354409722226</v>
      </c>
      <c r="F21" s="638">
        <v>43383.354409722226</v>
      </c>
      <c r="G21" s="634">
        <v>0.35416666666666669</v>
      </c>
      <c r="H21" s="635"/>
      <c r="I21" s="635">
        <v>0</v>
      </c>
      <c r="J21" s="635">
        <v>8</v>
      </c>
      <c r="K21" s="635"/>
      <c r="L21" s="635"/>
      <c r="M21" s="635"/>
      <c r="N21" s="635"/>
      <c r="O21" s="628" t="s">
        <v>157</v>
      </c>
      <c r="P21" s="627"/>
      <c r="Q21" s="345"/>
      <c r="R21" s="372"/>
      <c r="S21" s="372"/>
      <c r="T21" s="373"/>
      <c r="U21" s="373"/>
      <c r="V21" s="373"/>
    </row>
    <row r="22" spans="1:26" s="63" customFormat="1">
      <c r="A22" s="632"/>
      <c r="B22" s="632"/>
      <c r="C22" s="632"/>
      <c r="D22" s="632" t="s">
        <v>126</v>
      </c>
      <c r="E22" s="633">
        <v>43383.75</v>
      </c>
      <c r="F22" s="638">
        <v>43383.771435185183</v>
      </c>
      <c r="G22" s="634">
        <v>0.75</v>
      </c>
      <c r="H22" s="635"/>
      <c r="I22" s="635"/>
      <c r="J22" s="635"/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6" s="543" customFormat="1">
      <c r="A23" s="632">
        <v>13666</v>
      </c>
      <c r="B23" s="632" t="s">
        <v>10</v>
      </c>
      <c r="C23" s="632" t="s">
        <v>10</v>
      </c>
      <c r="D23" s="632" t="s">
        <v>125</v>
      </c>
      <c r="E23" s="633">
        <v>43384.369131944448</v>
      </c>
      <c r="F23" s="638">
        <v>43384.369131944448</v>
      </c>
      <c r="G23" s="634">
        <v>0.36874999999999997</v>
      </c>
      <c r="H23" s="635">
        <v>9.7833333333333332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548"/>
      <c r="Q23" s="550"/>
      <c r="R23" s="444"/>
      <c r="S23" s="444"/>
      <c r="T23" s="551"/>
      <c r="U23" s="552"/>
      <c r="V23" s="552"/>
      <c r="W23" s="551"/>
    </row>
    <row r="24" spans="1:26" s="543" customFormat="1">
      <c r="A24" s="632">
        <v>13682</v>
      </c>
      <c r="B24" s="632" t="s">
        <v>10</v>
      </c>
      <c r="C24" s="632" t="s">
        <v>10</v>
      </c>
      <c r="D24" s="632" t="s">
        <v>126</v>
      </c>
      <c r="E24" s="633">
        <v>43384.776435185187</v>
      </c>
      <c r="F24" s="638">
        <v>43384.776435185187</v>
      </c>
      <c r="G24" s="634">
        <v>0.77638888888888891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548"/>
      <c r="Q24" s="550"/>
      <c r="R24" s="444"/>
      <c r="S24" s="444"/>
      <c r="T24" s="551"/>
      <c r="U24" s="552"/>
      <c r="V24" s="552"/>
      <c r="W24" s="551"/>
    </row>
    <row r="25" spans="1:26" s="16" customFormat="1">
      <c r="A25" s="632">
        <v>13699</v>
      </c>
      <c r="B25" s="632" t="s">
        <v>10</v>
      </c>
      <c r="C25" s="632" t="s">
        <v>10</v>
      </c>
      <c r="D25" s="632" t="s">
        <v>125</v>
      </c>
      <c r="E25" s="633">
        <v>43385.371967592589</v>
      </c>
      <c r="F25" s="638">
        <v>43385.371967592589</v>
      </c>
      <c r="G25" s="634">
        <v>0.37152777777777773</v>
      </c>
      <c r="H25" s="635">
        <v>10.3</v>
      </c>
      <c r="I25" s="635">
        <v>8</v>
      </c>
      <c r="J25" s="635" t="s">
        <v>115</v>
      </c>
      <c r="K25" s="635"/>
      <c r="L25" s="635"/>
      <c r="M25" s="635"/>
      <c r="N25" s="635"/>
      <c r="O25" s="628"/>
      <c r="P25" s="137"/>
      <c r="Q25" s="382"/>
      <c r="R25" s="9"/>
      <c r="S25" s="9"/>
      <c r="T25" s="458"/>
      <c r="U25" s="406"/>
      <c r="V25" s="406"/>
      <c r="W25" s="458"/>
    </row>
    <row r="26" spans="1:26" s="398" customFormat="1">
      <c r="A26" s="632">
        <v>13716</v>
      </c>
      <c r="B26" s="632" t="s">
        <v>10</v>
      </c>
      <c r="C26" s="632" t="s">
        <v>10</v>
      </c>
      <c r="D26" s="632" t="s">
        <v>126</v>
      </c>
      <c r="E26" s="633">
        <v>43385.801145833335</v>
      </c>
      <c r="F26" s="638">
        <v>43385.801145833335</v>
      </c>
      <c r="G26" s="634">
        <v>0.80069444444444438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137"/>
      <c r="Q26" s="382"/>
      <c r="R26" s="9"/>
      <c r="S26" s="9"/>
      <c r="T26" s="458"/>
      <c r="U26" s="406"/>
      <c r="V26" s="406"/>
      <c r="W26" s="458"/>
      <c r="X26" s="16"/>
      <c r="Y26" s="16"/>
      <c r="Z26" s="16"/>
    </row>
    <row r="27" spans="1:26" s="422" customFormat="1">
      <c r="A27" s="632">
        <v>13721</v>
      </c>
      <c r="B27" s="632" t="s">
        <v>10</v>
      </c>
      <c r="C27" s="632" t="s">
        <v>10</v>
      </c>
      <c r="D27" s="632" t="s">
        <v>125</v>
      </c>
      <c r="E27" s="633">
        <v>43388.354826388888</v>
      </c>
      <c r="F27" s="638">
        <v>43388.354826388888</v>
      </c>
      <c r="G27" s="634">
        <v>0.35416666666666669</v>
      </c>
      <c r="H27" s="635">
        <v>3.9166666666666674</v>
      </c>
      <c r="I27" s="635">
        <v>3.5</v>
      </c>
      <c r="J27" s="635">
        <v>4.5</v>
      </c>
      <c r="K27" s="635"/>
      <c r="L27" s="635"/>
      <c r="M27" s="635"/>
      <c r="N27" s="635"/>
      <c r="O27" s="628" t="s">
        <v>156</v>
      </c>
      <c r="P27" s="548"/>
      <c r="Q27" s="550"/>
      <c r="R27" s="444"/>
      <c r="S27" s="444"/>
      <c r="T27" s="551"/>
      <c r="U27" s="552"/>
      <c r="V27" s="552"/>
      <c r="W27" s="551"/>
      <c r="X27" s="543"/>
      <c r="Y27" s="543"/>
      <c r="Z27" s="543"/>
    </row>
    <row r="28" spans="1:26" s="543" customFormat="1">
      <c r="A28" s="632">
        <v>13728</v>
      </c>
      <c r="B28" s="632" t="s">
        <v>10</v>
      </c>
      <c r="C28" s="632" t="s">
        <v>10</v>
      </c>
      <c r="D28" s="632" t="s">
        <v>126</v>
      </c>
      <c r="E28" s="633">
        <v>43388.517708333333</v>
      </c>
      <c r="F28" s="638">
        <v>43388.517708333333</v>
      </c>
      <c r="G28" s="634">
        <v>0.51736111111111105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548"/>
      <c r="Q28" s="550"/>
      <c r="R28" s="444"/>
      <c r="S28" s="444"/>
      <c r="T28" s="551"/>
      <c r="U28" s="552"/>
      <c r="V28" s="552"/>
      <c r="W28" s="551"/>
      <c r="X28" s="551"/>
      <c r="Y28" s="422"/>
      <c r="Z28" s="422"/>
    </row>
    <row r="29" spans="1:26" s="63" customFormat="1">
      <c r="A29" s="632">
        <v>13749</v>
      </c>
      <c r="B29" s="632" t="s">
        <v>10</v>
      </c>
      <c r="C29" s="632" t="s">
        <v>10</v>
      </c>
      <c r="D29" s="632" t="s">
        <v>125</v>
      </c>
      <c r="E29" s="633">
        <v>43389.363703703704</v>
      </c>
      <c r="F29" s="638">
        <v>43389.363703703704</v>
      </c>
      <c r="G29" s="634">
        <v>0.36319444444444443</v>
      </c>
      <c r="H29" s="635">
        <v>10.683333333333334</v>
      </c>
      <c r="I29" s="635">
        <v>8</v>
      </c>
      <c r="J29" s="635" t="s">
        <v>115</v>
      </c>
      <c r="K29" s="635"/>
      <c r="L29" s="635"/>
      <c r="M29" s="635"/>
      <c r="N29" s="635"/>
      <c r="O29" s="628"/>
      <c r="P29" s="137"/>
      <c r="Q29" s="382"/>
      <c r="R29" s="383"/>
      <c r="S29" s="383"/>
      <c r="T29" s="383"/>
      <c r="U29" s="406"/>
      <c r="V29" s="406"/>
      <c r="W29" s="383"/>
      <c r="X29" s="383"/>
      <c r="Y29" s="422"/>
      <c r="Z29" s="422"/>
    </row>
    <row r="30" spans="1:26" s="63" customFormat="1">
      <c r="A30" s="632">
        <v>13771</v>
      </c>
      <c r="B30" s="632" t="s">
        <v>10</v>
      </c>
      <c r="C30" s="632" t="s">
        <v>10</v>
      </c>
      <c r="D30" s="632" t="s">
        <v>126</v>
      </c>
      <c r="E30" s="633">
        <v>43389.808587962965</v>
      </c>
      <c r="F30" s="638">
        <v>43389.808587962965</v>
      </c>
      <c r="G30" s="634">
        <v>0.80833333333333324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137"/>
      <c r="Q30" s="382"/>
      <c r="R30" s="383"/>
      <c r="S30" s="383"/>
      <c r="T30" s="383"/>
      <c r="U30" s="406"/>
      <c r="V30" s="406"/>
      <c r="W30" s="383"/>
      <c r="X30" s="383"/>
      <c r="Y30" s="383"/>
      <c r="Z30" s="383"/>
    </row>
    <row r="31" spans="1:26" s="18" customFormat="1">
      <c r="A31" s="632">
        <v>13780</v>
      </c>
      <c r="B31" s="632" t="s">
        <v>10</v>
      </c>
      <c r="C31" s="632" t="s">
        <v>10</v>
      </c>
      <c r="D31" s="632" t="s">
        <v>125</v>
      </c>
      <c r="E31" s="633">
        <v>43390.367673611108</v>
      </c>
      <c r="F31" s="638">
        <v>43390.367673611108</v>
      </c>
      <c r="G31" s="634">
        <v>0.36736111111111108</v>
      </c>
      <c r="H31" s="635">
        <v>10.5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P31" s="137"/>
      <c r="Q31" s="382"/>
      <c r="R31" s="384"/>
      <c r="S31" s="383"/>
      <c r="T31" s="384"/>
      <c r="U31" s="406"/>
      <c r="V31" s="406"/>
      <c r="W31" s="384"/>
      <c r="X31" s="422"/>
      <c r="Y31" s="422"/>
      <c r="Z31" s="422"/>
    </row>
    <row r="32" spans="1:26" s="18" customFormat="1">
      <c r="A32" s="632">
        <v>13800</v>
      </c>
      <c r="B32" s="632" t="s">
        <v>10</v>
      </c>
      <c r="C32" s="632" t="s">
        <v>10</v>
      </c>
      <c r="D32" s="632" t="s">
        <v>126</v>
      </c>
      <c r="E32" s="633">
        <v>43390.804976851854</v>
      </c>
      <c r="F32" s="638">
        <v>43390.804976851854</v>
      </c>
      <c r="G32" s="634">
        <v>0.80486111111111114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137"/>
      <c r="Q32" s="382"/>
      <c r="R32" s="384"/>
      <c r="S32" s="383"/>
      <c r="T32" s="384"/>
      <c r="U32" s="406"/>
      <c r="V32" s="406"/>
      <c r="W32" s="384"/>
      <c r="X32" s="422"/>
      <c r="Y32" s="16"/>
      <c r="Z32" s="16"/>
    </row>
    <row r="33" spans="1:26" s="396" customFormat="1">
      <c r="A33" s="632">
        <v>13808</v>
      </c>
      <c r="B33" s="632" t="s">
        <v>10</v>
      </c>
      <c r="C33" s="632" t="s">
        <v>10</v>
      </c>
      <c r="D33" s="632" t="s">
        <v>125</v>
      </c>
      <c r="E33" s="633">
        <v>43391.353715277779</v>
      </c>
      <c r="F33" s="638">
        <v>43391.353715277779</v>
      </c>
      <c r="G33" s="634">
        <v>0.35347222222222219</v>
      </c>
      <c r="H33" s="635">
        <v>3.5833333333333326</v>
      </c>
      <c r="I33" s="635">
        <v>3.5</v>
      </c>
      <c r="J33" s="635">
        <v>4.5</v>
      </c>
      <c r="K33" s="635"/>
      <c r="L33" s="635"/>
      <c r="M33" s="635"/>
      <c r="N33" s="635"/>
      <c r="O33" s="628" t="s">
        <v>156</v>
      </c>
      <c r="P33" s="137"/>
      <c r="Q33" s="382"/>
      <c r="R33" s="18"/>
      <c r="S33" s="63"/>
      <c r="T33" s="63"/>
      <c r="U33" s="406"/>
      <c r="V33" s="406"/>
      <c r="W33" s="63"/>
      <c r="X33" s="16"/>
      <c r="Y33" s="16"/>
      <c r="Z33" s="16"/>
    </row>
    <row r="34" spans="1:26" s="396" customFormat="1">
      <c r="A34" s="632">
        <v>13814</v>
      </c>
      <c r="B34" s="632" t="s">
        <v>10</v>
      </c>
      <c r="C34" s="632" t="s">
        <v>10</v>
      </c>
      <c r="D34" s="632" t="s">
        <v>126</v>
      </c>
      <c r="E34" s="633">
        <v>43391.502905092595</v>
      </c>
      <c r="F34" s="638">
        <v>43391.502905092595</v>
      </c>
      <c r="G34" s="634">
        <v>0.50277777777777777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137"/>
      <c r="Q34" s="382"/>
      <c r="R34" s="18"/>
      <c r="S34" s="63"/>
      <c r="T34" s="63"/>
      <c r="U34" s="406"/>
      <c r="V34" s="406"/>
      <c r="W34" s="63"/>
      <c r="X34" s="16"/>
      <c r="Y34" s="16"/>
      <c r="Z34" s="16"/>
    </row>
    <row r="35" spans="1:26">
      <c r="A35" s="632">
        <v>13830</v>
      </c>
      <c r="B35" s="632" t="s">
        <v>10</v>
      </c>
      <c r="C35" s="632" t="s">
        <v>10</v>
      </c>
      <c r="D35" s="632" t="s">
        <v>125</v>
      </c>
      <c r="E35" s="633">
        <v>43392.367766203701</v>
      </c>
      <c r="F35" s="638">
        <v>43392.367766203701</v>
      </c>
      <c r="G35" s="634">
        <v>0.36736111111111108</v>
      </c>
      <c r="H35" s="635">
        <v>9.65</v>
      </c>
      <c r="I35" s="635">
        <v>8</v>
      </c>
      <c r="J35" s="635" t="s">
        <v>115</v>
      </c>
      <c r="K35" s="635"/>
      <c r="L35" s="635"/>
      <c r="M35" s="635"/>
      <c r="N35" s="635"/>
      <c r="P35" s="137"/>
      <c r="Q35" s="382"/>
      <c r="R35" s="18"/>
      <c r="S35" s="63"/>
      <c r="T35" s="63"/>
      <c r="U35" s="406"/>
      <c r="V35" s="406"/>
      <c r="W35" s="63"/>
      <c r="X35" s="63"/>
      <c r="Y35" s="16"/>
      <c r="Z35" s="16"/>
    </row>
    <row r="36" spans="1:26">
      <c r="A36" s="632">
        <v>13841</v>
      </c>
      <c r="B36" s="632" t="s">
        <v>10</v>
      </c>
      <c r="C36" s="632" t="s">
        <v>10</v>
      </c>
      <c r="D36" s="632" t="s">
        <v>126</v>
      </c>
      <c r="E36" s="633">
        <v>43392.769907407404</v>
      </c>
      <c r="F36" s="638">
        <v>43392.769907407404</v>
      </c>
      <c r="G36" s="634">
        <v>0.76944444444444438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P36" s="137"/>
      <c r="Q36" s="382"/>
      <c r="R36" s="18"/>
      <c r="S36" s="63"/>
      <c r="T36" s="63"/>
      <c r="U36" s="406"/>
      <c r="V36" s="406"/>
      <c r="W36" s="63"/>
      <c r="X36" s="63"/>
      <c r="Y36" s="16"/>
      <c r="Z36" s="16"/>
    </row>
    <row r="37" spans="1:26">
      <c r="A37" s="632">
        <v>13848</v>
      </c>
      <c r="B37" s="632" t="s">
        <v>10</v>
      </c>
      <c r="C37" s="632" t="s">
        <v>10</v>
      </c>
      <c r="D37" s="632" t="s">
        <v>125</v>
      </c>
      <c r="E37" s="633">
        <v>43395.363553240742</v>
      </c>
      <c r="F37" s="638">
        <v>43395.363553240742</v>
      </c>
      <c r="G37" s="634">
        <v>0.36319444444444443</v>
      </c>
      <c r="H37" s="635">
        <v>10.733333333333334</v>
      </c>
      <c r="I37" s="635">
        <v>8</v>
      </c>
      <c r="J37" s="635" t="s">
        <v>115</v>
      </c>
      <c r="K37" s="635"/>
      <c r="L37" s="635"/>
      <c r="M37" s="635"/>
      <c r="N37" s="635"/>
      <c r="P37" s="137"/>
      <c r="Q37" s="382"/>
      <c r="R37" s="18"/>
      <c r="S37" s="63"/>
      <c r="T37" s="63"/>
      <c r="U37" s="406"/>
      <c r="V37" s="406"/>
      <c r="W37" s="63"/>
      <c r="X37" s="63"/>
      <c r="Y37" s="63"/>
      <c r="Z37" s="63"/>
    </row>
    <row r="38" spans="1:26">
      <c r="A38" s="632">
        <v>13874</v>
      </c>
      <c r="B38" s="632" t="s">
        <v>10</v>
      </c>
      <c r="C38" s="632" t="s">
        <v>10</v>
      </c>
      <c r="D38" s="632" t="s">
        <v>126</v>
      </c>
      <c r="E38" s="633">
        <v>43395.81082175926</v>
      </c>
      <c r="F38" s="638">
        <v>43395.81082175926</v>
      </c>
      <c r="G38" s="634">
        <v>0.81041666666666667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P38" s="137"/>
      <c r="Q38" s="382"/>
      <c r="R38" s="18"/>
      <c r="S38" s="18"/>
      <c r="T38" s="63"/>
      <c r="U38" s="406"/>
      <c r="V38" s="406"/>
      <c r="W38" s="63"/>
      <c r="X38" s="63"/>
      <c r="Y38" s="63"/>
      <c r="Z38" s="63"/>
    </row>
    <row r="39" spans="1:26">
      <c r="A39" s="632">
        <v>13882</v>
      </c>
      <c r="B39" s="632" t="s">
        <v>10</v>
      </c>
      <c r="C39" s="632" t="s">
        <v>10</v>
      </c>
      <c r="D39" s="632" t="s">
        <v>125</v>
      </c>
      <c r="E39" s="633">
        <v>43396.36822916667</v>
      </c>
      <c r="F39" s="638">
        <v>43396.36822916667</v>
      </c>
      <c r="G39" s="634">
        <v>0.36805555555555558</v>
      </c>
      <c r="H39" s="635">
        <v>10.233333333333331</v>
      </c>
      <c r="I39" s="635">
        <v>8</v>
      </c>
      <c r="J39" s="635" t="s">
        <v>115</v>
      </c>
      <c r="K39" s="635"/>
      <c r="L39" s="635"/>
      <c r="M39" s="635"/>
      <c r="N39" s="635"/>
      <c r="P39" s="137"/>
      <c r="Q39" s="382"/>
      <c r="R39" s="18"/>
      <c r="S39" s="18"/>
      <c r="T39" s="18"/>
      <c r="U39" s="406"/>
      <c r="V39" s="406"/>
      <c r="W39" s="63"/>
      <c r="X39" s="63"/>
      <c r="Y39" s="63"/>
      <c r="Z39" s="63"/>
    </row>
    <row r="40" spans="1:26">
      <c r="A40" s="632">
        <v>13903</v>
      </c>
      <c r="B40" s="632" t="s">
        <v>10</v>
      </c>
      <c r="C40" s="632" t="s">
        <v>10</v>
      </c>
      <c r="D40" s="632" t="s">
        <v>126</v>
      </c>
      <c r="E40" s="633">
        <v>43396.794571759259</v>
      </c>
      <c r="F40" s="638">
        <v>43396.794571759259</v>
      </c>
      <c r="G40" s="634">
        <v>0.7944444444444444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P40" s="137"/>
      <c r="Q40" s="382"/>
      <c r="R40" s="18"/>
      <c r="S40" s="18"/>
      <c r="T40" s="18"/>
      <c r="U40" s="406"/>
      <c r="V40" s="406"/>
      <c r="W40" s="63"/>
      <c r="X40" s="63"/>
      <c r="Y40" s="63"/>
      <c r="Z40" s="63"/>
    </row>
    <row r="41" spans="1:26" s="398" customFormat="1">
      <c r="A41" s="632">
        <v>13916</v>
      </c>
      <c r="B41" s="632" t="s">
        <v>10</v>
      </c>
      <c r="C41" s="632" t="s">
        <v>10</v>
      </c>
      <c r="D41" s="632" t="s">
        <v>125</v>
      </c>
      <c r="E41" s="633">
        <v>43397.371689814812</v>
      </c>
      <c r="F41" s="638">
        <v>43397.371689814812</v>
      </c>
      <c r="G41" s="634">
        <v>0.37152777777777773</v>
      </c>
      <c r="H41" s="635">
        <v>10.733333333333333</v>
      </c>
      <c r="I41" s="635">
        <v>8</v>
      </c>
      <c r="J41" s="635" t="s">
        <v>115</v>
      </c>
      <c r="K41" s="635"/>
      <c r="L41" s="635"/>
      <c r="M41" s="635"/>
      <c r="N41" s="635"/>
      <c r="O41" s="628"/>
      <c r="P41" s="137"/>
      <c r="Q41" s="382"/>
      <c r="R41" s="18"/>
      <c r="S41" s="18"/>
      <c r="T41" s="63"/>
      <c r="U41" s="406"/>
      <c r="V41" s="406"/>
      <c r="W41" s="63"/>
      <c r="X41" s="63"/>
      <c r="Y41" s="18"/>
      <c r="Z41" s="18"/>
    </row>
    <row r="42" spans="1:26" s="398" customFormat="1">
      <c r="A42" s="632">
        <v>13931</v>
      </c>
      <c r="B42" s="632" t="s">
        <v>10</v>
      </c>
      <c r="C42" s="632" t="s">
        <v>10</v>
      </c>
      <c r="D42" s="632" t="s">
        <v>126</v>
      </c>
      <c r="E42" s="633">
        <v>43397.818842592591</v>
      </c>
      <c r="F42" s="638">
        <v>43397.818842592591</v>
      </c>
      <c r="G42" s="634">
        <v>0.81874999999999998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137"/>
      <c r="Q42" s="382"/>
      <c r="R42" s="18"/>
      <c r="S42" s="18"/>
      <c r="T42" s="63"/>
      <c r="U42" s="406"/>
      <c r="V42" s="406"/>
      <c r="W42" s="63"/>
      <c r="X42" s="63"/>
      <c r="Y42" s="18"/>
      <c r="Z42" s="18"/>
    </row>
    <row r="43" spans="1:26">
      <c r="A43" s="632">
        <v>13936</v>
      </c>
      <c r="B43" s="632" t="s">
        <v>10</v>
      </c>
      <c r="C43" s="632" t="s">
        <v>10</v>
      </c>
      <c r="D43" s="632" t="s">
        <v>125</v>
      </c>
      <c r="E43" s="633">
        <v>43398.362500000003</v>
      </c>
      <c r="F43" s="638">
        <v>43398.362500000003</v>
      </c>
      <c r="G43" s="634">
        <v>0.36249999999999999</v>
      </c>
      <c r="H43" s="635">
        <v>11.250000000000002</v>
      </c>
      <c r="I43" s="635">
        <v>8</v>
      </c>
      <c r="J43" s="635" t="s">
        <v>115</v>
      </c>
      <c r="K43" s="635"/>
      <c r="L43" s="635"/>
      <c r="M43" s="635"/>
      <c r="N43" s="635"/>
      <c r="P43" s="137"/>
      <c r="Q43" s="382"/>
      <c r="S43" s="63"/>
      <c r="U43" s="406"/>
      <c r="V43" s="406"/>
      <c r="X43" s="501"/>
      <c r="Y43" s="396"/>
      <c r="Z43" s="396"/>
    </row>
    <row r="44" spans="1:26">
      <c r="A44" s="632">
        <v>13954</v>
      </c>
      <c r="B44" s="632" t="s">
        <v>10</v>
      </c>
      <c r="C44" s="632" t="s">
        <v>10</v>
      </c>
      <c r="D44" s="632" t="s">
        <v>126</v>
      </c>
      <c r="E44" s="633">
        <v>43398.831469907411</v>
      </c>
      <c r="F44" s="638">
        <v>43398.831469907411</v>
      </c>
      <c r="G44" s="634">
        <v>0.83124999999999993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P44" s="137"/>
      <c r="Q44" s="382"/>
      <c r="S44" s="63"/>
      <c r="U44" s="406"/>
      <c r="V44" s="406"/>
      <c r="X44" s="501"/>
      <c r="Y44" s="396"/>
      <c r="Z44" s="396"/>
    </row>
    <row r="45" spans="1:26">
      <c r="A45" s="632">
        <v>13961</v>
      </c>
      <c r="B45" s="632" t="s">
        <v>10</v>
      </c>
      <c r="C45" s="632" t="s">
        <v>10</v>
      </c>
      <c r="D45" s="632" t="s">
        <v>125</v>
      </c>
      <c r="E45" s="633">
        <v>43399.359918981485</v>
      </c>
      <c r="F45" s="638">
        <v>43399.359918981485</v>
      </c>
      <c r="G45" s="634">
        <v>0.35972222222222222</v>
      </c>
      <c r="H45" s="635">
        <v>10.016666666666667</v>
      </c>
      <c r="I45" s="635">
        <v>8</v>
      </c>
      <c r="J45" s="635" t="s">
        <v>115</v>
      </c>
      <c r="K45" s="635"/>
      <c r="L45" s="635"/>
      <c r="M45" s="635"/>
      <c r="N45" s="635"/>
      <c r="P45" s="137"/>
      <c r="Q45" s="382"/>
      <c r="U45" s="406"/>
      <c r="V45" s="406"/>
      <c r="X45" s="501"/>
    </row>
    <row r="46" spans="1:26">
      <c r="A46" s="632">
        <v>13972</v>
      </c>
      <c r="B46" s="632" t="s">
        <v>10</v>
      </c>
      <c r="C46" s="632" t="s">
        <v>10</v>
      </c>
      <c r="D46" s="632" t="s">
        <v>126</v>
      </c>
      <c r="E46" s="633">
        <v>43399.777592592596</v>
      </c>
      <c r="F46" s="638">
        <v>43399.777592592596</v>
      </c>
      <c r="G46" s="634">
        <v>0.77708333333333324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P46" s="137"/>
      <c r="Q46" s="382"/>
      <c r="U46" s="406"/>
      <c r="V46" s="406"/>
      <c r="X46" s="501"/>
    </row>
    <row r="47" spans="1:26">
      <c r="A47" s="632">
        <v>13979</v>
      </c>
      <c r="B47" s="632" t="s">
        <v>10</v>
      </c>
      <c r="C47" s="632" t="s">
        <v>10</v>
      </c>
      <c r="D47" s="632" t="s">
        <v>125</v>
      </c>
      <c r="E47" s="633">
        <v>43402.360648148147</v>
      </c>
      <c r="F47" s="638">
        <v>43402.360648148147</v>
      </c>
      <c r="G47" s="634">
        <v>0.36041666666666666</v>
      </c>
      <c r="H47" s="635">
        <v>10.866666666666667</v>
      </c>
      <c r="I47" s="635">
        <v>8</v>
      </c>
      <c r="J47" s="635" t="s">
        <v>115</v>
      </c>
      <c r="K47" s="635"/>
      <c r="L47" s="635"/>
      <c r="M47" s="635"/>
      <c r="N47" s="635"/>
      <c r="P47" s="137"/>
      <c r="Q47" s="382"/>
      <c r="U47" s="406"/>
      <c r="V47" s="406"/>
    </row>
    <row r="48" spans="1:26">
      <c r="A48" s="632">
        <v>14004</v>
      </c>
      <c r="B48" s="632" t="s">
        <v>10</v>
      </c>
      <c r="C48" s="632" t="s">
        <v>10</v>
      </c>
      <c r="D48" s="632" t="s">
        <v>126</v>
      </c>
      <c r="E48" s="633">
        <v>43402.813217592593</v>
      </c>
      <c r="F48" s="638">
        <v>43402.813217592593</v>
      </c>
      <c r="G48" s="634">
        <v>0.81319444444444444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P48" s="137"/>
      <c r="Q48" s="382"/>
      <c r="U48" s="406"/>
      <c r="V48" s="406"/>
    </row>
    <row r="49" spans="1:22">
      <c r="A49" s="632">
        <v>14010</v>
      </c>
      <c r="B49" s="632" t="s">
        <v>10</v>
      </c>
      <c r="C49" s="632" t="s">
        <v>10</v>
      </c>
      <c r="D49" s="632" t="s">
        <v>125</v>
      </c>
      <c r="E49" s="633">
        <v>43403.367118055554</v>
      </c>
      <c r="F49" s="638">
        <v>43403.367118055554</v>
      </c>
      <c r="G49" s="634">
        <v>0.3666666666666667</v>
      </c>
      <c r="H49" s="635">
        <v>10.233333333333333</v>
      </c>
      <c r="I49" s="635">
        <v>8</v>
      </c>
      <c r="J49" s="635" t="s">
        <v>115</v>
      </c>
      <c r="K49" s="635"/>
      <c r="L49" s="635"/>
      <c r="M49" s="635"/>
      <c r="N49" s="635"/>
      <c r="P49" s="137"/>
      <c r="Q49" s="382"/>
      <c r="U49" s="406"/>
      <c r="V49" s="406"/>
    </row>
    <row r="50" spans="1:22">
      <c r="A50" s="632">
        <v>14027</v>
      </c>
      <c r="B50" s="632" t="s">
        <v>10</v>
      </c>
      <c r="C50" s="632" t="s">
        <v>10</v>
      </c>
      <c r="D50" s="632" t="s">
        <v>126</v>
      </c>
      <c r="E50" s="633">
        <v>43403.793078703704</v>
      </c>
      <c r="F50" s="638">
        <v>43403.793078703704</v>
      </c>
      <c r="G50" s="634">
        <v>0.79305555555555562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P50" s="137"/>
      <c r="Q50" s="382"/>
      <c r="U50" s="406"/>
      <c r="V50" s="406"/>
    </row>
    <row r="51" spans="1:22">
      <c r="A51" s="632">
        <v>14036</v>
      </c>
      <c r="B51" s="632" t="s">
        <v>10</v>
      </c>
      <c r="C51" s="632" t="s">
        <v>10</v>
      </c>
      <c r="D51" s="632" t="s">
        <v>125</v>
      </c>
      <c r="E51" s="633">
        <v>43404.368194444447</v>
      </c>
      <c r="F51" s="638">
        <v>43404.368194444447</v>
      </c>
      <c r="G51" s="634">
        <v>0.36805555555555558</v>
      </c>
      <c r="H51" s="635">
        <v>9.8000000000000007</v>
      </c>
      <c r="I51" s="635">
        <v>8</v>
      </c>
      <c r="J51" s="635" t="s">
        <v>115</v>
      </c>
      <c r="K51" s="635"/>
      <c r="L51" s="635"/>
      <c r="M51" s="635"/>
      <c r="N51" s="635"/>
      <c r="P51" s="137"/>
      <c r="Q51" s="382"/>
      <c r="U51" s="406"/>
      <c r="V51" s="406"/>
    </row>
    <row r="52" spans="1:22">
      <c r="A52" s="632">
        <v>14048</v>
      </c>
      <c r="B52" s="632" t="s">
        <v>10</v>
      </c>
      <c r="C52" s="632" t="s">
        <v>10</v>
      </c>
      <c r="D52" s="632" t="s">
        <v>126</v>
      </c>
      <c r="E52" s="633">
        <v>43404.776412037034</v>
      </c>
      <c r="F52" s="638">
        <v>43404.776412037034</v>
      </c>
      <c r="G52" s="634">
        <v>0.77638888888888891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P52" s="137"/>
      <c r="Q52" s="382"/>
      <c r="U52" s="406"/>
      <c r="V52" s="406"/>
    </row>
    <row r="53" spans="1:22">
      <c r="D53" s="458"/>
      <c r="E53" s="336"/>
      <c r="F53" s="373"/>
      <c r="G53" s="376"/>
      <c r="H53" s="377"/>
      <c r="I53" s="378"/>
      <c r="J53" s="378"/>
      <c r="K53" s="379"/>
      <c r="L53" s="379"/>
      <c r="M53" s="379"/>
      <c r="N53" s="379"/>
      <c r="P53" s="137"/>
    </row>
    <row r="54" spans="1:22">
      <c r="D54" s="542" t="s">
        <v>36</v>
      </c>
      <c r="E54" s="541"/>
      <c r="F54" s="543"/>
      <c r="G54" s="544"/>
      <c r="H54" s="547"/>
      <c r="I54" s="545"/>
      <c r="J54" s="545"/>
      <c r="K54" s="379"/>
      <c r="L54" s="379"/>
      <c r="M54" s="379"/>
      <c r="N54" s="379"/>
      <c r="P54" s="137"/>
    </row>
    <row r="55" spans="1:22">
      <c r="D55" s="542" t="s">
        <v>35</v>
      </c>
      <c r="E55" s="541"/>
      <c r="F55" s="543"/>
      <c r="G55" s="544"/>
      <c r="H55" s="547"/>
      <c r="I55" s="545"/>
      <c r="J55" s="545"/>
    </row>
    <row r="56" spans="1:22">
      <c r="D56" s="549" t="s">
        <v>63</v>
      </c>
      <c r="E56" s="541"/>
      <c r="F56" s="543"/>
      <c r="G56" s="544"/>
      <c r="H56" s="547"/>
      <c r="I56" s="545"/>
      <c r="J56" s="545"/>
    </row>
    <row r="57" spans="1:22">
      <c r="D57" s="540" t="s">
        <v>66</v>
      </c>
      <c r="E57" s="541"/>
      <c r="F57" s="543"/>
      <c r="G57" s="544"/>
      <c r="H57" s="547"/>
      <c r="I57" s="545"/>
      <c r="J57" s="545"/>
    </row>
    <row r="58" spans="1:22">
      <c r="D58" s="540" t="s">
        <v>64</v>
      </c>
      <c r="E58" s="336"/>
      <c r="F58" s="373"/>
      <c r="G58" s="376"/>
      <c r="H58" s="377"/>
      <c r="I58" s="378"/>
      <c r="J58" s="378"/>
    </row>
    <row r="59" spans="1:22">
      <c r="D59" s="540" t="s">
        <v>68</v>
      </c>
      <c r="E59" s="336"/>
      <c r="F59" s="373"/>
      <c r="G59" s="376"/>
      <c r="H59" s="377"/>
      <c r="I59" s="378"/>
      <c r="J59" s="378"/>
    </row>
    <row r="60" spans="1:22">
      <c r="D60" s="540" t="s">
        <v>69</v>
      </c>
      <c r="E60" s="336"/>
      <c r="F60" s="373"/>
      <c r="G60" s="376"/>
      <c r="H60" s="377"/>
      <c r="I60" s="378"/>
      <c r="J60" s="378"/>
    </row>
    <row r="61" spans="1:22">
      <c r="D61" s="540" t="s">
        <v>116</v>
      </c>
      <c r="E61" s="336"/>
      <c r="F61" s="373"/>
      <c r="G61" s="376"/>
      <c r="H61" s="377"/>
      <c r="I61" s="378"/>
      <c r="J61" s="378"/>
    </row>
    <row r="62" spans="1:22">
      <c r="D62" s="540" t="s">
        <v>67</v>
      </c>
      <c r="E62" s="336"/>
      <c r="F62" s="373"/>
      <c r="G62" s="376"/>
      <c r="H62" s="377"/>
      <c r="I62" s="378"/>
      <c r="J62" s="378"/>
    </row>
  </sheetData>
  <phoneticPr fontId="18" type="noConversion"/>
  <conditionalFormatting sqref="I7:I20 I23:I52">
    <cfRule type="cellIs" dxfId="34" priority="3" operator="lessThan">
      <formula>4</formula>
    </cfRule>
  </conditionalFormatting>
  <conditionalFormatting sqref="I21:I22">
    <cfRule type="cellIs" dxfId="33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6">
    <tabColor theme="4"/>
  </sheetPr>
  <dimension ref="A1:Z22"/>
  <sheetViews>
    <sheetView view="pageBreakPreview" zoomScaleNormal="100" zoomScaleSheetLayoutView="100" workbookViewId="0">
      <selection activeCell="K4" sqref="K4"/>
    </sheetView>
  </sheetViews>
  <sheetFormatPr defaultColWidth="9" defaultRowHeight="16.5" outlineLevelCol="1"/>
  <cols>
    <col min="1" max="1" width="5.875" style="261" customWidth="1" outlineLevel="1"/>
    <col min="2" max="2" width="6.875" style="261" customWidth="1" outlineLevel="1"/>
    <col min="3" max="3" width="6.5" style="262" customWidth="1" outlineLevel="1"/>
    <col min="4" max="4" width="10.125" style="262" customWidth="1"/>
    <col min="5" max="5" width="16.375" style="262" customWidth="1"/>
    <col min="6" max="6" width="6.25" style="303" customWidth="1"/>
    <col min="7" max="7" width="8.625" style="309" customWidth="1" outlineLevel="1"/>
    <col min="8" max="8" width="10.625" style="310" customWidth="1" outlineLevel="1"/>
    <col min="9" max="9" width="11.75" style="311" customWidth="1"/>
    <col min="10" max="10" width="9" style="311" customWidth="1"/>
    <col min="11" max="11" width="8.875" style="307" customWidth="1" outlineLevel="1"/>
    <col min="12" max="12" width="8.375" style="307" customWidth="1"/>
    <col min="13" max="13" width="10.5" style="307" customWidth="1"/>
    <col min="14" max="14" width="10.25" style="307" customWidth="1"/>
    <col min="15" max="15" width="16.25" style="308" customWidth="1"/>
    <col min="16" max="16" width="9" style="627"/>
    <col min="17" max="17" width="9.875" style="627" customWidth="1"/>
    <col min="18" max="18" width="2.5" style="627" bestFit="1" customWidth="1"/>
    <col min="19" max="19" width="9" style="627"/>
    <col min="20" max="20" width="3" style="625" customWidth="1"/>
    <col min="21" max="21" width="10.25" style="625" customWidth="1"/>
    <col min="22" max="23" width="8.875" style="625" customWidth="1"/>
    <col min="24" max="26" width="9" style="391"/>
    <col min="27" max="16384" width="9" style="261"/>
  </cols>
  <sheetData>
    <row r="1" spans="1:26" s="251" customFormat="1" ht="28.5" thickBot="1">
      <c r="C1" s="252"/>
      <c r="D1" s="253"/>
      <c r="E1" s="253"/>
      <c r="F1" s="254"/>
      <c r="G1" s="255"/>
      <c r="H1" s="256"/>
      <c r="I1" s="257" t="e">
        <f>#REF!</f>
        <v>#REF!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  <c r="Z1" s="4"/>
    </row>
    <row r="2" spans="1:26">
      <c r="D2" s="263" t="s">
        <v>74</v>
      </c>
      <c r="E2" s="459">
        <v>0</v>
      </c>
      <c r="F2" s="269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6" ht="17.25" thickBot="1">
      <c r="D3" s="272" t="s">
        <v>76</v>
      </c>
      <c r="E3" s="273">
        <v>0</v>
      </c>
      <c r="F3" s="274"/>
      <c r="G3" s="275"/>
      <c r="H3" s="275"/>
      <c r="I3" s="276"/>
      <c r="J3" s="277">
        <v>0</v>
      </c>
      <c r="K3" s="278">
        <f>SUM(K7:K200)</f>
        <v>1.1166666666666654</v>
      </c>
      <c r="L3" s="278">
        <v>0</v>
      </c>
      <c r="M3" s="278">
        <v>1</v>
      </c>
      <c r="N3" s="278">
        <v>0</v>
      </c>
      <c r="O3" s="279"/>
    </row>
    <row r="4" spans="1:26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32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627" t="s">
        <v>30</v>
      </c>
      <c r="S4" s="15" t="s">
        <v>25</v>
      </c>
      <c r="T4" s="48" t="s">
        <v>31</v>
      </c>
      <c r="U4" s="49">
        <f>I6+J6</f>
        <v>16</v>
      </c>
    </row>
    <row r="5" spans="1:26">
      <c r="D5" s="285">
        <v>0</v>
      </c>
      <c r="E5" s="286">
        <v>0</v>
      </c>
      <c r="F5" s="460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73"/>
      <c r="M5" s="73"/>
      <c r="N5" s="73"/>
      <c r="O5" s="290"/>
      <c r="Q5" s="627" t="s">
        <v>40</v>
      </c>
      <c r="S5" s="57">
        <f>(Q6)/160</f>
        <v>0</v>
      </c>
      <c r="U5" s="49"/>
      <c r="V5" s="405"/>
    </row>
    <row r="6" spans="1:26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SUM(I7:I200)</f>
        <v>16</v>
      </c>
      <c r="J6" s="295">
        <f t="shared" ref="J6:N6" si="0">SUM(J7:J200)</f>
        <v>0</v>
      </c>
      <c r="K6" s="295">
        <f t="shared" si="0"/>
        <v>1.1166666666666654</v>
      </c>
      <c r="L6" s="295">
        <f t="shared" si="0"/>
        <v>0</v>
      </c>
      <c r="M6" s="295">
        <f t="shared" si="0"/>
        <v>1.1166666666666654</v>
      </c>
      <c r="N6" s="295">
        <f t="shared" si="0"/>
        <v>0</v>
      </c>
      <c r="O6" s="296"/>
      <c r="Q6" s="381"/>
      <c r="R6" s="8"/>
      <c r="S6" s="8"/>
      <c r="U6" s="381"/>
      <c r="V6" s="381"/>
      <c r="W6" s="8"/>
      <c r="X6" s="500"/>
    </row>
    <row r="7" spans="1:26" s="586" customFormat="1">
      <c r="A7" s="632">
        <v>13459</v>
      </c>
      <c r="B7" s="632" t="s">
        <v>143</v>
      </c>
      <c r="C7" s="632" t="s">
        <v>143</v>
      </c>
      <c r="D7" s="632" t="s">
        <v>125</v>
      </c>
      <c r="E7" s="633">
        <v>43374.363877314812</v>
      </c>
      <c r="F7" s="638">
        <v>43374.363877314812</v>
      </c>
      <c r="G7" s="634">
        <v>0.36319444444444443</v>
      </c>
      <c r="H7" s="635">
        <v>9.8333333333333339</v>
      </c>
      <c r="I7" s="635">
        <v>8</v>
      </c>
      <c r="J7" s="635" t="s">
        <v>115</v>
      </c>
      <c r="K7" s="635"/>
      <c r="L7" s="635"/>
      <c r="M7" s="635"/>
      <c r="N7" s="635"/>
      <c r="O7" s="546"/>
      <c r="P7" s="588"/>
      <c r="Q7" s="550"/>
      <c r="R7" s="588"/>
      <c r="U7" s="552"/>
      <c r="V7" s="552"/>
    </row>
    <row r="8" spans="1:26" s="586" customFormat="1">
      <c r="A8" s="632">
        <v>13478</v>
      </c>
      <c r="B8" s="632" t="s">
        <v>143</v>
      </c>
      <c r="C8" s="632" t="s">
        <v>143</v>
      </c>
      <c r="D8" s="632" t="s">
        <v>126</v>
      </c>
      <c r="E8" s="633">
        <v>43374.773379629631</v>
      </c>
      <c r="F8" s="638">
        <v>43374.773379629631</v>
      </c>
      <c r="G8" s="634">
        <v>0.7729166666666667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588"/>
      <c r="Q8" s="550"/>
      <c r="R8" s="588"/>
      <c r="U8" s="552"/>
      <c r="V8" s="552"/>
    </row>
    <row r="9" spans="1:26" s="303" customFormat="1">
      <c r="A9" s="632">
        <v>13479</v>
      </c>
      <c r="B9" s="632" t="s">
        <v>143</v>
      </c>
      <c r="C9" s="632" t="s">
        <v>143</v>
      </c>
      <c r="D9" s="632" t="s">
        <v>127</v>
      </c>
      <c r="E9" s="633">
        <v>43374.773402777777</v>
      </c>
      <c r="F9" s="638">
        <v>43374.773402777777</v>
      </c>
      <c r="G9" s="634">
        <v>0.7729166666666667</v>
      </c>
      <c r="H9" s="635" t="s">
        <v>115</v>
      </c>
      <c r="I9" s="635" t="s">
        <v>115</v>
      </c>
      <c r="J9" s="635" t="s">
        <v>115</v>
      </c>
      <c r="K9" s="635">
        <v>1.1166666666666654</v>
      </c>
      <c r="L9" s="635"/>
      <c r="M9" s="635">
        <v>1.1166666666666654</v>
      </c>
      <c r="N9" s="635">
        <v>0</v>
      </c>
      <c r="O9" s="546"/>
      <c r="P9" s="588"/>
      <c r="Q9" s="550"/>
      <c r="R9" s="588"/>
      <c r="S9" s="586"/>
      <c r="T9" s="586"/>
      <c r="U9" s="552"/>
      <c r="V9" s="552"/>
      <c r="W9" s="586"/>
      <c r="X9" s="586"/>
      <c r="Y9" s="586"/>
      <c r="Z9" s="586"/>
    </row>
    <row r="10" spans="1:26" s="586" customFormat="1">
      <c r="A10" s="632">
        <v>13488</v>
      </c>
      <c r="B10" s="632" t="s">
        <v>143</v>
      </c>
      <c r="C10" s="632" t="s">
        <v>143</v>
      </c>
      <c r="D10" s="632" t="s">
        <v>128</v>
      </c>
      <c r="E10" s="633">
        <v>43374.819826388892</v>
      </c>
      <c r="F10" s="638">
        <v>43374.819826388892</v>
      </c>
      <c r="G10" s="634">
        <v>0.81944444444444453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388"/>
      <c r="P10" s="588"/>
      <c r="Q10" s="550"/>
      <c r="R10" s="588"/>
      <c r="S10" s="63"/>
      <c r="U10" s="552"/>
      <c r="V10" s="552"/>
      <c r="X10" s="63"/>
    </row>
    <row r="11" spans="1:26" s="586" customFormat="1">
      <c r="A11" s="632">
        <v>13497</v>
      </c>
      <c r="B11" s="632" t="s">
        <v>143</v>
      </c>
      <c r="C11" s="632" t="s">
        <v>143</v>
      </c>
      <c r="D11" s="632" t="s">
        <v>125</v>
      </c>
      <c r="E11" s="633">
        <v>43375.363275462965</v>
      </c>
      <c r="F11" s="638">
        <v>43375.363275462965</v>
      </c>
      <c r="G11" s="634">
        <v>0.36319444444444443</v>
      </c>
      <c r="H11" s="635">
        <v>9.783333333333335</v>
      </c>
      <c r="I11" s="635">
        <v>8</v>
      </c>
      <c r="J11" s="635" t="s">
        <v>115</v>
      </c>
      <c r="K11" s="635"/>
      <c r="L11" s="635"/>
      <c r="M11" s="635"/>
      <c r="N11" s="635"/>
      <c r="O11" s="388"/>
      <c r="P11" s="588"/>
      <c r="Q11" s="550"/>
      <c r="R11" s="588"/>
      <c r="S11" s="63"/>
      <c r="U11" s="552"/>
      <c r="V11" s="552"/>
      <c r="X11" s="63"/>
    </row>
    <row r="12" spans="1:26" s="63" customFormat="1">
      <c r="A12" s="646">
        <v>13497</v>
      </c>
      <c r="B12" s="646" t="s">
        <v>143</v>
      </c>
      <c r="C12" s="646" t="s">
        <v>143</v>
      </c>
      <c r="D12" s="646" t="s">
        <v>159</v>
      </c>
      <c r="E12" s="647">
        <v>43375.770833333336</v>
      </c>
      <c r="F12" s="638">
        <v>43375.770833333336</v>
      </c>
      <c r="G12" s="634">
        <v>0.77083333333333337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388"/>
      <c r="P12" s="588"/>
      <c r="Q12" s="550"/>
      <c r="R12" s="588"/>
      <c r="S12" s="586"/>
      <c r="T12" s="586"/>
      <c r="U12" s="552"/>
      <c r="V12" s="552"/>
      <c r="W12" s="586"/>
      <c r="X12" s="586"/>
      <c r="Y12" s="586"/>
    </row>
    <row r="13" spans="1:26" s="625" customFormat="1">
      <c r="A13" s="261"/>
      <c r="B13" s="261"/>
      <c r="C13" s="262"/>
      <c r="E13" s="336"/>
      <c r="F13" s="373"/>
      <c r="G13" s="376"/>
      <c r="H13" s="377"/>
      <c r="I13" s="378"/>
      <c r="J13" s="378"/>
      <c r="K13" s="379"/>
      <c r="L13" s="379"/>
      <c r="M13" s="379"/>
      <c r="N13" s="379"/>
      <c r="O13" s="28"/>
      <c r="P13" s="588"/>
      <c r="Q13" s="627"/>
      <c r="R13" s="627"/>
      <c r="S13" s="627"/>
      <c r="X13" s="391"/>
      <c r="Y13" s="391"/>
      <c r="Z13" s="391"/>
    </row>
    <row r="14" spans="1:26" s="625" customFormat="1">
      <c r="A14" s="261"/>
      <c r="B14" s="261"/>
      <c r="C14" s="262"/>
      <c r="D14" s="627" t="s">
        <v>36</v>
      </c>
      <c r="E14" s="626"/>
      <c r="F14" s="586"/>
      <c r="G14" s="557"/>
      <c r="H14" s="559"/>
      <c r="I14" s="558"/>
      <c r="J14" s="558"/>
      <c r="K14" s="379"/>
      <c r="L14" s="379"/>
      <c r="M14" s="379"/>
      <c r="N14" s="379"/>
      <c r="O14" s="28"/>
      <c r="P14" s="588"/>
      <c r="Q14" s="627"/>
      <c r="R14" s="627"/>
      <c r="S14" s="627"/>
      <c r="X14" s="391"/>
      <c r="Y14" s="391"/>
      <c r="Z14" s="391"/>
    </row>
    <row r="15" spans="1:26" s="625" customFormat="1">
      <c r="A15" s="261"/>
      <c r="B15" s="261"/>
      <c r="C15" s="262"/>
      <c r="D15" s="627" t="s">
        <v>35</v>
      </c>
      <c r="E15" s="626"/>
      <c r="F15" s="586"/>
      <c r="G15" s="557"/>
      <c r="H15" s="559"/>
      <c r="I15" s="558"/>
      <c r="J15" s="558"/>
      <c r="K15" s="307"/>
      <c r="L15" s="307"/>
      <c r="M15" s="307"/>
      <c r="N15" s="307"/>
      <c r="O15" s="308"/>
      <c r="P15" s="627"/>
      <c r="Q15" s="627"/>
      <c r="R15" s="627"/>
      <c r="S15" s="627"/>
      <c r="X15" s="391"/>
      <c r="Y15" s="391"/>
      <c r="Z15" s="391"/>
    </row>
    <row r="16" spans="1:26" s="625" customFormat="1">
      <c r="A16" s="261"/>
      <c r="B16" s="261"/>
      <c r="C16" s="262"/>
      <c r="D16" s="560" t="s">
        <v>63</v>
      </c>
      <c r="E16" s="626"/>
      <c r="F16" s="586"/>
      <c r="G16" s="557"/>
      <c r="H16" s="559"/>
      <c r="I16" s="558"/>
      <c r="J16" s="558"/>
      <c r="K16" s="307"/>
      <c r="L16" s="307"/>
      <c r="M16" s="307"/>
      <c r="N16" s="307"/>
      <c r="O16" s="308"/>
      <c r="P16" s="627"/>
      <c r="Q16" s="627"/>
      <c r="R16" s="627"/>
      <c r="S16" s="627"/>
      <c r="X16" s="391"/>
      <c r="Y16" s="391"/>
      <c r="Z16" s="391"/>
    </row>
    <row r="17" spans="1:26" s="625" customFormat="1">
      <c r="A17" s="261"/>
      <c r="B17" s="261"/>
      <c r="C17" s="262"/>
      <c r="D17" s="625" t="s">
        <v>66</v>
      </c>
      <c r="E17" s="626"/>
      <c r="F17" s="586"/>
      <c r="G17" s="557"/>
      <c r="H17" s="559"/>
      <c r="I17" s="558"/>
      <c r="J17" s="558"/>
      <c r="K17" s="307"/>
      <c r="L17" s="307"/>
      <c r="M17" s="307"/>
      <c r="N17" s="307"/>
      <c r="O17" s="308"/>
      <c r="P17" s="627"/>
      <c r="Q17" s="627"/>
      <c r="R17" s="627"/>
      <c r="S17" s="627"/>
      <c r="X17" s="391"/>
      <c r="Y17" s="391"/>
      <c r="Z17" s="391"/>
    </row>
    <row r="18" spans="1:26" s="625" customFormat="1">
      <c r="A18" s="261"/>
      <c r="B18" s="261"/>
      <c r="C18" s="262"/>
      <c r="D18" s="625" t="s">
        <v>64</v>
      </c>
      <c r="E18" s="336"/>
      <c r="F18" s="373"/>
      <c r="G18" s="376"/>
      <c r="H18" s="377"/>
      <c r="I18" s="378"/>
      <c r="J18" s="378"/>
      <c r="K18" s="307"/>
      <c r="L18" s="307"/>
      <c r="M18" s="307"/>
      <c r="N18" s="307"/>
      <c r="O18" s="308"/>
      <c r="P18" s="627"/>
      <c r="Q18" s="627"/>
      <c r="R18" s="627"/>
      <c r="S18" s="627"/>
      <c r="X18" s="391"/>
      <c r="Y18" s="391"/>
      <c r="Z18" s="391"/>
    </row>
    <row r="19" spans="1:26" s="625" customFormat="1">
      <c r="A19" s="261"/>
      <c r="B19" s="261"/>
      <c r="C19" s="262"/>
      <c r="D19" s="625" t="s">
        <v>68</v>
      </c>
      <c r="E19" s="336"/>
      <c r="F19" s="373"/>
      <c r="G19" s="376"/>
      <c r="H19" s="377"/>
      <c r="I19" s="378"/>
      <c r="J19" s="378"/>
      <c r="K19" s="307"/>
      <c r="L19" s="307"/>
      <c r="M19" s="307"/>
      <c r="N19" s="307"/>
      <c r="O19" s="308"/>
      <c r="P19" s="627"/>
      <c r="Q19" s="627"/>
      <c r="R19" s="627"/>
      <c r="S19" s="627"/>
      <c r="X19" s="391"/>
      <c r="Y19" s="391"/>
      <c r="Z19" s="391"/>
    </row>
    <row r="20" spans="1:26" s="625" customFormat="1">
      <c r="A20" s="261"/>
      <c r="B20" s="261"/>
      <c r="C20" s="262"/>
      <c r="D20" s="625" t="s">
        <v>69</v>
      </c>
      <c r="E20" s="336"/>
      <c r="F20" s="373"/>
      <c r="G20" s="376"/>
      <c r="H20" s="377"/>
      <c r="I20" s="378"/>
      <c r="J20" s="378"/>
      <c r="K20" s="307"/>
      <c r="L20" s="307"/>
      <c r="M20" s="307"/>
      <c r="N20" s="307"/>
      <c r="O20" s="308"/>
      <c r="P20" s="627"/>
      <c r="Q20" s="627"/>
      <c r="R20" s="627"/>
      <c r="S20" s="627"/>
      <c r="X20" s="391"/>
      <c r="Y20" s="391"/>
      <c r="Z20" s="391"/>
    </row>
    <row r="21" spans="1:26" s="625" customFormat="1">
      <c r="A21" s="261"/>
      <c r="B21" s="261"/>
      <c r="C21" s="262"/>
      <c r="D21" s="625" t="s">
        <v>116</v>
      </c>
      <c r="E21" s="336"/>
      <c r="F21" s="373"/>
      <c r="G21" s="376"/>
      <c r="H21" s="377"/>
      <c r="I21" s="378"/>
      <c r="J21" s="378"/>
      <c r="K21" s="307"/>
      <c r="L21" s="307"/>
      <c r="M21" s="307"/>
      <c r="N21" s="307"/>
      <c r="O21" s="308"/>
      <c r="P21" s="627"/>
      <c r="Q21" s="627"/>
      <c r="R21" s="627"/>
      <c r="S21" s="627"/>
      <c r="X21" s="391"/>
      <c r="Y21" s="391"/>
      <c r="Z21" s="391"/>
    </row>
    <row r="22" spans="1:26" s="625" customFormat="1">
      <c r="A22" s="261"/>
      <c r="B22" s="261"/>
      <c r="C22" s="262"/>
      <c r="D22" s="625" t="s">
        <v>67</v>
      </c>
      <c r="E22" s="336"/>
      <c r="F22" s="373"/>
      <c r="G22" s="376"/>
      <c r="H22" s="377"/>
      <c r="I22" s="378"/>
      <c r="J22" s="378"/>
      <c r="K22" s="307"/>
      <c r="L22" s="307"/>
      <c r="M22" s="307"/>
      <c r="N22" s="307"/>
      <c r="O22" s="308"/>
      <c r="P22" s="627"/>
      <c r="Q22" s="627"/>
      <c r="R22" s="627"/>
      <c r="S22" s="627"/>
      <c r="X22" s="391"/>
      <c r="Y22" s="391"/>
      <c r="Z22" s="391"/>
    </row>
  </sheetData>
  <phoneticPr fontId="18" type="noConversion"/>
  <conditionalFormatting sqref="I7:I12">
    <cfRule type="cellIs" dxfId="32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7">
    <tabColor theme="4"/>
    <pageSetUpPr fitToPage="1"/>
  </sheetPr>
  <dimension ref="A1:AL100"/>
  <sheetViews>
    <sheetView view="pageBreakPreview" topLeftCell="A58" zoomScaleNormal="100" zoomScaleSheetLayoutView="100" workbookViewId="0">
      <selection activeCell="K3" sqref="K3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10.125" style="417" customWidth="1"/>
    <col min="15" max="15" width="11.25" style="473" customWidth="1"/>
    <col min="16" max="16" width="9" style="9"/>
    <col min="17" max="17" width="2.5" style="9" customWidth="1"/>
    <col min="18" max="18" width="9" style="9"/>
    <col min="19" max="19" width="3" style="458" customWidth="1"/>
    <col min="20" max="20" width="7.5" style="458" customWidth="1"/>
    <col min="21" max="16384" width="9" style="458"/>
  </cols>
  <sheetData>
    <row r="1" spans="1:20" s="4" customFormat="1" ht="27.75">
      <c r="A1" s="462"/>
      <c r="B1" s="462"/>
      <c r="C1" s="480"/>
      <c r="D1" s="6"/>
      <c r="E1" s="6"/>
      <c r="F1" s="10"/>
      <c r="G1" s="11"/>
      <c r="H1" s="12"/>
      <c r="I1" s="13" t="str">
        <f>B7</f>
        <v>kevin</v>
      </c>
      <c r="J1" s="46" t="s">
        <v>29</v>
      </c>
      <c r="K1" s="14"/>
      <c r="L1" s="14"/>
      <c r="M1" s="14"/>
      <c r="N1" s="14"/>
      <c r="O1" s="27"/>
      <c r="P1" s="19"/>
      <c r="Q1" s="19"/>
      <c r="R1" s="19"/>
    </row>
    <row r="2" spans="1:20">
      <c r="D2" s="481" t="s">
        <v>74</v>
      </c>
      <c r="E2" s="65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481" t="s">
        <v>27</v>
      </c>
    </row>
    <row r="3" spans="1:20">
      <c r="D3" s="463" t="s">
        <v>76</v>
      </c>
      <c r="E3" s="649">
        <v>1000</v>
      </c>
      <c r="F3" s="464"/>
      <c r="G3" s="465"/>
      <c r="H3" s="465"/>
      <c r="I3" s="466"/>
      <c r="J3" s="467">
        <f>D5+E5</f>
        <v>0</v>
      </c>
      <c r="K3" s="468">
        <f>SUM(K7:K200)</f>
        <v>10.249999999999993</v>
      </c>
      <c r="L3" s="468">
        <f>D5</f>
        <v>0</v>
      </c>
      <c r="M3" s="468">
        <f>M6-L3</f>
        <v>9.1666666666666607</v>
      </c>
      <c r="N3" s="468">
        <f>N6</f>
        <v>1.083333333333333</v>
      </c>
      <c r="O3" s="469"/>
    </row>
    <row r="4" spans="1:20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O4" s="15"/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184.00000000000003</v>
      </c>
    </row>
    <row r="5" spans="1:20">
      <c r="D5" s="651">
        <v>0</v>
      </c>
      <c r="E5" s="86">
        <v>0</v>
      </c>
      <c r="F5" s="650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15"/>
      <c r="P5" s="9" t="s">
        <v>40</v>
      </c>
      <c r="R5" s="57">
        <f>(L6+M6+N6)/160</f>
        <v>6.4062499999999953E-2</v>
      </c>
    </row>
    <row r="6" spans="1:20" ht="17.25" thickBot="1">
      <c r="A6" s="517" t="s">
        <v>0</v>
      </c>
      <c r="B6" s="517" t="s">
        <v>1</v>
      </c>
      <c r="C6" s="511" t="s">
        <v>2</v>
      </c>
      <c r="D6" s="525" t="s">
        <v>3</v>
      </c>
      <c r="E6" s="525" t="s">
        <v>4</v>
      </c>
      <c r="F6" s="507"/>
      <c r="G6" s="523"/>
      <c r="H6" s="525" t="s">
        <v>22</v>
      </c>
      <c r="I6" s="509">
        <f>SUM(I7:I200)</f>
        <v>175.48333333333335</v>
      </c>
      <c r="J6" s="509">
        <f t="shared" ref="J6:N6" si="0">SUM(J7:J200)</f>
        <v>8.5166666666666675</v>
      </c>
      <c r="K6" s="509">
        <f t="shared" si="0"/>
        <v>10.249999999999993</v>
      </c>
      <c r="L6" s="509">
        <f t="shared" si="0"/>
        <v>0</v>
      </c>
      <c r="M6" s="509">
        <f t="shared" si="0"/>
        <v>9.1666666666666607</v>
      </c>
      <c r="N6" s="509">
        <f t="shared" si="0"/>
        <v>1.083333333333333</v>
      </c>
      <c r="O6" s="513"/>
      <c r="P6" s="47"/>
    </row>
    <row r="7" spans="1:20" s="2" customFormat="1">
      <c r="A7" s="632">
        <v>13458</v>
      </c>
      <c r="B7" s="632" t="s">
        <v>108</v>
      </c>
      <c r="C7" s="632" t="s">
        <v>108</v>
      </c>
      <c r="D7" s="632" t="s">
        <v>125</v>
      </c>
      <c r="E7" s="633">
        <v>43374.361377314817</v>
      </c>
      <c r="F7" s="638">
        <v>43374.361377314817</v>
      </c>
      <c r="G7" s="634">
        <v>0.3611111111111111</v>
      </c>
      <c r="H7" s="635">
        <v>9.6</v>
      </c>
      <c r="I7" s="635">
        <v>8</v>
      </c>
      <c r="J7" s="635" t="s">
        <v>115</v>
      </c>
      <c r="K7" s="635"/>
      <c r="L7" s="635"/>
      <c r="M7" s="635"/>
      <c r="N7" s="635"/>
      <c r="O7" s="514"/>
      <c r="P7" s="9"/>
      <c r="Q7" s="8"/>
      <c r="R7" s="9"/>
    </row>
    <row r="8" spans="1:20">
      <c r="A8" s="632">
        <v>13472</v>
      </c>
      <c r="B8" s="632" t="s">
        <v>109</v>
      </c>
      <c r="C8" s="632" t="s">
        <v>108</v>
      </c>
      <c r="D8" s="632" t="s">
        <v>126</v>
      </c>
      <c r="E8" s="633">
        <v>43374.761423611111</v>
      </c>
      <c r="F8" s="638">
        <v>43374.761423611111</v>
      </c>
      <c r="G8" s="634">
        <v>0.76111111111111107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10"/>
    </row>
    <row r="9" spans="1:20">
      <c r="A9" s="632">
        <v>13475</v>
      </c>
      <c r="B9" s="632" t="s">
        <v>109</v>
      </c>
      <c r="C9" s="632" t="s">
        <v>108</v>
      </c>
      <c r="D9" s="632" t="s">
        <v>127</v>
      </c>
      <c r="E9" s="633">
        <v>43374.770914351851</v>
      </c>
      <c r="F9" s="638">
        <v>43374.770914351851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1.6166666666666663</v>
      </c>
      <c r="L9" s="635"/>
      <c r="M9" s="635">
        <v>1.6166666666666663</v>
      </c>
      <c r="N9" s="635">
        <v>0</v>
      </c>
      <c r="O9" s="508"/>
    </row>
    <row r="10" spans="1:20">
      <c r="A10" s="632">
        <v>13491</v>
      </c>
      <c r="B10" s="632" t="s">
        <v>109</v>
      </c>
      <c r="C10" s="632" t="s">
        <v>108</v>
      </c>
      <c r="D10" s="632" t="s">
        <v>128</v>
      </c>
      <c r="E10" s="633">
        <v>43374.838761574072</v>
      </c>
      <c r="F10" s="638">
        <v>43374.838761574072</v>
      </c>
      <c r="G10" s="634">
        <v>0.83819444444444446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08"/>
    </row>
    <row r="11" spans="1:20">
      <c r="A11" s="632">
        <v>13498</v>
      </c>
      <c r="B11" s="632" t="s">
        <v>108</v>
      </c>
      <c r="C11" s="632" t="s">
        <v>108</v>
      </c>
      <c r="D11" s="632" t="s">
        <v>125</v>
      </c>
      <c r="E11" s="633">
        <v>43375.364444444444</v>
      </c>
      <c r="F11" s="638">
        <v>43375.364444444444</v>
      </c>
      <c r="G11" s="634">
        <v>0.36388888888888887</v>
      </c>
      <c r="H11" s="635">
        <v>9.5833333333333321</v>
      </c>
      <c r="I11" s="635">
        <v>8</v>
      </c>
      <c r="J11" s="635" t="s">
        <v>115</v>
      </c>
      <c r="K11" s="635"/>
      <c r="L11" s="635"/>
      <c r="M11" s="635"/>
      <c r="N11" s="635"/>
      <c r="O11" s="508"/>
    </row>
    <row r="12" spans="1:20">
      <c r="A12" s="632">
        <v>13510</v>
      </c>
      <c r="B12" s="632" t="s">
        <v>109</v>
      </c>
      <c r="C12" s="632" t="s">
        <v>108</v>
      </c>
      <c r="D12" s="632" t="s">
        <v>126</v>
      </c>
      <c r="E12" s="633">
        <v>43375.76321759259</v>
      </c>
      <c r="F12" s="638">
        <v>43375.76321759259</v>
      </c>
      <c r="G12" s="634">
        <v>0.7631944444444444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08"/>
    </row>
    <row r="13" spans="1:20">
      <c r="A13" s="632">
        <v>13525</v>
      </c>
      <c r="B13" s="632" t="s">
        <v>108</v>
      </c>
      <c r="C13" s="632" t="s">
        <v>108</v>
      </c>
      <c r="D13" s="632" t="s">
        <v>125</v>
      </c>
      <c r="E13" s="633">
        <v>43376.368206018517</v>
      </c>
      <c r="F13" s="638">
        <v>43376.368206018517</v>
      </c>
      <c r="G13" s="634">
        <v>0.36805555555555558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508"/>
    </row>
    <row r="14" spans="1:20">
      <c r="A14" s="632">
        <v>13534</v>
      </c>
      <c r="B14" s="632" t="s">
        <v>108</v>
      </c>
      <c r="C14" s="632" t="s">
        <v>108</v>
      </c>
      <c r="D14" s="632" t="s">
        <v>126</v>
      </c>
      <c r="E14" s="633">
        <v>43376.767824074072</v>
      </c>
      <c r="F14" s="638">
        <v>43376.767824074072</v>
      </c>
      <c r="G14" s="634">
        <v>0.76736111111111116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08"/>
    </row>
    <row r="15" spans="1:20">
      <c r="A15" s="632">
        <v>13555</v>
      </c>
      <c r="B15" s="632" t="s">
        <v>108</v>
      </c>
      <c r="C15" s="632" t="s">
        <v>108</v>
      </c>
      <c r="D15" s="632" t="s">
        <v>125</v>
      </c>
      <c r="E15" s="633">
        <v>43377.364282407405</v>
      </c>
      <c r="F15" s="638">
        <v>43377.364282407405</v>
      </c>
      <c r="G15" s="634">
        <v>0.36388888888888887</v>
      </c>
      <c r="H15" s="635">
        <v>9.7666666666666675</v>
      </c>
      <c r="I15" s="635">
        <v>8</v>
      </c>
      <c r="J15" s="635" t="s">
        <v>115</v>
      </c>
      <c r="K15" s="635"/>
      <c r="L15" s="635"/>
      <c r="M15" s="635"/>
      <c r="N15" s="635"/>
      <c r="O15" s="508"/>
    </row>
    <row r="16" spans="1:20">
      <c r="A16" s="632">
        <v>13567</v>
      </c>
      <c r="B16" s="632" t="s">
        <v>109</v>
      </c>
      <c r="C16" s="632" t="s">
        <v>108</v>
      </c>
      <c r="D16" s="632" t="s">
        <v>126</v>
      </c>
      <c r="E16" s="633">
        <v>43377.771111111113</v>
      </c>
      <c r="F16" s="638">
        <v>43377.771111111113</v>
      </c>
      <c r="G16" s="634">
        <v>0.77083333333333337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08"/>
    </row>
    <row r="17" spans="1:22">
      <c r="A17" s="632">
        <v>13586</v>
      </c>
      <c r="B17" s="632" t="s">
        <v>108</v>
      </c>
      <c r="C17" s="632" t="s">
        <v>108</v>
      </c>
      <c r="D17" s="632" t="s">
        <v>125</v>
      </c>
      <c r="E17" s="633">
        <v>43378.367766203701</v>
      </c>
      <c r="F17" s="638">
        <v>43378.367766203701</v>
      </c>
      <c r="G17" s="634">
        <v>0.36736111111111108</v>
      </c>
      <c r="H17" s="635">
        <v>9.6833333333333336</v>
      </c>
      <c r="I17" s="635">
        <v>8</v>
      </c>
      <c r="J17" s="635" t="s">
        <v>115</v>
      </c>
      <c r="K17" s="635"/>
      <c r="L17" s="635"/>
      <c r="M17" s="635"/>
      <c r="N17" s="635"/>
      <c r="O17" s="539"/>
    </row>
    <row r="18" spans="1:22">
      <c r="A18" s="632">
        <v>13597</v>
      </c>
      <c r="B18" s="632" t="s">
        <v>108</v>
      </c>
      <c r="C18" s="632" t="s">
        <v>108</v>
      </c>
      <c r="D18" s="632" t="s">
        <v>126</v>
      </c>
      <c r="E18" s="633">
        <v>43378.771006944444</v>
      </c>
      <c r="F18" s="638">
        <v>43378.771006944444</v>
      </c>
      <c r="G18" s="634">
        <v>0.77083333333333337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39"/>
    </row>
    <row r="19" spans="1:22">
      <c r="A19" s="632">
        <v>13598</v>
      </c>
      <c r="B19" s="632" t="s">
        <v>108</v>
      </c>
      <c r="C19" s="632" t="s">
        <v>108</v>
      </c>
      <c r="D19" s="632" t="s">
        <v>127</v>
      </c>
      <c r="E19" s="633">
        <v>43378.771053240744</v>
      </c>
      <c r="F19" s="638">
        <v>43378.771053240744</v>
      </c>
      <c r="G19" s="634">
        <v>0.77083333333333337</v>
      </c>
      <c r="H19" s="635" t="s">
        <v>115</v>
      </c>
      <c r="I19" s="635" t="s">
        <v>115</v>
      </c>
      <c r="J19" s="635" t="s">
        <v>115</v>
      </c>
      <c r="K19" s="635">
        <v>0.36666666666666536</v>
      </c>
      <c r="L19" s="635"/>
      <c r="M19" s="635">
        <v>0.36666666666666536</v>
      </c>
      <c r="N19" s="635">
        <v>0</v>
      </c>
      <c r="O19" s="510"/>
    </row>
    <row r="20" spans="1:22">
      <c r="A20" s="632">
        <v>13610</v>
      </c>
      <c r="B20" s="632" t="s">
        <v>108</v>
      </c>
      <c r="C20" s="632" t="s">
        <v>108</v>
      </c>
      <c r="D20" s="632" t="s">
        <v>128</v>
      </c>
      <c r="E20" s="633">
        <v>43378.786423611113</v>
      </c>
      <c r="F20" s="638">
        <v>43378.786423611113</v>
      </c>
      <c r="G20" s="634">
        <v>0.78611111111111109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10"/>
    </row>
    <row r="21" spans="1:22">
      <c r="A21" s="632">
        <v>13619</v>
      </c>
      <c r="B21" s="632" t="s">
        <v>108</v>
      </c>
      <c r="C21" s="632" t="s">
        <v>108</v>
      </c>
      <c r="D21" s="632" t="s">
        <v>125</v>
      </c>
      <c r="E21" s="633">
        <v>43381.368738425925</v>
      </c>
      <c r="F21" s="638">
        <v>43381.368738425925</v>
      </c>
      <c r="G21" s="634">
        <v>0.36805555555555558</v>
      </c>
      <c r="H21" s="635">
        <v>9.6166666666666671</v>
      </c>
      <c r="I21" s="635">
        <v>8</v>
      </c>
      <c r="J21" s="635" t="s">
        <v>115</v>
      </c>
      <c r="K21" s="635"/>
      <c r="L21" s="635"/>
      <c r="M21" s="635"/>
      <c r="N21" s="635"/>
      <c r="O21" s="508"/>
    </row>
    <row r="22" spans="1:22">
      <c r="A22" s="632">
        <v>13629</v>
      </c>
      <c r="B22" s="632" t="s">
        <v>108</v>
      </c>
      <c r="C22" s="632" t="s">
        <v>108</v>
      </c>
      <c r="D22" s="632" t="s">
        <v>126</v>
      </c>
      <c r="E22" s="633">
        <v>43381.769189814811</v>
      </c>
      <c r="F22" s="638">
        <v>43381.769189814811</v>
      </c>
      <c r="G22" s="634">
        <v>0.76874999999999993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508"/>
    </row>
    <row r="23" spans="1:22">
      <c r="A23" s="632">
        <v>13632</v>
      </c>
      <c r="B23" s="632" t="s">
        <v>108</v>
      </c>
      <c r="C23" s="632" t="s">
        <v>108</v>
      </c>
      <c r="D23" s="632" t="s">
        <v>127</v>
      </c>
      <c r="E23" s="633">
        <v>43381.770798611113</v>
      </c>
      <c r="F23" s="638">
        <v>43381.770798611113</v>
      </c>
      <c r="G23" s="634">
        <v>0.77013888888888893</v>
      </c>
      <c r="H23" s="635" t="s">
        <v>115</v>
      </c>
      <c r="I23" s="635" t="s">
        <v>115</v>
      </c>
      <c r="J23" s="635" t="s">
        <v>115</v>
      </c>
      <c r="K23" s="635">
        <v>0.79999999999999982</v>
      </c>
      <c r="L23" s="635"/>
      <c r="M23" s="635">
        <v>0.79999999999999982</v>
      </c>
      <c r="N23" s="635">
        <v>0</v>
      </c>
      <c r="O23" s="508"/>
    </row>
    <row r="24" spans="1:22">
      <c r="A24" s="632">
        <v>13638</v>
      </c>
      <c r="B24" s="632" t="s">
        <v>108</v>
      </c>
      <c r="C24" s="632" t="s">
        <v>108</v>
      </c>
      <c r="D24" s="632" t="s">
        <v>128</v>
      </c>
      <c r="E24" s="633">
        <v>43381.803796296299</v>
      </c>
      <c r="F24" s="638">
        <v>43381.803796296299</v>
      </c>
      <c r="G24" s="634">
        <v>0.80347222222222225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08"/>
    </row>
    <row r="25" spans="1:22">
      <c r="A25" s="632">
        <v>13647</v>
      </c>
      <c r="B25" s="632" t="s">
        <v>108</v>
      </c>
      <c r="C25" s="632" t="s">
        <v>108</v>
      </c>
      <c r="D25" s="632" t="s">
        <v>125</v>
      </c>
      <c r="E25" s="633">
        <v>43382.373171296298</v>
      </c>
      <c r="F25" s="638">
        <v>43382.373171296298</v>
      </c>
      <c r="G25" s="634">
        <v>0.37291666666666662</v>
      </c>
      <c r="H25" s="635">
        <v>9.5500000000000007</v>
      </c>
      <c r="I25" s="635">
        <v>8</v>
      </c>
      <c r="J25" s="635" t="s">
        <v>115</v>
      </c>
      <c r="K25" s="635"/>
      <c r="L25" s="635"/>
      <c r="M25" s="635"/>
      <c r="N25" s="635"/>
      <c r="O25" s="508"/>
    </row>
    <row r="26" spans="1:22">
      <c r="A26" s="632">
        <v>13657</v>
      </c>
      <c r="B26" s="632" t="s">
        <v>108</v>
      </c>
      <c r="C26" s="632" t="s">
        <v>108</v>
      </c>
      <c r="D26" s="632" t="s">
        <v>126</v>
      </c>
      <c r="E26" s="633">
        <v>43382.771469907406</v>
      </c>
      <c r="F26" s="638">
        <v>43382.771469907406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08"/>
    </row>
    <row r="27" spans="1:22" s="63" customFormat="1">
      <c r="A27" s="632"/>
      <c r="B27" s="632"/>
      <c r="C27" s="632"/>
      <c r="D27" s="632" t="s">
        <v>125</v>
      </c>
      <c r="E27" s="633">
        <v>43383.354409722226</v>
      </c>
      <c r="F27" s="638">
        <v>43383.354409722226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157</v>
      </c>
      <c r="P27" s="627"/>
      <c r="Q27" s="345"/>
      <c r="R27" s="372"/>
      <c r="S27" s="372"/>
      <c r="T27" s="373"/>
      <c r="U27" s="373"/>
      <c r="V27" s="373"/>
    </row>
    <row r="28" spans="1:22" s="63" customFormat="1">
      <c r="A28" s="632"/>
      <c r="B28" s="632"/>
      <c r="C28" s="632"/>
      <c r="D28" s="632" t="s">
        <v>126</v>
      </c>
      <c r="E28" s="633">
        <v>43383.75</v>
      </c>
      <c r="F28" s="638">
        <v>43383.771435185183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2">
      <c r="A29" s="632">
        <v>13665</v>
      </c>
      <c r="B29" s="632" t="s">
        <v>108</v>
      </c>
      <c r="C29" s="632" t="s">
        <v>108</v>
      </c>
      <c r="D29" s="632" t="s">
        <v>125</v>
      </c>
      <c r="E29" s="633">
        <v>43384.367199074077</v>
      </c>
      <c r="F29" s="638">
        <v>43384.367199074077</v>
      </c>
      <c r="G29" s="634">
        <v>0.3666666666666667</v>
      </c>
      <c r="H29" s="635">
        <v>9.5499999999999989</v>
      </c>
      <c r="I29" s="635">
        <v>8</v>
      </c>
      <c r="J29" s="635" t="s">
        <v>115</v>
      </c>
      <c r="K29" s="635"/>
      <c r="L29" s="635"/>
      <c r="M29" s="635"/>
      <c r="N29" s="635"/>
      <c r="O29" s="508"/>
    </row>
    <row r="30" spans="1:22">
      <c r="A30" s="632">
        <v>13670</v>
      </c>
      <c r="B30" s="632" t="s">
        <v>109</v>
      </c>
      <c r="C30" s="632" t="s">
        <v>108</v>
      </c>
      <c r="D30" s="632" t="s">
        <v>126</v>
      </c>
      <c r="E30" s="633">
        <v>43384.764918981484</v>
      </c>
      <c r="F30" s="638">
        <v>43384.764918981484</v>
      </c>
      <c r="G30" s="634">
        <v>0.76458333333333339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508"/>
    </row>
    <row r="31" spans="1:22">
      <c r="A31" s="632">
        <v>13675</v>
      </c>
      <c r="B31" s="632" t="s">
        <v>108</v>
      </c>
      <c r="C31" s="632" t="s">
        <v>108</v>
      </c>
      <c r="D31" s="632" t="s">
        <v>127</v>
      </c>
      <c r="E31" s="633">
        <v>43384.769467592596</v>
      </c>
      <c r="F31" s="638">
        <v>43384.769467592596</v>
      </c>
      <c r="G31" s="634">
        <v>0.76944444444444438</v>
      </c>
      <c r="H31" s="635" t="s">
        <v>115</v>
      </c>
      <c r="I31" s="635" t="s">
        <v>115</v>
      </c>
      <c r="J31" s="635" t="s">
        <v>115</v>
      </c>
      <c r="K31" s="635">
        <v>1.0666666666666655</v>
      </c>
      <c r="L31" s="635"/>
      <c r="M31" s="635">
        <v>1.0666666666666655</v>
      </c>
      <c r="N31" s="635">
        <v>0</v>
      </c>
      <c r="O31" s="508"/>
    </row>
    <row r="32" spans="1:22">
      <c r="A32" s="632">
        <v>13688</v>
      </c>
      <c r="B32" s="632" t="s">
        <v>108</v>
      </c>
      <c r="C32" s="632" t="s">
        <v>108</v>
      </c>
      <c r="D32" s="632" t="s">
        <v>128</v>
      </c>
      <c r="E32" s="633">
        <v>43384.813888888886</v>
      </c>
      <c r="F32" s="638">
        <v>43384.813888888886</v>
      </c>
      <c r="G32" s="634">
        <v>0.81388888888888899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508"/>
    </row>
    <row r="33" spans="1:18">
      <c r="A33" s="632">
        <v>13695</v>
      </c>
      <c r="B33" s="632" t="s">
        <v>144</v>
      </c>
      <c r="C33" s="632" t="s">
        <v>108</v>
      </c>
      <c r="D33" s="632" t="s">
        <v>125</v>
      </c>
      <c r="E33" s="633">
        <v>43385.366990740738</v>
      </c>
      <c r="F33" s="638">
        <v>43385.366990740738</v>
      </c>
      <c r="G33" s="634">
        <v>0.3666666666666667</v>
      </c>
      <c r="H33" s="635">
        <v>9.783333333333335</v>
      </c>
      <c r="I33" s="635">
        <v>8</v>
      </c>
      <c r="J33" s="635" t="s">
        <v>115</v>
      </c>
      <c r="K33" s="635"/>
      <c r="L33" s="635"/>
      <c r="M33" s="635"/>
      <c r="N33" s="635"/>
      <c r="O33" s="508"/>
    </row>
    <row r="34" spans="1:18">
      <c r="A34" s="632">
        <v>13706</v>
      </c>
      <c r="B34" s="632" t="s">
        <v>108</v>
      </c>
      <c r="C34" s="632" t="s">
        <v>108</v>
      </c>
      <c r="D34" s="632" t="s">
        <v>126</v>
      </c>
      <c r="E34" s="633">
        <v>43385.774699074071</v>
      </c>
      <c r="F34" s="638">
        <v>43385.774699074071</v>
      </c>
      <c r="G34" s="634">
        <v>0.77430555555555547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10"/>
    </row>
    <row r="35" spans="1:18">
      <c r="A35" s="632">
        <v>13707</v>
      </c>
      <c r="B35" s="632" t="s">
        <v>108</v>
      </c>
      <c r="C35" s="632" t="s">
        <v>108</v>
      </c>
      <c r="D35" s="632" t="s">
        <v>127</v>
      </c>
      <c r="E35" s="633">
        <v>43385.774745370371</v>
      </c>
      <c r="F35" s="638">
        <v>43385.774745370371</v>
      </c>
      <c r="G35" s="634">
        <v>0.77430555555555547</v>
      </c>
      <c r="H35" s="635" t="s">
        <v>115</v>
      </c>
      <c r="I35" s="635" t="s">
        <v>115</v>
      </c>
      <c r="J35" s="635" t="s">
        <v>115</v>
      </c>
      <c r="K35" s="635">
        <v>0.24999999999999911</v>
      </c>
      <c r="L35" s="635"/>
      <c r="M35" s="635">
        <v>0.24999999999999911</v>
      </c>
      <c r="N35" s="635">
        <v>0</v>
      </c>
      <c r="O35" s="539"/>
    </row>
    <row r="36" spans="1:18">
      <c r="A36" s="632">
        <v>13712</v>
      </c>
      <c r="B36" s="632" t="s">
        <v>108</v>
      </c>
      <c r="C36" s="632" t="s">
        <v>108</v>
      </c>
      <c r="D36" s="632" t="s">
        <v>128</v>
      </c>
      <c r="E36" s="633">
        <v>43385.78528935185</v>
      </c>
      <c r="F36" s="638">
        <v>43385.78528935185</v>
      </c>
      <c r="G36" s="634">
        <v>0.78472222222222221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39"/>
    </row>
    <row r="37" spans="1:18">
      <c r="A37" s="632">
        <v>13722</v>
      </c>
      <c r="B37" s="632" t="s">
        <v>108</v>
      </c>
      <c r="C37" s="632" t="s">
        <v>108</v>
      </c>
      <c r="D37" s="632" t="s">
        <v>125</v>
      </c>
      <c r="E37" s="633">
        <v>43388.362187500003</v>
      </c>
      <c r="F37" s="638">
        <v>43388.362187500003</v>
      </c>
      <c r="G37" s="634">
        <v>0.36180555555555555</v>
      </c>
      <c r="H37" s="635">
        <v>9.6166666666666654</v>
      </c>
      <c r="I37" s="635">
        <v>8</v>
      </c>
      <c r="J37" s="635" t="s">
        <v>115</v>
      </c>
      <c r="K37" s="635"/>
      <c r="L37" s="635"/>
      <c r="M37" s="635"/>
      <c r="N37" s="635"/>
      <c r="O37" s="539"/>
    </row>
    <row r="38" spans="1:18">
      <c r="A38" s="632">
        <v>13734</v>
      </c>
      <c r="B38" s="632" t="s">
        <v>109</v>
      </c>
      <c r="C38" s="632" t="s">
        <v>108</v>
      </c>
      <c r="D38" s="632" t="s">
        <v>126</v>
      </c>
      <c r="E38" s="633">
        <v>43388.76284722222</v>
      </c>
      <c r="F38" s="638">
        <v>43388.76284722222</v>
      </c>
      <c r="G38" s="634">
        <v>0.76250000000000007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39"/>
    </row>
    <row r="39" spans="1:18">
      <c r="A39" s="632">
        <v>13735</v>
      </c>
      <c r="B39" s="632" t="s">
        <v>109</v>
      </c>
      <c r="C39" s="632" t="s">
        <v>108</v>
      </c>
      <c r="D39" s="632" t="s">
        <v>127</v>
      </c>
      <c r="E39" s="633">
        <v>43388.767361111109</v>
      </c>
      <c r="F39" s="638">
        <v>43388.767361111109</v>
      </c>
      <c r="G39" s="634">
        <v>0.76736111111111116</v>
      </c>
      <c r="H39" s="635" t="s">
        <v>115</v>
      </c>
      <c r="I39" s="635" t="s">
        <v>115</v>
      </c>
      <c r="J39" s="635" t="s">
        <v>115</v>
      </c>
      <c r="K39" s="635">
        <v>0.91666666666666607</v>
      </c>
      <c r="L39" s="635"/>
      <c r="M39" s="635">
        <v>0.91666666666666607</v>
      </c>
      <c r="N39" s="635">
        <v>0</v>
      </c>
      <c r="O39" s="539"/>
    </row>
    <row r="40" spans="1:18">
      <c r="A40" s="632">
        <v>13744</v>
      </c>
      <c r="B40" s="632" t="s">
        <v>109</v>
      </c>
      <c r="C40" s="632" t="s">
        <v>108</v>
      </c>
      <c r="D40" s="632" t="s">
        <v>128</v>
      </c>
      <c r="E40" s="633">
        <v>43388.805891203701</v>
      </c>
      <c r="F40" s="638">
        <v>43388.805891203701</v>
      </c>
      <c r="G40" s="634">
        <v>0.80555555555555547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39"/>
    </row>
    <row r="41" spans="1:18">
      <c r="A41" s="632">
        <v>13751</v>
      </c>
      <c r="B41" s="632" t="s">
        <v>108</v>
      </c>
      <c r="C41" s="632" t="s">
        <v>108</v>
      </c>
      <c r="D41" s="632" t="s">
        <v>125</v>
      </c>
      <c r="E41" s="633">
        <v>43389.368530092594</v>
      </c>
      <c r="F41" s="638">
        <v>43389.368530092594</v>
      </c>
      <c r="G41" s="634">
        <v>0.36805555555555558</v>
      </c>
      <c r="H41" s="635">
        <v>9.5500000000000007</v>
      </c>
      <c r="I41" s="635">
        <v>8</v>
      </c>
      <c r="J41" s="635" t="s">
        <v>115</v>
      </c>
      <c r="K41" s="635"/>
      <c r="L41" s="635"/>
      <c r="M41" s="635"/>
      <c r="N41" s="635"/>
      <c r="O41" s="505"/>
    </row>
    <row r="42" spans="1:18">
      <c r="A42" s="632">
        <v>13760</v>
      </c>
      <c r="B42" s="632" t="s">
        <v>108</v>
      </c>
      <c r="C42" s="632" t="s">
        <v>108</v>
      </c>
      <c r="D42" s="632" t="s">
        <v>126</v>
      </c>
      <c r="E42" s="633">
        <v>43389.766539351855</v>
      </c>
      <c r="F42" s="638">
        <v>43389.766539351855</v>
      </c>
      <c r="G42" s="634">
        <v>0.76597222222222217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05"/>
    </row>
    <row r="43" spans="1:18">
      <c r="A43" s="632">
        <v>13782</v>
      </c>
      <c r="B43" s="632" t="s">
        <v>108</v>
      </c>
      <c r="C43" s="632" t="s">
        <v>108</v>
      </c>
      <c r="D43" s="632" t="s">
        <v>125</v>
      </c>
      <c r="E43" s="633">
        <v>43390.371863425928</v>
      </c>
      <c r="F43" s="638">
        <v>43390.371863425928</v>
      </c>
      <c r="G43" s="634">
        <v>0.37152777777777773</v>
      </c>
      <c r="H43" s="635">
        <v>9.6833333333333336</v>
      </c>
      <c r="I43" s="635">
        <v>8</v>
      </c>
      <c r="J43" s="635" t="s">
        <v>115</v>
      </c>
      <c r="K43" s="635"/>
      <c r="L43" s="635"/>
      <c r="M43" s="635"/>
      <c r="N43" s="635"/>
      <c r="O43" s="505"/>
    </row>
    <row r="44" spans="1:18">
      <c r="A44" s="632">
        <v>13792</v>
      </c>
      <c r="B44" s="632" t="s">
        <v>108</v>
      </c>
      <c r="C44" s="632" t="s">
        <v>108</v>
      </c>
      <c r="D44" s="632" t="s">
        <v>126</v>
      </c>
      <c r="E44" s="633">
        <v>43390.775509259256</v>
      </c>
      <c r="F44" s="638">
        <v>43390.775509259256</v>
      </c>
      <c r="G44" s="634">
        <v>0.77500000000000002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05"/>
    </row>
    <row r="45" spans="1:18">
      <c r="A45" s="632">
        <v>13810</v>
      </c>
      <c r="B45" s="632" t="s">
        <v>108</v>
      </c>
      <c r="C45" s="632" t="s">
        <v>108</v>
      </c>
      <c r="D45" s="632" t="s">
        <v>125</v>
      </c>
      <c r="E45" s="633">
        <v>43391.366608796299</v>
      </c>
      <c r="F45" s="638">
        <v>43391.366608796299</v>
      </c>
      <c r="G45" s="634">
        <v>0.3659722222222222</v>
      </c>
      <c r="H45" s="635">
        <v>9.7000000000000011</v>
      </c>
      <c r="I45" s="635">
        <v>8</v>
      </c>
      <c r="J45" s="635" t="s">
        <v>115</v>
      </c>
      <c r="K45" s="635"/>
      <c r="L45" s="635"/>
      <c r="M45" s="635"/>
      <c r="N45" s="635"/>
      <c r="O45" s="508"/>
    </row>
    <row r="46" spans="1:18">
      <c r="A46" s="632">
        <v>13819</v>
      </c>
      <c r="B46" s="632" t="s">
        <v>109</v>
      </c>
      <c r="C46" s="632" t="s">
        <v>108</v>
      </c>
      <c r="D46" s="632" t="s">
        <v>126</v>
      </c>
      <c r="E46" s="633">
        <v>43391.770520833335</v>
      </c>
      <c r="F46" s="638">
        <v>43391.770520833335</v>
      </c>
      <c r="G46" s="634">
        <v>0.77013888888888893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08"/>
    </row>
    <row r="47" spans="1:18" s="562" customFormat="1">
      <c r="A47" s="632">
        <v>13828</v>
      </c>
      <c r="B47" s="632" t="s">
        <v>108</v>
      </c>
      <c r="C47" s="632" t="s">
        <v>108</v>
      </c>
      <c r="D47" s="632" t="s">
        <v>125</v>
      </c>
      <c r="E47" s="633">
        <v>43392.36509259259</v>
      </c>
      <c r="F47" s="638">
        <v>43392.36509259259</v>
      </c>
      <c r="G47" s="634">
        <v>0.36458333333333331</v>
      </c>
      <c r="H47" s="635">
        <v>9.4833333333333325</v>
      </c>
      <c r="I47" s="635">
        <v>7.9833333333333325</v>
      </c>
      <c r="J47" s="635">
        <v>1.6666666666667496E-2</v>
      </c>
      <c r="K47" s="635"/>
      <c r="L47" s="635"/>
      <c r="M47" s="635"/>
      <c r="N47" s="635"/>
      <c r="O47" s="539"/>
      <c r="P47" s="444"/>
      <c r="Q47" s="444"/>
      <c r="R47" s="444"/>
    </row>
    <row r="48" spans="1:18" s="562" customFormat="1">
      <c r="A48" s="632">
        <v>13839</v>
      </c>
      <c r="B48" s="632" t="s">
        <v>109</v>
      </c>
      <c r="C48" s="632" t="s">
        <v>108</v>
      </c>
      <c r="D48" s="632" t="s">
        <v>126</v>
      </c>
      <c r="E48" s="633">
        <v>43392.759826388887</v>
      </c>
      <c r="F48" s="638">
        <v>43392.759826388887</v>
      </c>
      <c r="G48" s="634">
        <v>0.7597222222222223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39"/>
      <c r="P48" s="444"/>
      <c r="Q48" s="444"/>
      <c r="R48" s="444"/>
    </row>
    <row r="49" spans="1:15">
      <c r="A49" s="632">
        <v>13847</v>
      </c>
      <c r="B49" s="632" t="s">
        <v>108</v>
      </c>
      <c r="C49" s="632" t="s">
        <v>108</v>
      </c>
      <c r="D49" s="632" t="s">
        <v>125</v>
      </c>
      <c r="E49" s="633">
        <v>43395.363483796296</v>
      </c>
      <c r="F49" s="638">
        <v>43395.363483796296</v>
      </c>
      <c r="G49" s="634">
        <v>0.36319444444444443</v>
      </c>
      <c r="H49" s="635">
        <v>9.6499999999999986</v>
      </c>
      <c r="I49" s="635">
        <v>8</v>
      </c>
      <c r="J49" s="635" t="s">
        <v>115</v>
      </c>
      <c r="K49" s="635"/>
      <c r="L49" s="635"/>
      <c r="M49" s="635"/>
      <c r="N49" s="635"/>
      <c r="O49" s="539"/>
    </row>
    <row r="50" spans="1:15">
      <c r="A50" s="632">
        <v>13855</v>
      </c>
      <c r="B50" s="632" t="s">
        <v>108</v>
      </c>
      <c r="C50" s="632" t="s">
        <v>108</v>
      </c>
      <c r="D50" s="632" t="s">
        <v>126</v>
      </c>
      <c r="E50" s="633">
        <v>43395.7655787037</v>
      </c>
      <c r="F50" s="638">
        <v>43395.7655787037</v>
      </c>
      <c r="G50" s="634">
        <v>0.76527777777777783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39"/>
    </row>
    <row r="51" spans="1:15">
      <c r="A51" s="632">
        <v>13865</v>
      </c>
      <c r="B51" s="632" t="s">
        <v>108</v>
      </c>
      <c r="C51" s="632" t="s">
        <v>108</v>
      </c>
      <c r="D51" s="632" t="s">
        <v>127</v>
      </c>
      <c r="E51" s="633">
        <v>43395.772245370368</v>
      </c>
      <c r="F51" s="638">
        <v>43395.772245370368</v>
      </c>
      <c r="G51" s="634">
        <v>0.77222222222222225</v>
      </c>
      <c r="H51" s="635" t="s">
        <v>115</v>
      </c>
      <c r="I51" s="635" t="s">
        <v>115</v>
      </c>
      <c r="J51" s="635" t="s">
        <v>115</v>
      </c>
      <c r="K51" s="635">
        <v>0.83333333333333304</v>
      </c>
      <c r="L51" s="635"/>
      <c r="M51" s="635">
        <v>0.83333333333333304</v>
      </c>
      <c r="N51" s="635">
        <v>0</v>
      </c>
      <c r="O51" s="539"/>
    </row>
    <row r="52" spans="1:15">
      <c r="A52" s="632">
        <v>13870</v>
      </c>
      <c r="B52" s="632" t="s">
        <v>109</v>
      </c>
      <c r="C52" s="632" t="s">
        <v>108</v>
      </c>
      <c r="D52" s="632" t="s">
        <v>128</v>
      </c>
      <c r="E52" s="633">
        <v>43395.806967592594</v>
      </c>
      <c r="F52" s="638">
        <v>43395.806967592594</v>
      </c>
      <c r="G52" s="634">
        <v>0.80694444444444446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39"/>
    </row>
    <row r="53" spans="1:15">
      <c r="A53" s="632">
        <v>13884</v>
      </c>
      <c r="B53" s="632" t="s">
        <v>108</v>
      </c>
      <c r="C53" s="632" t="s">
        <v>108</v>
      </c>
      <c r="D53" s="632" t="s">
        <v>125</v>
      </c>
      <c r="E53" s="633">
        <v>43396.371307870373</v>
      </c>
      <c r="F53" s="638">
        <v>43396.371307870373</v>
      </c>
      <c r="G53" s="634">
        <v>0.37083333333333335</v>
      </c>
      <c r="H53" s="635">
        <v>9.6166666666666671</v>
      </c>
      <c r="I53" s="635">
        <v>8</v>
      </c>
      <c r="J53" s="635" t="s">
        <v>115</v>
      </c>
      <c r="K53" s="635"/>
      <c r="L53" s="635"/>
      <c r="M53" s="635"/>
      <c r="N53" s="635"/>
      <c r="O53" s="539"/>
    </row>
    <row r="54" spans="1:15">
      <c r="A54" s="632">
        <v>13901</v>
      </c>
      <c r="B54" s="632" t="s">
        <v>109</v>
      </c>
      <c r="C54" s="632" t="s">
        <v>108</v>
      </c>
      <c r="D54" s="632" t="s">
        <v>126</v>
      </c>
      <c r="E54" s="633">
        <v>43396.771562499998</v>
      </c>
      <c r="F54" s="638">
        <v>43396.771562499998</v>
      </c>
      <c r="G54" s="634">
        <v>0.7715277777777777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39"/>
    </row>
    <row r="55" spans="1:15">
      <c r="A55" s="632">
        <v>13902</v>
      </c>
      <c r="B55" s="632" t="s">
        <v>109</v>
      </c>
      <c r="C55" s="632" t="s">
        <v>108</v>
      </c>
      <c r="D55" s="632" t="s">
        <v>127</v>
      </c>
      <c r="E55" s="633">
        <v>43396.771585648145</v>
      </c>
      <c r="F55" s="638">
        <v>43396.771585648145</v>
      </c>
      <c r="G55" s="634">
        <v>0.7715277777777777</v>
      </c>
      <c r="H55" s="635" t="s">
        <v>115</v>
      </c>
      <c r="I55" s="635" t="s">
        <v>115</v>
      </c>
      <c r="J55" s="635" t="s">
        <v>115</v>
      </c>
      <c r="K55" s="635">
        <v>3.083333333333333</v>
      </c>
      <c r="L55" s="635"/>
      <c r="M55" s="635">
        <v>2</v>
      </c>
      <c r="N55" s="635">
        <v>1.083333333333333</v>
      </c>
      <c r="O55" s="539"/>
    </row>
    <row r="56" spans="1:15">
      <c r="A56" s="632">
        <v>13910</v>
      </c>
      <c r="B56" s="632" t="s">
        <v>108</v>
      </c>
      <c r="C56" s="632" t="s">
        <v>108</v>
      </c>
      <c r="D56" s="632" t="s">
        <v>128</v>
      </c>
      <c r="E56" s="633">
        <v>43396.900462962964</v>
      </c>
      <c r="F56" s="638">
        <v>43396.900462962964</v>
      </c>
      <c r="G56" s="634">
        <v>0.9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539"/>
    </row>
    <row r="57" spans="1:15">
      <c r="A57" s="632">
        <v>13918</v>
      </c>
      <c r="B57" s="632" t="s">
        <v>108</v>
      </c>
      <c r="C57" s="632" t="s">
        <v>108</v>
      </c>
      <c r="D57" s="585" t="s">
        <v>141</v>
      </c>
      <c r="E57" s="534">
        <v>43397.389606481483</v>
      </c>
      <c r="F57" s="582">
        <v>43397.389606481483</v>
      </c>
      <c r="G57" s="538">
        <v>0.38958333333333334</v>
      </c>
      <c r="H57" s="521">
        <v>9.25</v>
      </c>
      <c r="I57" s="521">
        <v>7.5</v>
      </c>
      <c r="J57" s="521">
        <v>0.5</v>
      </c>
      <c r="K57" s="521"/>
      <c r="L57" s="521"/>
      <c r="M57" s="521"/>
      <c r="N57" s="521"/>
      <c r="O57" s="648" t="s">
        <v>160</v>
      </c>
    </row>
    <row r="58" spans="1:15">
      <c r="A58" s="632">
        <v>13925</v>
      </c>
      <c r="B58" s="632" t="s">
        <v>109</v>
      </c>
      <c r="C58" s="632" t="s">
        <v>108</v>
      </c>
      <c r="D58" s="632" t="s">
        <v>126</v>
      </c>
      <c r="E58" s="633">
        <v>43397.77516203704</v>
      </c>
      <c r="F58" s="638">
        <v>43397.77516203704</v>
      </c>
      <c r="G58" s="634">
        <v>0.77500000000000002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39"/>
    </row>
    <row r="59" spans="1:15">
      <c r="A59" s="632">
        <v>13926</v>
      </c>
      <c r="B59" s="632" t="s">
        <v>109</v>
      </c>
      <c r="C59" s="632" t="s">
        <v>108</v>
      </c>
      <c r="D59" s="632" t="s">
        <v>127</v>
      </c>
      <c r="E59" s="633">
        <v>43397.775208333333</v>
      </c>
      <c r="F59" s="638">
        <v>43397.775208333333</v>
      </c>
      <c r="G59" s="634">
        <v>0.77500000000000002</v>
      </c>
      <c r="H59" s="635" t="s">
        <v>115</v>
      </c>
      <c r="I59" s="635" t="s">
        <v>115</v>
      </c>
      <c r="J59" s="635" t="s">
        <v>115</v>
      </c>
      <c r="K59" s="635">
        <v>1.133333333333332</v>
      </c>
      <c r="L59" s="635"/>
      <c r="M59" s="635">
        <v>1.133333333333332</v>
      </c>
      <c r="N59" s="635">
        <v>0</v>
      </c>
      <c r="O59" s="539"/>
    </row>
    <row r="60" spans="1:15">
      <c r="A60" s="632">
        <v>13932</v>
      </c>
      <c r="B60" s="632" t="s">
        <v>109</v>
      </c>
      <c r="C60" s="632" t="s">
        <v>108</v>
      </c>
      <c r="D60" s="632" t="s">
        <v>128</v>
      </c>
      <c r="E60" s="633">
        <v>43397.822662037041</v>
      </c>
      <c r="F60" s="638">
        <v>43397.822662037041</v>
      </c>
      <c r="G60" s="634">
        <v>0.8222222222222223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39"/>
    </row>
    <row r="61" spans="1:15">
      <c r="A61" s="632">
        <v>13938</v>
      </c>
      <c r="B61" s="632" t="s">
        <v>108</v>
      </c>
      <c r="C61" s="632" t="s">
        <v>108</v>
      </c>
      <c r="D61" s="632" t="s">
        <v>125</v>
      </c>
      <c r="E61" s="633">
        <v>43398.368263888886</v>
      </c>
      <c r="F61" s="638">
        <v>43398.368263888886</v>
      </c>
      <c r="G61" s="634">
        <v>0.36805555555555558</v>
      </c>
      <c r="H61" s="635">
        <v>9.65</v>
      </c>
      <c r="I61" s="635">
        <v>8</v>
      </c>
      <c r="J61" s="635" t="s">
        <v>115</v>
      </c>
      <c r="K61" s="635"/>
      <c r="L61" s="635"/>
      <c r="M61" s="635"/>
      <c r="N61" s="635"/>
      <c r="O61" s="539"/>
    </row>
    <row r="62" spans="1:15">
      <c r="A62" s="632">
        <v>13946</v>
      </c>
      <c r="B62" s="632" t="s">
        <v>109</v>
      </c>
      <c r="C62" s="632" t="s">
        <v>108</v>
      </c>
      <c r="D62" s="632" t="s">
        <v>126</v>
      </c>
      <c r="E62" s="633">
        <v>43398.770671296297</v>
      </c>
      <c r="F62" s="638">
        <v>43398.770671296297</v>
      </c>
      <c r="G62" s="634">
        <v>0.77013888888888893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539"/>
    </row>
    <row r="63" spans="1:15">
      <c r="A63" s="632">
        <v>13965</v>
      </c>
      <c r="B63" s="632" t="s">
        <v>108</v>
      </c>
      <c r="C63" s="632" t="s">
        <v>108</v>
      </c>
      <c r="D63" s="632" t="s">
        <v>125</v>
      </c>
      <c r="E63" s="633">
        <v>43399.371215277781</v>
      </c>
      <c r="F63" s="638">
        <v>43399.371215277781</v>
      </c>
      <c r="G63" s="634">
        <v>0.37083333333333335</v>
      </c>
      <c r="H63" s="635">
        <v>9.5166666666666675</v>
      </c>
      <c r="I63" s="635">
        <v>8</v>
      </c>
      <c r="J63" s="635" t="s">
        <v>115</v>
      </c>
      <c r="K63" s="635"/>
      <c r="L63" s="635"/>
      <c r="M63" s="635"/>
      <c r="N63" s="635"/>
      <c r="O63" s="539"/>
    </row>
    <row r="64" spans="1:15">
      <c r="A64" s="632">
        <v>13967</v>
      </c>
      <c r="B64" s="632" t="s">
        <v>108</v>
      </c>
      <c r="C64" s="632" t="s">
        <v>108</v>
      </c>
      <c r="D64" s="632" t="s">
        <v>126</v>
      </c>
      <c r="E64" s="633">
        <v>43399.767604166664</v>
      </c>
      <c r="F64" s="638">
        <v>43399.767604166664</v>
      </c>
      <c r="G64" s="634">
        <v>0.76736111111111116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39"/>
    </row>
    <row r="65" spans="1:18">
      <c r="A65" s="632">
        <v>13970</v>
      </c>
      <c r="B65" s="632" t="s">
        <v>108</v>
      </c>
      <c r="C65" s="632" t="s">
        <v>108</v>
      </c>
      <c r="D65" s="632" t="s">
        <v>127</v>
      </c>
      <c r="E65" s="633">
        <v>43399.771817129629</v>
      </c>
      <c r="F65" s="638">
        <v>43399.771817129629</v>
      </c>
      <c r="G65" s="634">
        <v>0.7715277777777777</v>
      </c>
      <c r="H65" s="635" t="s">
        <v>115</v>
      </c>
      <c r="I65" s="635" t="s">
        <v>115</v>
      </c>
      <c r="J65" s="635" t="s">
        <v>115</v>
      </c>
      <c r="K65" s="635">
        <v>0.18333333333333268</v>
      </c>
      <c r="L65" s="635"/>
      <c r="M65" s="635">
        <v>0.18333333333333268</v>
      </c>
      <c r="N65" s="635">
        <v>0</v>
      </c>
      <c r="O65" s="539"/>
    </row>
    <row r="66" spans="1:18">
      <c r="A66" s="632">
        <v>13974</v>
      </c>
      <c r="B66" s="632" t="s">
        <v>108</v>
      </c>
      <c r="C66" s="632" t="s">
        <v>108</v>
      </c>
      <c r="D66" s="632" t="s">
        <v>128</v>
      </c>
      <c r="E66" s="633">
        <v>43399.779780092591</v>
      </c>
      <c r="F66" s="638">
        <v>43399.779780092591</v>
      </c>
      <c r="G66" s="634">
        <v>0.77916666666666667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39"/>
    </row>
    <row r="67" spans="1:18">
      <c r="A67" s="632">
        <v>13982</v>
      </c>
      <c r="B67" s="632" t="s">
        <v>108</v>
      </c>
      <c r="C67" s="632" t="s">
        <v>108</v>
      </c>
      <c r="D67" s="632" t="s">
        <v>125</v>
      </c>
      <c r="E67" s="633">
        <v>43402.366493055553</v>
      </c>
      <c r="F67" s="638">
        <v>43402.366493055553</v>
      </c>
      <c r="G67" s="634">
        <v>0.3659722222222222</v>
      </c>
      <c r="H67" s="635">
        <v>9.8833333333333346</v>
      </c>
      <c r="I67" s="635">
        <v>8</v>
      </c>
      <c r="J67" s="635" t="s">
        <v>115</v>
      </c>
      <c r="K67" s="635"/>
      <c r="L67" s="635"/>
      <c r="M67" s="635"/>
      <c r="N67" s="635"/>
      <c r="O67" s="539"/>
    </row>
    <row r="68" spans="1:18">
      <c r="A68" s="632">
        <v>13997</v>
      </c>
      <c r="B68" s="632" t="s">
        <v>108</v>
      </c>
      <c r="C68" s="632" t="s">
        <v>108</v>
      </c>
      <c r="D68" s="632" t="s">
        <v>126</v>
      </c>
      <c r="E68" s="633">
        <v>43402.777905092589</v>
      </c>
      <c r="F68" s="638">
        <v>43402.777905092589</v>
      </c>
      <c r="G68" s="634">
        <v>0.77777777777777779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39"/>
    </row>
    <row r="69" spans="1:18">
      <c r="A69" s="632">
        <v>14009</v>
      </c>
      <c r="B69" s="632" t="s">
        <v>108</v>
      </c>
      <c r="C69" s="632" t="s">
        <v>108</v>
      </c>
      <c r="D69" s="632" t="s">
        <v>125</v>
      </c>
      <c r="E69" s="633">
        <v>43403.367025462961</v>
      </c>
      <c r="F69" s="638">
        <v>43403.367025462961</v>
      </c>
      <c r="G69" s="634">
        <v>0.3666666666666667</v>
      </c>
      <c r="H69" s="635">
        <v>9.6500000000000021</v>
      </c>
      <c r="I69" s="635">
        <v>8</v>
      </c>
      <c r="J69" s="635" t="s">
        <v>115</v>
      </c>
      <c r="K69" s="635"/>
      <c r="L69" s="635"/>
      <c r="M69" s="635"/>
      <c r="N69" s="635"/>
      <c r="O69" s="539"/>
    </row>
    <row r="70" spans="1:18">
      <c r="A70" s="632">
        <v>14021</v>
      </c>
      <c r="B70" s="632" t="s">
        <v>109</v>
      </c>
      <c r="C70" s="632" t="s">
        <v>108</v>
      </c>
      <c r="D70" s="632" t="s">
        <v>126</v>
      </c>
      <c r="E70" s="633">
        <v>43403.768761574072</v>
      </c>
      <c r="F70" s="638">
        <v>43403.768761574072</v>
      </c>
      <c r="G70" s="634">
        <v>0.76874999999999993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39"/>
    </row>
    <row r="71" spans="1:18">
      <c r="A71" s="632">
        <v>14038</v>
      </c>
      <c r="B71" s="632" t="s">
        <v>108</v>
      </c>
      <c r="C71" s="632" t="s">
        <v>108</v>
      </c>
      <c r="D71" s="632" t="s">
        <v>125</v>
      </c>
      <c r="E71" s="633">
        <v>43404.368796296294</v>
      </c>
      <c r="F71" s="638">
        <v>43404.368796296294</v>
      </c>
      <c r="G71" s="634">
        <v>0.36874999999999997</v>
      </c>
      <c r="H71" s="635">
        <v>9.5833333333333339</v>
      </c>
      <c r="I71" s="635">
        <v>8</v>
      </c>
      <c r="J71" s="635" t="s">
        <v>115</v>
      </c>
      <c r="K71" s="635"/>
      <c r="L71" s="635"/>
      <c r="M71" s="635"/>
      <c r="N71" s="635"/>
      <c r="O71" s="512"/>
    </row>
    <row r="72" spans="1:18">
      <c r="A72" s="632">
        <v>14041</v>
      </c>
      <c r="B72" s="632" t="s">
        <v>108</v>
      </c>
      <c r="C72" s="632" t="s">
        <v>108</v>
      </c>
      <c r="D72" s="632" t="s">
        <v>126</v>
      </c>
      <c r="E72" s="633">
        <v>43404.768171296295</v>
      </c>
      <c r="F72" s="638">
        <v>43404.768171296295</v>
      </c>
      <c r="G72" s="634">
        <v>0.7680555555555556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12"/>
    </row>
    <row r="73" spans="1:18" s="398" customFormat="1">
      <c r="A73" s="478"/>
      <c r="B73" s="479"/>
      <c r="C73" s="479"/>
      <c r="D73" s="478"/>
      <c r="E73" s="479"/>
      <c r="F73" s="479"/>
      <c r="G73" s="478"/>
      <c r="H73" s="479"/>
      <c r="I73" s="479"/>
      <c r="J73" s="478"/>
      <c r="K73" s="479"/>
      <c r="L73" s="479"/>
      <c r="M73" s="478"/>
      <c r="N73" s="479"/>
      <c r="O73" s="479"/>
      <c r="P73" s="444"/>
      <c r="Q73" s="444"/>
      <c r="R73" s="444"/>
    </row>
    <row r="74" spans="1:18" s="398" customFormat="1">
      <c r="A74" s="478"/>
      <c r="B74" s="479"/>
      <c r="C74" s="479"/>
      <c r="D74" s="555" t="s">
        <v>36</v>
      </c>
      <c r="E74" s="554"/>
      <c r="F74" s="556"/>
      <c r="G74" s="557"/>
      <c r="H74" s="559"/>
      <c r="I74" s="558"/>
      <c r="J74" s="558"/>
      <c r="K74" s="479"/>
      <c r="L74" s="479"/>
      <c r="M74" s="478"/>
      <c r="N74" s="479"/>
      <c r="O74" s="479"/>
      <c r="P74" s="444"/>
      <c r="Q74" s="444"/>
      <c r="R74" s="444"/>
    </row>
    <row r="75" spans="1:18">
      <c r="A75" s="491"/>
      <c r="B75" s="492"/>
      <c r="C75" s="492"/>
      <c r="D75" s="555" t="s">
        <v>35</v>
      </c>
      <c r="E75" s="554"/>
      <c r="F75" s="556"/>
      <c r="G75" s="557"/>
      <c r="H75" s="559"/>
      <c r="I75" s="558"/>
      <c r="J75" s="558"/>
      <c r="K75" s="492"/>
      <c r="L75" s="492"/>
      <c r="M75" s="491"/>
      <c r="N75" s="492"/>
      <c r="O75" s="492"/>
    </row>
    <row r="76" spans="1:18">
      <c r="A76" s="478"/>
      <c r="B76" s="479"/>
      <c r="C76" s="479"/>
      <c r="D76" s="560" t="s">
        <v>63</v>
      </c>
      <c r="E76" s="554"/>
      <c r="F76" s="556"/>
      <c r="G76" s="557"/>
      <c r="H76" s="559"/>
      <c r="I76" s="558"/>
      <c r="J76" s="558"/>
      <c r="K76" s="479"/>
      <c r="L76" s="479"/>
      <c r="M76" s="478"/>
      <c r="N76" s="479"/>
      <c r="O76" s="479"/>
    </row>
    <row r="77" spans="1:18">
      <c r="A77" s="491"/>
      <c r="B77" s="492"/>
      <c r="C77" s="492"/>
      <c r="D77" s="553" t="s">
        <v>135</v>
      </c>
      <c r="E77" s="554"/>
      <c r="F77" s="556"/>
      <c r="G77" s="557"/>
      <c r="H77" s="559"/>
      <c r="I77" s="558"/>
      <c r="J77" s="558"/>
      <c r="K77" s="492"/>
      <c r="L77" s="492"/>
      <c r="M77" s="491"/>
      <c r="N77" s="492"/>
      <c r="O77" s="492"/>
    </row>
    <row r="78" spans="1:18">
      <c r="A78" s="478"/>
      <c r="B78" s="479"/>
      <c r="C78" s="479"/>
      <c r="D78" s="553" t="s">
        <v>64</v>
      </c>
      <c r="E78" s="561"/>
      <c r="F78" s="556"/>
      <c r="G78" s="557"/>
      <c r="H78" s="559"/>
      <c r="I78" s="558"/>
      <c r="J78" s="558"/>
      <c r="K78" s="479"/>
      <c r="L78" s="479"/>
      <c r="M78" s="478"/>
      <c r="N78" s="479"/>
      <c r="O78" s="479"/>
    </row>
    <row r="79" spans="1:18">
      <c r="A79" s="491"/>
      <c r="B79" s="492"/>
      <c r="C79" s="492"/>
      <c r="D79" s="553" t="s">
        <v>68</v>
      </c>
      <c r="E79" s="561"/>
      <c r="F79" s="556"/>
      <c r="G79" s="557"/>
      <c r="H79" s="559"/>
      <c r="I79" s="558"/>
      <c r="J79" s="558"/>
      <c r="K79" s="492"/>
      <c r="L79" s="492"/>
      <c r="M79" s="491"/>
      <c r="N79" s="492"/>
      <c r="O79" s="492"/>
    </row>
    <row r="80" spans="1:18">
      <c r="A80" s="478"/>
      <c r="B80" s="479"/>
      <c r="C80" s="479"/>
      <c r="D80" s="553" t="s">
        <v>69</v>
      </c>
      <c r="E80" s="561"/>
      <c r="F80" s="556"/>
      <c r="G80" s="557"/>
      <c r="H80" s="559"/>
      <c r="I80" s="558"/>
      <c r="J80" s="558"/>
      <c r="K80" s="479"/>
      <c r="L80" s="479"/>
      <c r="M80" s="478"/>
      <c r="N80" s="479"/>
      <c r="O80" s="479"/>
    </row>
    <row r="81" spans="1:38">
      <c r="A81" s="491"/>
      <c r="B81" s="492"/>
      <c r="C81" s="492"/>
      <c r="D81" s="553" t="s">
        <v>116</v>
      </c>
      <c r="E81" s="561"/>
      <c r="F81" s="556"/>
      <c r="G81" s="557"/>
      <c r="H81" s="559"/>
      <c r="I81" s="558"/>
      <c r="J81" s="558"/>
      <c r="K81" s="492"/>
      <c r="L81" s="492"/>
      <c r="M81" s="491"/>
      <c r="N81" s="492"/>
      <c r="O81" s="492"/>
      <c r="X81" s="143"/>
      <c r="Y81" s="143"/>
      <c r="Z81" s="474"/>
      <c r="AB81" s="3"/>
      <c r="AC81" s="16"/>
      <c r="AD81" s="17"/>
      <c r="AE81" s="51"/>
      <c r="AF81" s="21"/>
      <c r="AG81" s="21"/>
      <c r="AH81" s="22"/>
      <c r="AI81" s="22"/>
      <c r="AJ81" s="22"/>
      <c r="AK81" s="22"/>
      <c r="AL81" s="454"/>
    </row>
    <row r="82" spans="1:38">
      <c r="A82" s="478"/>
      <c r="B82" s="479"/>
      <c r="C82" s="479"/>
      <c r="D82" s="553" t="s">
        <v>136</v>
      </c>
      <c r="E82" s="561"/>
      <c r="F82" s="556"/>
      <c r="G82" s="557"/>
      <c r="H82" s="559"/>
      <c r="I82" s="558"/>
      <c r="J82" s="558"/>
      <c r="K82" s="479"/>
      <c r="L82" s="479"/>
      <c r="M82" s="478"/>
      <c r="N82" s="479"/>
      <c r="O82" s="479"/>
      <c r="P82" s="22"/>
      <c r="Q82" s="22"/>
      <c r="R82" s="454"/>
      <c r="X82" s="143"/>
      <c r="Y82" s="143"/>
      <c r="Z82" s="474"/>
      <c r="AB82" s="3"/>
      <c r="AC82" s="16"/>
      <c r="AD82" s="17"/>
      <c r="AE82" s="51"/>
      <c r="AF82" s="21"/>
      <c r="AG82" s="21"/>
      <c r="AH82" s="22"/>
      <c r="AI82" s="22"/>
      <c r="AJ82" s="22"/>
      <c r="AK82" s="22"/>
      <c r="AL82" s="454"/>
    </row>
    <row r="83" spans="1:38">
      <c r="A83" s="491"/>
      <c r="B83" s="492"/>
      <c r="C83" s="492"/>
      <c r="D83" s="491"/>
      <c r="E83" s="492"/>
      <c r="F83" s="492"/>
      <c r="G83" s="491"/>
      <c r="H83" s="492"/>
      <c r="I83" s="492"/>
      <c r="J83" s="491"/>
      <c r="K83" s="492"/>
      <c r="L83" s="492"/>
      <c r="M83" s="491"/>
      <c r="N83" s="492"/>
      <c r="O83" s="492"/>
      <c r="P83" s="22"/>
      <c r="Q83" s="22"/>
      <c r="R83" s="454"/>
      <c r="X83" s="143"/>
      <c r="Y83" s="143"/>
      <c r="Z83" s="474"/>
      <c r="AB83" s="3"/>
      <c r="AC83" s="16"/>
      <c r="AD83" s="17"/>
      <c r="AE83" s="51"/>
      <c r="AF83" s="21"/>
      <c r="AG83" s="21"/>
      <c r="AH83" s="22"/>
      <c r="AI83" s="22"/>
      <c r="AJ83" s="22"/>
      <c r="AK83" s="22"/>
      <c r="AL83" s="454"/>
    </row>
    <row r="84" spans="1:38">
      <c r="A84" s="478"/>
      <c r="B84" s="479"/>
      <c r="C84" s="479"/>
      <c r="D84" s="478"/>
      <c r="E84" s="479"/>
      <c r="F84" s="479"/>
      <c r="G84" s="478"/>
      <c r="H84" s="479"/>
      <c r="I84" s="479"/>
      <c r="J84" s="478"/>
      <c r="K84" s="479"/>
      <c r="L84" s="479"/>
      <c r="M84" s="478"/>
      <c r="N84" s="479"/>
      <c r="O84" s="479"/>
      <c r="P84" s="22"/>
      <c r="Q84" s="22"/>
      <c r="R84" s="454"/>
      <c r="X84" s="143"/>
      <c r="Y84" s="143"/>
      <c r="Z84" s="474"/>
      <c r="AB84" s="3"/>
      <c r="AC84" s="16"/>
      <c r="AD84" s="17"/>
      <c r="AE84" s="51"/>
      <c r="AF84" s="21"/>
      <c r="AG84" s="21"/>
      <c r="AH84" s="22"/>
      <c r="AI84" s="22"/>
      <c r="AJ84" s="22"/>
      <c r="AK84" s="22"/>
      <c r="AL84" s="454"/>
    </row>
    <row r="85" spans="1:38">
      <c r="A85" s="491"/>
      <c r="B85" s="492"/>
      <c r="C85" s="492"/>
      <c r="D85" s="491"/>
      <c r="E85" s="492"/>
      <c r="F85" s="492"/>
      <c r="G85" s="491"/>
      <c r="H85" s="492"/>
      <c r="I85" s="492"/>
      <c r="J85" s="491"/>
      <c r="K85" s="492"/>
      <c r="L85" s="492"/>
      <c r="M85" s="491"/>
      <c r="N85" s="492"/>
      <c r="O85" s="492"/>
      <c r="P85" s="22"/>
      <c r="Q85" s="22"/>
      <c r="R85" s="454"/>
      <c r="X85" s="143"/>
      <c r="Y85" s="143"/>
      <c r="Z85" s="474"/>
      <c r="AB85" s="336"/>
      <c r="AC85" s="373"/>
      <c r="AD85" s="376"/>
      <c r="AE85" s="377"/>
      <c r="AF85" s="378"/>
      <c r="AG85" s="378"/>
      <c r="AH85" s="379"/>
      <c r="AI85" s="379"/>
      <c r="AJ85" s="379"/>
      <c r="AK85" s="379"/>
      <c r="AL85" s="454"/>
    </row>
    <row r="86" spans="1:38">
      <c r="A86" s="478"/>
      <c r="B86" s="479"/>
      <c r="C86" s="479"/>
      <c r="D86" s="478"/>
      <c r="E86" s="479"/>
      <c r="F86" s="479"/>
      <c r="G86" s="478"/>
      <c r="H86" s="479"/>
      <c r="I86" s="479"/>
      <c r="J86" s="478"/>
      <c r="K86" s="479"/>
      <c r="L86" s="479"/>
      <c r="M86" s="478"/>
      <c r="N86" s="479"/>
      <c r="O86" s="479"/>
      <c r="P86" s="379"/>
      <c r="Q86" s="379"/>
      <c r="R86" s="454"/>
      <c r="X86" s="143"/>
      <c r="Y86" s="143"/>
      <c r="Z86" s="474"/>
      <c r="AB86" s="336"/>
      <c r="AC86" s="373"/>
      <c r="AD86" s="376"/>
      <c r="AE86" s="377"/>
      <c r="AF86" s="378"/>
      <c r="AG86" s="378"/>
      <c r="AH86" s="379"/>
      <c r="AI86" s="379"/>
      <c r="AJ86" s="379"/>
      <c r="AK86" s="379"/>
      <c r="AL86" s="454"/>
    </row>
    <row r="87" spans="1:38">
      <c r="A87" s="491"/>
      <c r="B87" s="492"/>
      <c r="C87" s="492"/>
      <c r="D87" s="491"/>
      <c r="E87" s="492"/>
      <c r="F87" s="492"/>
      <c r="G87" s="491"/>
      <c r="H87" s="492"/>
      <c r="I87" s="492"/>
      <c r="J87" s="491"/>
      <c r="K87" s="492"/>
      <c r="L87" s="492"/>
      <c r="M87" s="491"/>
      <c r="N87" s="492"/>
      <c r="O87" s="492"/>
      <c r="P87" s="379"/>
      <c r="Q87" s="379"/>
      <c r="R87" s="454"/>
      <c r="X87" s="143"/>
      <c r="Y87" s="143"/>
      <c r="Z87" s="474"/>
      <c r="AB87" s="336"/>
      <c r="AC87" s="373"/>
      <c r="AD87" s="376"/>
      <c r="AE87" s="377"/>
      <c r="AF87" s="378"/>
      <c r="AG87" s="378"/>
      <c r="AH87" s="379"/>
      <c r="AI87" s="379"/>
      <c r="AJ87" s="379"/>
      <c r="AK87" s="379"/>
      <c r="AL87" s="454"/>
    </row>
    <row r="88" spans="1:38">
      <c r="A88" s="478"/>
      <c r="B88" s="479"/>
      <c r="C88" s="479"/>
      <c r="D88" s="478"/>
      <c r="E88" s="479"/>
      <c r="F88" s="479"/>
      <c r="G88" s="478"/>
      <c r="H88" s="479"/>
      <c r="I88" s="479"/>
      <c r="J88" s="478"/>
      <c r="K88" s="479"/>
      <c r="L88" s="479"/>
      <c r="M88" s="478"/>
      <c r="N88" s="479"/>
      <c r="O88" s="479"/>
      <c r="P88" s="379"/>
      <c r="Q88" s="379"/>
      <c r="R88" s="454"/>
      <c r="X88" s="143"/>
      <c r="Y88" s="143"/>
      <c r="Z88" s="474"/>
      <c r="AB88" s="336"/>
      <c r="AC88" s="373"/>
      <c r="AD88" s="376"/>
      <c r="AE88" s="377"/>
      <c r="AF88" s="378"/>
      <c r="AG88" s="378"/>
      <c r="AH88" s="379"/>
      <c r="AI88" s="379"/>
      <c r="AJ88" s="379"/>
      <c r="AK88" s="379"/>
      <c r="AL88" s="28"/>
    </row>
    <row r="89" spans="1:38">
      <c r="A89" s="491"/>
      <c r="B89" s="492"/>
      <c r="C89" s="492"/>
      <c r="D89" s="491"/>
      <c r="E89" s="492"/>
      <c r="F89" s="492"/>
      <c r="G89" s="491"/>
      <c r="H89" s="492"/>
      <c r="I89" s="492"/>
      <c r="J89" s="491"/>
      <c r="K89" s="492"/>
      <c r="L89" s="492"/>
      <c r="M89" s="491"/>
      <c r="N89" s="492"/>
      <c r="O89" s="492"/>
      <c r="P89" s="379"/>
      <c r="Q89" s="379"/>
      <c r="R89" s="28"/>
      <c r="X89" s="143"/>
      <c r="Y89" s="143"/>
      <c r="Z89" s="474"/>
      <c r="AB89" s="336"/>
      <c r="AC89" s="373"/>
      <c r="AD89" s="376"/>
      <c r="AE89" s="377"/>
      <c r="AF89" s="378"/>
      <c r="AG89" s="378"/>
      <c r="AH89" s="379"/>
      <c r="AI89" s="379"/>
      <c r="AJ89" s="379"/>
      <c r="AK89" s="379"/>
      <c r="AL89" s="28"/>
    </row>
    <row r="90" spans="1:38">
      <c r="A90" s="478"/>
      <c r="B90" s="479"/>
      <c r="C90" s="479"/>
      <c r="D90" s="478"/>
      <c r="E90" s="479"/>
      <c r="F90" s="479"/>
      <c r="G90" s="478"/>
      <c r="H90" s="479"/>
      <c r="I90" s="479"/>
      <c r="J90" s="478"/>
      <c r="K90" s="479"/>
      <c r="L90" s="479"/>
      <c r="M90" s="478"/>
      <c r="N90" s="479"/>
      <c r="O90" s="479"/>
      <c r="P90" s="379"/>
      <c r="Q90" s="379"/>
      <c r="R90" s="28"/>
    </row>
    <row r="91" spans="1:38">
      <c r="A91" s="491"/>
      <c r="B91" s="492"/>
      <c r="C91" s="492"/>
      <c r="D91" s="491"/>
      <c r="E91" s="492"/>
      <c r="F91" s="492"/>
      <c r="G91" s="491"/>
      <c r="H91" s="492"/>
      <c r="I91" s="492"/>
      <c r="J91" s="491"/>
      <c r="K91" s="492"/>
      <c r="L91" s="492"/>
      <c r="M91" s="491"/>
      <c r="N91" s="492"/>
      <c r="O91" s="492"/>
    </row>
    <row r="92" spans="1:38">
      <c r="A92" s="478"/>
      <c r="B92" s="479"/>
      <c r="C92" s="479"/>
      <c r="D92" s="478"/>
      <c r="E92" s="479"/>
      <c r="F92" s="479"/>
      <c r="G92" s="478"/>
      <c r="H92" s="479"/>
      <c r="I92" s="479"/>
      <c r="J92" s="478"/>
      <c r="K92" s="479"/>
      <c r="L92" s="479"/>
      <c r="M92" s="478"/>
      <c r="N92" s="479"/>
      <c r="O92" s="479"/>
      <c r="P92" s="22"/>
      <c r="Q92" s="22"/>
      <c r="R92" s="22"/>
      <c r="S92" s="454"/>
    </row>
    <row r="93" spans="1:38">
      <c r="A93" s="491"/>
      <c r="B93" s="492"/>
      <c r="C93" s="492"/>
      <c r="D93" s="491"/>
      <c r="E93" s="492"/>
      <c r="F93" s="492"/>
      <c r="G93" s="491"/>
      <c r="H93" s="492"/>
      <c r="I93" s="492"/>
      <c r="J93" s="491"/>
      <c r="K93" s="492"/>
      <c r="L93" s="492"/>
      <c r="M93" s="491"/>
      <c r="N93" s="492"/>
      <c r="O93" s="492"/>
      <c r="P93" s="22"/>
      <c r="Q93" s="22"/>
      <c r="R93" s="22"/>
      <c r="S93" s="454"/>
    </row>
    <row r="94" spans="1:38">
      <c r="A94" s="478"/>
      <c r="B94" s="479"/>
      <c r="C94" s="479"/>
      <c r="D94" s="478"/>
      <c r="E94" s="479"/>
      <c r="F94" s="479"/>
      <c r="G94" s="478"/>
      <c r="H94" s="479"/>
      <c r="I94" s="479"/>
      <c r="J94" s="478"/>
      <c r="K94" s="479"/>
      <c r="L94" s="479"/>
      <c r="M94" s="478"/>
      <c r="N94" s="479"/>
      <c r="O94" s="479"/>
      <c r="P94" s="22"/>
      <c r="Q94" s="22"/>
      <c r="R94" s="22"/>
      <c r="S94" s="454"/>
    </row>
    <row r="95" spans="1:38">
      <c r="A95" s="491"/>
      <c r="B95" s="492"/>
      <c r="C95" s="492"/>
      <c r="D95" s="491"/>
      <c r="E95" s="492"/>
      <c r="F95" s="492"/>
      <c r="G95" s="491"/>
      <c r="H95" s="492"/>
      <c r="I95" s="492"/>
      <c r="J95" s="491"/>
      <c r="K95" s="492"/>
      <c r="L95" s="492"/>
      <c r="M95" s="491"/>
      <c r="N95" s="492"/>
      <c r="O95" s="492"/>
      <c r="P95" s="22"/>
      <c r="Q95" s="22"/>
      <c r="R95" s="22"/>
      <c r="S95" s="454"/>
    </row>
    <row r="96" spans="1:38">
      <c r="A96" s="478"/>
      <c r="B96" s="479"/>
      <c r="C96" s="479"/>
      <c r="D96" s="478"/>
      <c r="E96" s="479"/>
      <c r="F96" s="479"/>
      <c r="G96" s="478"/>
      <c r="H96" s="479"/>
      <c r="I96" s="479"/>
      <c r="J96" s="478"/>
      <c r="K96" s="479"/>
      <c r="L96" s="479"/>
      <c r="M96" s="478"/>
      <c r="N96" s="479"/>
      <c r="O96" s="479"/>
      <c r="P96" s="379"/>
      <c r="Q96" s="379"/>
      <c r="R96" s="379"/>
      <c r="S96" s="454"/>
    </row>
    <row r="97" spans="1:19">
      <c r="A97" s="491"/>
      <c r="B97" s="492"/>
      <c r="C97" s="492"/>
      <c r="D97" s="491"/>
      <c r="E97" s="492"/>
      <c r="F97" s="492"/>
      <c r="G97" s="491"/>
      <c r="H97" s="492"/>
      <c r="I97" s="492"/>
      <c r="J97" s="491"/>
      <c r="K97" s="492"/>
      <c r="L97" s="492"/>
      <c r="M97" s="491"/>
      <c r="N97" s="492"/>
      <c r="O97" s="492"/>
      <c r="P97" s="379"/>
      <c r="Q97" s="379"/>
      <c r="R97" s="379"/>
      <c r="S97" s="454"/>
    </row>
    <row r="98" spans="1:19">
      <c r="A98" s="478"/>
      <c r="B98" s="479"/>
      <c r="C98" s="479"/>
      <c r="D98" s="478"/>
      <c r="E98" s="479"/>
      <c r="F98" s="479"/>
      <c r="G98" s="478"/>
      <c r="H98" s="479"/>
      <c r="I98" s="479"/>
      <c r="J98" s="478"/>
      <c r="K98" s="479"/>
      <c r="L98" s="479"/>
      <c r="M98" s="478"/>
      <c r="N98" s="479"/>
      <c r="O98" s="479"/>
      <c r="P98" s="379"/>
      <c r="Q98" s="379"/>
      <c r="R98" s="379"/>
      <c r="S98" s="454"/>
    </row>
    <row r="99" spans="1:19">
      <c r="A99" s="491"/>
      <c r="B99" s="492"/>
      <c r="C99" s="492"/>
      <c r="D99" s="491"/>
      <c r="E99" s="492"/>
      <c r="F99" s="492"/>
      <c r="G99" s="491"/>
      <c r="H99" s="492"/>
      <c r="I99" s="492"/>
      <c r="J99" s="491"/>
      <c r="K99" s="492"/>
      <c r="L99" s="492"/>
      <c r="M99" s="491"/>
      <c r="N99" s="492"/>
      <c r="O99" s="492"/>
      <c r="P99" s="379"/>
      <c r="Q99" s="379"/>
      <c r="R99" s="379"/>
      <c r="S99" s="28"/>
    </row>
    <row r="100" spans="1:19">
      <c r="A100" s="478"/>
      <c r="B100" s="479"/>
      <c r="C100" s="479"/>
      <c r="D100" s="478"/>
      <c r="E100" s="479"/>
      <c r="F100" s="479"/>
      <c r="G100" s="478"/>
      <c r="H100" s="479"/>
      <c r="I100" s="479"/>
      <c r="J100" s="478"/>
      <c r="K100" s="479"/>
      <c r="L100" s="479"/>
      <c r="M100" s="478"/>
      <c r="N100" s="479"/>
      <c r="O100" s="479"/>
      <c r="P100" s="379"/>
      <c r="Q100" s="379"/>
      <c r="R100" s="379"/>
      <c r="S100" s="28"/>
    </row>
  </sheetData>
  <phoneticPr fontId="18" type="noConversion"/>
  <conditionalFormatting sqref="I7:I26 I29:I72">
    <cfRule type="cellIs" dxfId="31" priority="3" operator="lessThan">
      <formula>4</formula>
    </cfRule>
  </conditionalFormatting>
  <conditionalFormatting sqref="I27:I28">
    <cfRule type="cellIs" dxfId="3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8">
    <tabColor theme="7" tint="0.59999389629810485"/>
    <pageSetUpPr fitToPage="1"/>
  </sheetPr>
  <dimension ref="A1:V76"/>
  <sheetViews>
    <sheetView view="pageBreakPreview" topLeftCell="A52" zoomScaleNormal="100" zoomScaleSheetLayoutView="100" workbookViewId="0">
      <selection activeCell="J12" sqref="J12"/>
    </sheetView>
  </sheetViews>
  <sheetFormatPr defaultRowHeight="16.5" outlineLevelCol="1"/>
  <cols>
    <col min="1" max="1" width="5.625" style="625" customWidth="1" outlineLevel="1"/>
    <col min="2" max="2" width="6.875" style="625" customWidth="1" outlineLevel="1"/>
    <col min="3" max="3" width="6.5" style="626" customWidth="1" outlineLevel="1"/>
    <col min="4" max="4" width="9" style="626"/>
    <col min="5" max="5" width="17.875" style="626" customWidth="1"/>
    <col min="6" max="6" width="6.25" style="586" customWidth="1"/>
    <col min="7" max="7" width="8.625" style="557" customWidth="1" outlineLevel="1"/>
    <col min="8" max="8" width="11.125" style="559" customWidth="1" outlineLevel="1"/>
    <col min="9" max="9" width="10.25" style="558" customWidth="1"/>
    <col min="10" max="10" width="10" style="558" customWidth="1"/>
    <col min="11" max="11" width="11.12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5" width="16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16384" width="9" style="62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B31</f>
        <v>lisa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v>0</v>
      </c>
      <c r="F2" s="83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0.5</v>
      </c>
      <c r="K3" s="53">
        <f>SUM(K7:K200)</f>
        <v>9.5333333333333261</v>
      </c>
      <c r="L3" s="53">
        <f>J3</f>
        <v>0.5</v>
      </c>
      <c r="M3" s="53">
        <f>M6-J3</f>
        <v>8.4499999999999957</v>
      </c>
      <c r="N3" s="53">
        <f>N6</f>
        <v>0.58333333333333037</v>
      </c>
      <c r="O3" s="50"/>
    </row>
    <row r="4" spans="1:22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0.5</v>
      </c>
      <c r="E5" s="86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5.9583333333333287E-2</v>
      </c>
    </row>
    <row r="6" spans="1:22" ht="17.25" thickBot="1">
      <c r="A6" s="625" t="s">
        <v>0</v>
      </c>
      <c r="B6" s="625" t="s">
        <v>1</v>
      </c>
      <c r="C6" s="626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SUM(I7:I200)</f>
        <v>175.5</v>
      </c>
      <c r="J6" s="78">
        <f t="shared" ref="J6:N6" si="0">SUM(J7:J200)</f>
        <v>8.5</v>
      </c>
      <c r="K6" s="78">
        <f t="shared" si="0"/>
        <v>9.5333333333333261</v>
      </c>
      <c r="L6" s="78">
        <f t="shared" si="0"/>
        <v>0</v>
      </c>
      <c r="M6" s="78">
        <f t="shared" si="0"/>
        <v>8.9499999999999957</v>
      </c>
      <c r="N6" s="78">
        <f t="shared" si="0"/>
        <v>0.58333333333333037</v>
      </c>
      <c r="O6" s="45"/>
      <c r="T6" s="345"/>
    </row>
    <row r="7" spans="1:22" s="586" customFormat="1">
      <c r="A7" s="632">
        <v>13466</v>
      </c>
      <c r="B7" s="632" t="s">
        <v>145</v>
      </c>
      <c r="C7" s="632" t="s">
        <v>145</v>
      </c>
      <c r="D7" s="632" t="s">
        <v>125</v>
      </c>
      <c r="E7" s="633">
        <v>43374.375717592593</v>
      </c>
      <c r="F7" s="638">
        <v>43374.375717592593</v>
      </c>
      <c r="G7" s="634">
        <v>0.3756944444444445</v>
      </c>
      <c r="H7" s="635">
        <v>9.6666666666666679</v>
      </c>
      <c r="I7" s="635">
        <v>7.5</v>
      </c>
      <c r="J7" s="635">
        <v>0.5</v>
      </c>
      <c r="K7" s="635"/>
      <c r="L7" s="635"/>
      <c r="M7" s="635"/>
      <c r="N7" s="635"/>
      <c r="O7" s="628" t="s">
        <v>167</v>
      </c>
      <c r="P7" s="345"/>
      <c r="Q7" s="453"/>
      <c r="R7" s="588"/>
      <c r="S7" s="588"/>
    </row>
    <row r="8" spans="1:22" s="586" customFormat="1">
      <c r="A8" s="632">
        <v>13483</v>
      </c>
      <c r="B8" s="632" t="s">
        <v>145</v>
      </c>
      <c r="C8" s="632" t="s">
        <v>145</v>
      </c>
      <c r="D8" s="632" t="s">
        <v>126</v>
      </c>
      <c r="E8" s="633">
        <v>43374.77884259259</v>
      </c>
      <c r="F8" s="638">
        <v>43374.77884259259</v>
      </c>
      <c r="G8" s="634">
        <v>0.77847222222222223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69"/>
      <c r="R8" s="149"/>
      <c r="S8" s="149"/>
      <c r="T8" s="130"/>
      <c r="U8" s="130"/>
      <c r="V8" s="130"/>
    </row>
    <row r="9" spans="1:22" s="2" customFormat="1">
      <c r="A9" s="632">
        <v>13493</v>
      </c>
      <c r="B9" s="632" t="s">
        <v>145</v>
      </c>
      <c r="C9" s="632" t="s">
        <v>145</v>
      </c>
      <c r="D9" s="632" t="s">
        <v>125</v>
      </c>
      <c r="E9" s="633">
        <v>43375.351030092592</v>
      </c>
      <c r="F9" s="638">
        <v>43375.351030092592</v>
      </c>
      <c r="G9" s="634">
        <v>0.35069444444444442</v>
      </c>
      <c r="H9" s="635">
        <v>9.6000000000000014</v>
      </c>
      <c r="I9" s="635">
        <v>8</v>
      </c>
      <c r="J9" s="635" t="s">
        <v>115</v>
      </c>
      <c r="K9" s="635"/>
      <c r="L9" s="635"/>
      <c r="M9" s="635"/>
      <c r="N9" s="635"/>
      <c r="O9" s="628"/>
      <c r="P9" s="345"/>
      <c r="Q9" s="373"/>
      <c r="R9" s="372"/>
      <c r="S9" s="372"/>
      <c r="T9" s="373"/>
      <c r="U9" s="373"/>
      <c r="V9" s="373"/>
    </row>
    <row r="10" spans="1:22">
      <c r="A10" s="632">
        <v>13507</v>
      </c>
      <c r="B10" s="632" t="s">
        <v>145</v>
      </c>
      <c r="C10" s="632" t="s">
        <v>145</v>
      </c>
      <c r="D10" s="632" t="s">
        <v>126</v>
      </c>
      <c r="E10" s="633">
        <v>43375.751134259262</v>
      </c>
      <c r="F10" s="638">
        <v>43375.751134259262</v>
      </c>
      <c r="G10" s="634">
        <v>0.75069444444444444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Q10" s="63"/>
      <c r="R10" s="18"/>
      <c r="S10" s="18"/>
      <c r="T10" s="63"/>
      <c r="U10" s="63"/>
      <c r="V10" s="63"/>
    </row>
    <row r="11" spans="1:22" s="421" customFormat="1">
      <c r="A11" s="632">
        <v>13522</v>
      </c>
      <c r="B11" s="632" t="s">
        <v>145</v>
      </c>
      <c r="C11" s="632" t="s">
        <v>145</v>
      </c>
      <c r="D11" s="632" t="s">
        <v>125</v>
      </c>
      <c r="E11" s="633">
        <v>43376.351886574077</v>
      </c>
      <c r="F11" s="638">
        <v>43376.351886574077</v>
      </c>
      <c r="G11" s="634">
        <v>0.35138888888888892</v>
      </c>
      <c r="H11" s="635">
        <v>9.8166666666666664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69"/>
      <c r="R11" s="18"/>
      <c r="S11" s="18"/>
      <c r="T11" s="63"/>
      <c r="U11" s="63"/>
      <c r="V11" s="63"/>
    </row>
    <row r="12" spans="1:22" s="389" customFormat="1">
      <c r="A12" s="632">
        <v>13531</v>
      </c>
      <c r="B12" s="632" t="s">
        <v>145</v>
      </c>
      <c r="C12" s="632" t="s">
        <v>145</v>
      </c>
      <c r="D12" s="632" t="s">
        <v>126</v>
      </c>
      <c r="E12" s="633">
        <v>43376.760474537034</v>
      </c>
      <c r="F12" s="638">
        <v>43376.760474537034</v>
      </c>
      <c r="G12" s="634">
        <v>0.76041666666666663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345"/>
      <c r="Q12" s="369"/>
      <c r="R12" s="372"/>
      <c r="S12" s="372"/>
      <c r="T12" s="373"/>
      <c r="U12" s="373"/>
      <c r="V12" s="373"/>
    </row>
    <row r="13" spans="1:22" s="586" customFormat="1">
      <c r="A13" s="632">
        <v>13541</v>
      </c>
      <c r="B13" s="632" t="s">
        <v>145</v>
      </c>
      <c r="C13" s="632" t="s">
        <v>145</v>
      </c>
      <c r="D13" s="632" t="s">
        <v>127</v>
      </c>
      <c r="E13" s="633">
        <v>43376.77171296296</v>
      </c>
      <c r="F13" s="638">
        <v>43376.77171296296</v>
      </c>
      <c r="G13" s="634">
        <v>0.7715277777777777</v>
      </c>
      <c r="H13" s="635" t="s">
        <v>115</v>
      </c>
      <c r="I13" s="635" t="s">
        <v>115</v>
      </c>
      <c r="J13" s="635" t="s">
        <v>115</v>
      </c>
      <c r="K13" s="635">
        <v>0.71666666666666679</v>
      </c>
      <c r="L13" s="635"/>
      <c r="M13" s="635">
        <v>0.71666666666666679</v>
      </c>
      <c r="N13" s="635">
        <v>0</v>
      </c>
      <c r="O13" s="628"/>
      <c r="P13" s="588"/>
      <c r="Q13" s="566"/>
      <c r="R13" s="588"/>
      <c r="S13" s="588"/>
    </row>
    <row r="14" spans="1:22" s="586" customFormat="1">
      <c r="A14" s="632">
        <v>13546</v>
      </c>
      <c r="B14" s="632" t="s">
        <v>145</v>
      </c>
      <c r="C14" s="632" t="s">
        <v>145</v>
      </c>
      <c r="D14" s="632" t="s">
        <v>128</v>
      </c>
      <c r="E14" s="633">
        <v>43376.80196759259</v>
      </c>
      <c r="F14" s="638">
        <v>43376.80196759259</v>
      </c>
      <c r="G14" s="634">
        <v>0.80138888888888893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588"/>
      <c r="Q14" s="566"/>
      <c r="R14" s="588"/>
      <c r="S14" s="588"/>
    </row>
    <row r="15" spans="1:22" s="631" customFormat="1">
      <c r="A15" s="632">
        <v>13553</v>
      </c>
      <c r="B15" s="632" t="s">
        <v>145</v>
      </c>
      <c r="C15" s="632" t="s">
        <v>145</v>
      </c>
      <c r="D15" s="632" t="s">
        <v>125</v>
      </c>
      <c r="E15" s="633">
        <v>43377.349398148152</v>
      </c>
      <c r="F15" s="638">
        <v>43377.349398148152</v>
      </c>
      <c r="G15" s="634">
        <v>0.34930555555555554</v>
      </c>
      <c r="H15" s="635">
        <v>9.8333333333333321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588"/>
      <c r="Q15" s="566"/>
      <c r="R15" s="588"/>
      <c r="S15" s="588"/>
      <c r="T15" s="586"/>
      <c r="U15" s="586"/>
      <c r="V15" s="586"/>
    </row>
    <row r="16" spans="1:22">
      <c r="A16" s="632">
        <v>13561</v>
      </c>
      <c r="B16" s="632" t="s">
        <v>145</v>
      </c>
      <c r="C16" s="632" t="s">
        <v>145</v>
      </c>
      <c r="D16" s="632" t="s">
        <v>126</v>
      </c>
      <c r="E16" s="633">
        <v>43377.759027777778</v>
      </c>
      <c r="F16" s="638">
        <v>43377.759027777778</v>
      </c>
      <c r="G16" s="634">
        <v>0.75902777777777775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588"/>
      <c r="Q16" s="566"/>
      <c r="R16" s="588"/>
      <c r="S16" s="588"/>
      <c r="T16" s="586"/>
      <c r="U16" s="586"/>
      <c r="V16" s="586"/>
    </row>
    <row r="17" spans="1:22" s="586" customFormat="1">
      <c r="A17" s="632">
        <v>13568</v>
      </c>
      <c r="B17" s="632" t="s">
        <v>145</v>
      </c>
      <c r="C17" s="632" t="s">
        <v>145</v>
      </c>
      <c r="D17" s="632" t="s">
        <v>127</v>
      </c>
      <c r="E17" s="633">
        <v>43377.772569444445</v>
      </c>
      <c r="F17" s="638">
        <v>43377.772569444445</v>
      </c>
      <c r="G17" s="634">
        <v>0.77222222222222225</v>
      </c>
      <c r="H17" s="635" t="s">
        <v>115</v>
      </c>
      <c r="I17" s="635" t="s">
        <v>115</v>
      </c>
      <c r="J17" s="635" t="s">
        <v>115</v>
      </c>
      <c r="K17" s="635">
        <v>0.54999999999999805</v>
      </c>
      <c r="L17" s="635"/>
      <c r="M17" s="635">
        <v>0.54999999999999805</v>
      </c>
      <c r="N17" s="635">
        <v>0</v>
      </c>
      <c r="O17" s="628"/>
      <c r="P17" s="345"/>
      <c r="Q17" s="369"/>
      <c r="R17" s="372"/>
      <c r="S17" s="372"/>
      <c r="T17" s="373"/>
      <c r="U17" s="373"/>
      <c r="V17" s="373"/>
    </row>
    <row r="18" spans="1:22" s="586" customFormat="1">
      <c r="A18" s="632">
        <v>13575</v>
      </c>
      <c r="B18" s="632" t="s">
        <v>145</v>
      </c>
      <c r="C18" s="632" t="s">
        <v>145</v>
      </c>
      <c r="D18" s="632" t="s">
        <v>128</v>
      </c>
      <c r="E18" s="633">
        <v>43377.795740740738</v>
      </c>
      <c r="F18" s="638">
        <v>43377.795740740738</v>
      </c>
      <c r="G18" s="634">
        <v>0.79513888888888884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69"/>
      <c r="R18" s="372"/>
      <c r="S18" s="372"/>
      <c r="T18" s="373"/>
      <c r="U18" s="373"/>
      <c r="V18" s="373"/>
    </row>
    <row r="19" spans="1:22" s="63" customFormat="1">
      <c r="A19" s="632">
        <v>13583</v>
      </c>
      <c r="B19" s="632" t="s">
        <v>145</v>
      </c>
      <c r="C19" s="632" t="s">
        <v>145</v>
      </c>
      <c r="D19" s="632" t="s">
        <v>125</v>
      </c>
      <c r="E19" s="633">
        <v>43378.349224537036</v>
      </c>
      <c r="F19" s="638">
        <v>43378.349224537036</v>
      </c>
      <c r="G19" s="634">
        <v>0.34861111111111115</v>
      </c>
      <c r="H19" s="635">
        <v>9.65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627"/>
      <c r="Q19" s="345"/>
      <c r="R19" s="372"/>
      <c r="S19" s="372"/>
      <c r="T19" s="373"/>
      <c r="U19" s="373"/>
      <c r="V19" s="373"/>
    </row>
    <row r="20" spans="1:22" s="63" customFormat="1">
      <c r="A20" s="632">
        <v>13594</v>
      </c>
      <c r="B20" s="632" t="s">
        <v>145</v>
      </c>
      <c r="C20" s="632" t="s">
        <v>145</v>
      </c>
      <c r="D20" s="632" t="s">
        <v>126</v>
      </c>
      <c r="E20" s="633">
        <v>43378.750810185185</v>
      </c>
      <c r="F20" s="638">
        <v>43378.750810185185</v>
      </c>
      <c r="G20" s="634">
        <v>0.75069444444444444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627"/>
      <c r="Q20" s="345"/>
      <c r="R20" s="372"/>
      <c r="S20" s="372"/>
      <c r="T20" s="373"/>
      <c r="U20" s="373"/>
      <c r="V20" s="373"/>
    </row>
    <row r="21" spans="1:22" s="323" customFormat="1">
      <c r="A21" s="632">
        <v>13600</v>
      </c>
      <c r="B21" s="632" t="s">
        <v>145</v>
      </c>
      <c r="C21" s="632" t="s">
        <v>145</v>
      </c>
      <c r="D21" s="632" t="s">
        <v>127</v>
      </c>
      <c r="E21" s="633">
        <v>43378.771111111113</v>
      </c>
      <c r="F21" s="638">
        <v>43378.771111111113</v>
      </c>
      <c r="G21" s="634">
        <v>0.77083333333333337</v>
      </c>
      <c r="H21" s="635" t="s">
        <v>115</v>
      </c>
      <c r="I21" s="635" t="s">
        <v>115</v>
      </c>
      <c r="J21" s="635" t="s">
        <v>115</v>
      </c>
      <c r="K21" s="635">
        <v>2.0333333333333314</v>
      </c>
      <c r="L21" s="635"/>
      <c r="M21" s="635">
        <v>2</v>
      </c>
      <c r="N21" s="635">
        <v>3.3333333333331439E-2</v>
      </c>
      <c r="O21" s="628"/>
      <c r="P21" s="627"/>
      <c r="Q21" s="345"/>
      <c r="R21" s="372"/>
      <c r="S21" s="372"/>
      <c r="T21" s="373"/>
      <c r="U21" s="373"/>
      <c r="V21" s="373"/>
    </row>
    <row r="22" spans="1:22" s="63" customFormat="1">
      <c r="A22" s="632">
        <v>13612</v>
      </c>
      <c r="B22" s="632" t="s">
        <v>145</v>
      </c>
      <c r="C22" s="632" t="s">
        <v>145</v>
      </c>
      <c r="D22" s="632" t="s">
        <v>128</v>
      </c>
      <c r="E22" s="633">
        <v>43378.855798611112</v>
      </c>
      <c r="F22" s="638">
        <v>43378.855798611112</v>
      </c>
      <c r="G22" s="634">
        <v>0.85555555555555562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</row>
    <row r="23" spans="1:22" s="63" customFormat="1">
      <c r="A23" s="632">
        <v>13614</v>
      </c>
      <c r="B23" s="632" t="s">
        <v>145</v>
      </c>
      <c r="C23" s="632" t="s">
        <v>145</v>
      </c>
      <c r="D23" s="632" t="s">
        <v>125</v>
      </c>
      <c r="E23" s="633">
        <v>43381.349872685183</v>
      </c>
      <c r="F23" s="638">
        <v>43381.349872685183</v>
      </c>
      <c r="G23" s="634">
        <v>0.34930555555555554</v>
      </c>
      <c r="H23" s="635">
        <v>9.6666666666666679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627"/>
      <c r="Q23" s="345"/>
      <c r="R23" s="372"/>
      <c r="S23" s="372"/>
      <c r="T23" s="373"/>
      <c r="U23" s="373"/>
      <c r="V23" s="373"/>
    </row>
    <row r="24" spans="1:22" s="63" customFormat="1">
      <c r="A24" s="632">
        <v>13625</v>
      </c>
      <c r="B24" s="632" t="s">
        <v>145</v>
      </c>
      <c r="C24" s="632" t="s">
        <v>145</v>
      </c>
      <c r="D24" s="632" t="s">
        <v>126</v>
      </c>
      <c r="E24" s="633">
        <v>43381.752129629633</v>
      </c>
      <c r="F24" s="638">
        <v>43381.752129629633</v>
      </c>
      <c r="G24" s="634">
        <v>0.75208333333333333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2" s="2" customFormat="1">
      <c r="A25" s="632">
        <v>13631</v>
      </c>
      <c r="B25" s="632" t="s">
        <v>145</v>
      </c>
      <c r="C25" s="632" t="s">
        <v>145</v>
      </c>
      <c r="D25" s="632" t="s">
        <v>127</v>
      </c>
      <c r="E25" s="633">
        <v>43381.769988425927</v>
      </c>
      <c r="F25" s="638">
        <v>43381.769988425927</v>
      </c>
      <c r="G25" s="634">
        <v>0.76944444444444438</v>
      </c>
      <c r="H25" s="635" t="s">
        <v>115</v>
      </c>
      <c r="I25" s="635" t="s">
        <v>115</v>
      </c>
      <c r="J25" s="635" t="s">
        <v>115</v>
      </c>
      <c r="K25" s="635">
        <v>2.5499999999999989</v>
      </c>
      <c r="L25" s="635"/>
      <c r="M25" s="635">
        <v>2</v>
      </c>
      <c r="N25" s="635">
        <v>0.54999999999999893</v>
      </c>
      <c r="O25" s="628"/>
      <c r="P25" s="627"/>
      <c r="Q25" s="345"/>
      <c r="R25" s="372"/>
      <c r="S25" s="372"/>
      <c r="T25" s="373"/>
      <c r="U25" s="373"/>
      <c r="V25" s="373"/>
    </row>
    <row r="26" spans="1:22">
      <c r="A26" s="632">
        <v>13639</v>
      </c>
      <c r="B26" s="632" t="s">
        <v>145</v>
      </c>
      <c r="C26" s="632" t="s">
        <v>145</v>
      </c>
      <c r="D26" s="632" t="s">
        <v>128</v>
      </c>
      <c r="E26" s="633">
        <v>43381.87599537037</v>
      </c>
      <c r="F26" s="638">
        <v>43381.87599537037</v>
      </c>
      <c r="G26" s="634">
        <v>0.87569444444444444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627"/>
      <c r="R26" s="372"/>
      <c r="S26" s="372"/>
      <c r="T26" s="373"/>
      <c r="U26" s="373"/>
      <c r="V26" s="373"/>
    </row>
    <row r="27" spans="1:22" s="586" customFormat="1">
      <c r="A27" s="632">
        <v>13642</v>
      </c>
      <c r="B27" s="632" t="s">
        <v>145</v>
      </c>
      <c r="C27" s="632" t="s">
        <v>145</v>
      </c>
      <c r="D27" s="632" t="s">
        <v>125</v>
      </c>
      <c r="E27" s="633">
        <v>43382.349606481483</v>
      </c>
      <c r="F27" s="638">
        <v>43382.349606481483</v>
      </c>
      <c r="G27" s="634">
        <v>0.34930555555555554</v>
      </c>
      <c r="H27" s="635">
        <v>9.75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627"/>
      <c r="Q27" s="345"/>
      <c r="R27" s="372"/>
      <c r="S27" s="372"/>
      <c r="T27" s="373"/>
      <c r="U27" s="373"/>
      <c r="V27" s="373"/>
    </row>
    <row r="28" spans="1:22">
      <c r="A28" s="632">
        <v>13656</v>
      </c>
      <c r="B28" s="632" t="s">
        <v>145</v>
      </c>
      <c r="C28" s="632" t="s">
        <v>145</v>
      </c>
      <c r="D28" s="632" t="s">
        <v>126</v>
      </c>
      <c r="E28" s="633">
        <v>43382.756122685183</v>
      </c>
      <c r="F28" s="638">
        <v>43382.756122685183</v>
      </c>
      <c r="G28" s="634">
        <v>0.75555555555555554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627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157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13661</v>
      </c>
      <c r="B31" s="632" t="s">
        <v>145</v>
      </c>
      <c r="C31" s="632" t="s">
        <v>145</v>
      </c>
      <c r="D31" s="632" t="s">
        <v>125</v>
      </c>
      <c r="E31" s="633">
        <v>43384.351342592592</v>
      </c>
      <c r="F31" s="638">
        <v>43384.351342592592</v>
      </c>
      <c r="G31" s="634">
        <v>0.35069444444444442</v>
      </c>
      <c r="H31" s="635">
        <v>9.75</v>
      </c>
      <c r="I31" s="635">
        <v>8</v>
      </c>
      <c r="J31" s="635" t="s">
        <v>115</v>
      </c>
      <c r="K31" s="635"/>
      <c r="L31" s="635"/>
      <c r="M31" s="635"/>
      <c r="N31" s="635"/>
      <c r="O31" s="628"/>
      <c r="R31" s="588"/>
      <c r="S31" s="588"/>
      <c r="T31" s="588"/>
      <c r="U31" s="588"/>
      <c r="V31" s="588"/>
    </row>
    <row r="32" spans="1:22" s="444" customFormat="1">
      <c r="A32" s="632">
        <v>13669</v>
      </c>
      <c r="B32" s="632" t="s">
        <v>145</v>
      </c>
      <c r="C32" s="632" t="s">
        <v>145</v>
      </c>
      <c r="D32" s="632" t="s">
        <v>126</v>
      </c>
      <c r="E32" s="633">
        <v>43384.7575462963</v>
      </c>
      <c r="F32" s="638">
        <v>43384.7575462963</v>
      </c>
      <c r="G32" s="634">
        <v>0.75694444444444453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R32" s="588"/>
      <c r="S32" s="588"/>
      <c r="T32" s="588"/>
      <c r="U32" s="588"/>
      <c r="V32" s="588"/>
    </row>
    <row r="33" spans="1:22" s="63" customFormat="1">
      <c r="A33" s="632">
        <v>13693</v>
      </c>
      <c r="B33" s="632" t="s">
        <v>145</v>
      </c>
      <c r="C33" s="632" t="s">
        <v>145</v>
      </c>
      <c r="D33" s="632" t="s">
        <v>125</v>
      </c>
      <c r="E33" s="633">
        <v>43385.349317129629</v>
      </c>
      <c r="F33" s="638">
        <v>43385.349317129629</v>
      </c>
      <c r="G33" s="634">
        <v>0.34930555555555554</v>
      </c>
      <c r="H33" s="635">
        <v>9.6333333333333329</v>
      </c>
      <c r="I33" s="635">
        <v>8</v>
      </c>
      <c r="J33" s="635" t="s">
        <v>115</v>
      </c>
      <c r="K33" s="635"/>
      <c r="L33" s="635"/>
      <c r="M33" s="635"/>
      <c r="N33" s="635"/>
      <c r="O33" s="628"/>
      <c r="P33" s="627"/>
      <c r="Q33" s="345"/>
      <c r="R33" s="372"/>
      <c r="S33" s="401"/>
      <c r="T33" s="401"/>
      <c r="U33" s="401"/>
      <c r="V33" s="401"/>
    </row>
    <row r="34" spans="1:22">
      <c r="A34" s="632">
        <v>13702</v>
      </c>
      <c r="B34" s="632" t="s">
        <v>145</v>
      </c>
      <c r="C34" s="632" t="s">
        <v>145</v>
      </c>
      <c r="D34" s="632" t="s">
        <v>126</v>
      </c>
      <c r="E34" s="633">
        <v>43385.750949074078</v>
      </c>
      <c r="F34" s="638">
        <v>43385.750949074078</v>
      </c>
      <c r="G34" s="634">
        <v>0.75069444444444444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  <c r="P34" s="627"/>
      <c r="R34" s="372"/>
      <c r="S34" s="372"/>
      <c r="T34" s="373"/>
      <c r="U34" s="373"/>
      <c r="V34" s="373"/>
    </row>
    <row r="35" spans="1:22" s="2" customFormat="1">
      <c r="A35" s="632">
        <v>13718</v>
      </c>
      <c r="B35" s="632" t="s">
        <v>145</v>
      </c>
      <c r="C35" s="632" t="s">
        <v>145</v>
      </c>
      <c r="D35" s="632" t="s">
        <v>125</v>
      </c>
      <c r="E35" s="633">
        <v>43388.349756944444</v>
      </c>
      <c r="F35" s="638">
        <v>43388.349756944444</v>
      </c>
      <c r="G35" s="634">
        <v>0.34930555555555554</v>
      </c>
      <c r="H35" s="635">
        <v>9.6833333333333336</v>
      </c>
      <c r="I35" s="635">
        <v>8</v>
      </c>
      <c r="J35" s="635" t="s">
        <v>115</v>
      </c>
      <c r="K35" s="635"/>
      <c r="L35" s="635"/>
      <c r="M35" s="635"/>
      <c r="N35" s="635"/>
      <c r="O35" s="628"/>
      <c r="P35" s="627"/>
      <c r="Q35" s="345"/>
      <c r="R35" s="372"/>
      <c r="S35" s="372"/>
      <c r="T35" s="373"/>
      <c r="U35" s="373"/>
      <c r="V35" s="373"/>
    </row>
    <row r="36" spans="1:22">
      <c r="A36" s="632">
        <v>13730</v>
      </c>
      <c r="B36" s="632" t="s">
        <v>146</v>
      </c>
      <c r="C36" s="632" t="s">
        <v>145</v>
      </c>
      <c r="D36" s="632" t="s">
        <v>126</v>
      </c>
      <c r="E36" s="633">
        <v>43388.753275462965</v>
      </c>
      <c r="F36" s="638">
        <v>43388.753275462965</v>
      </c>
      <c r="G36" s="634">
        <v>0.75277777777777777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627"/>
      <c r="R36" s="372"/>
      <c r="S36" s="372"/>
      <c r="T36" s="373"/>
      <c r="U36" s="373"/>
      <c r="V36" s="373"/>
    </row>
    <row r="37" spans="1:22" s="2" customFormat="1">
      <c r="A37" s="632">
        <v>13746</v>
      </c>
      <c r="B37" s="632" t="s">
        <v>145</v>
      </c>
      <c r="C37" s="632" t="s">
        <v>145</v>
      </c>
      <c r="D37" s="632" t="s">
        <v>125</v>
      </c>
      <c r="E37" s="633">
        <v>43389.347708333335</v>
      </c>
      <c r="F37" s="638">
        <v>43389.347708333335</v>
      </c>
      <c r="G37" s="634">
        <v>0.34722222222222227</v>
      </c>
      <c r="H37" s="635">
        <v>9.8166666666666664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627"/>
      <c r="Q37" s="345"/>
      <c r="R37" s="372"/>
      <c r="S37" s="374"/>
      <c r="T37" s="375"/>
      <c r="U37" s="375"/>
      <c r="V37" s="375"/>
    </row>
    <row r="38" spans="1:22">
      <c r="A38" s="632">
        <v>13758</v>
      </c>
      <c r="B38" s="632" t="s">
        <v>145</v>
      </c>
      <c r="C38" s="632" t="s">
        <v>145</v>
      </c>
      <c r="D38" s="632" t="s">
        <v>126</v>
      </c>
      <c r="E38" s="633">
        <v>43389.756296296298</v>
      </c>
      <c r="F38" s="638">
        <v>43389.756296296298</v>
      </c>
      <c r="G38" s="634">
        <v>0.75624999999999998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627"/>
      <c r="R38" s="372"/>
    </row>
    <row r="39" spans="1:22" s="2" customFormat="1">
      <c r="A39" s="632">
        <v>13777</v>
      </c>
      <c r="B39" s="632" t="s">
        <v>145</v>
      </c>
      <c r="C39" s="632" t="s">
        <v>145</v>
      </c>
      <c r="D39" s="632" t="s">
        <v>125</v>
      </c>
      <c r="E39" s="633">
        <v>43390.352106481485</v>
      </c>
      <c r="F39" s="638">
        <v>43390.352106481485</v>
      </c>
      <c r="G39" s="634">
        <v>0.3520833333333333</v>
      </c>
      <c r="H39" s="635">
        <v>9.6833333333333318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345"/>
      <c r="R39" s="372"/>
      <c r="S39" s="372"/>
      <c r="T39" s="373"/>
      <c r="U39" s="373"/>
      <c r="V39" s="373"/>
    </row>
    <row r="40" spans="1:22">
      <c r="A40" s="632">
        <v>13784</v>
      </c>
      <c r="B40" s="632" t="s">
        <v>146</v>
      </c>
      <c r="C40" s="632" t="s">
        <v>145</v>
      </c>
      <c r="D40" s="632" t="s">
        <v>126</v>
      </c>
      <c r="E40" s="633">
        <v>43390.756030092591</v>
      </c>
      <c r="F40" s="638">
        <v>43390.756030092591</v>
      </c>
      <c r="G40" s="634">
        <v>0.75555555555555554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18"/>
      <c r="Q40" s="18"/>
      <c r="R40" s="18"/>
      <c r="S40" s="18"/>
      <c r="T40" s="63"/>
      <c r="U40" s="63"/>
      <c r="V40" s="63"/>
    </row>
    <row r="41" spans="1:22">
      <c r="A41" s="632">
        <v>13788</v>
      </c>
      <c r="B41" s="632" t="s">
        <v>146</v>
      </c>
      <c r="C41" s="632" t="s">
        <v>145</v>
      </c>
      <c r="D41" s="632" t="s">
        <v>127</v>
      </c>
      <c r="E41" s="633">
        <v>43390.771226851852</v>
      </c>
      <c r="F41" s="638">
        <v>43390.771226851852</v>
      </c>
      <c r="G41" s="634">
        <v>0.77083333333333337</v>
      </c>
      <c r="H41" s="635" t="s">
        <v>115</v>
      </c>
      <c r="I41" s="635" t="s">
        <v>115</v>
      </c>
      <c r="J41" s="635" t="s">
        <v>115</v>
      </c>
      <c r="K41" s="635">
        <v>1.0999999999999988</v>
      </c>
      <c r="L41" s="635"/>
      <c r="M41" s="635">
        <v>1.0999999999999988</v>
      </c>
      <c r="N41" s="635">
        <v>0</v>
      </c>
      <c r="O41" s="628"/>
    </row>
    <row r="42" spans="1:22">
      <c r="A42" s="632">
        <v>13802</v>
      </c>
      <c r="B42" s="632" t="s">
        <v>145</v>
      </c>
      <c r="C42" s="632" t="s">
        <v>145</v>
      </c>
      <c r="D42" s="632" t="s">
        <v>128</v>
      </c>
      <c r="E42" s="633">
        <v>43390.816817129627</v>
      </c>
      <c r="F42" s="638">
        <v>43390.816817129627</v>
      </c>
      <c r="G42" s="634">
        <v>0.81666666666666676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</row>
    <row r="43" spans="1:22">
      <c r="A43" s="632">
        <v>13806</v>
      </c>
      <c r="B43" s="632" t="s">
        <v>145</v>
      </c>
      <c r="C43" s="632" t="s">
        <v>145</v>
      </c>
      <c r="D43" s="632" t="s">
        <v>125</v>
      </c>
      <c r="E43" s="633">
        <v>43391.348668981482</v>
      </c>
      <c r="F43" s="638">
        <v>43391.348668981482</v>
      </c>
      <c r="G43" s="634">
        <v>0.34861111111111115</v>
      </c>
      <c r="H43" s="635">
        <v>9.6666666666666679</v>
      </c>
      <c r="I43" s="635">
        <v>8</v>
      </c>
      <c r="J43" s="635" t="s">
        <v>115</v>
      </c>
      <c r="K43" s="635"/>
      <c r="L43" s="635"/>
      <c r="M43" s="635"/>
      <c r="N43" s="635"/>
      <c r="O43" s="628"/>
    </row>
    <row r="44" spans="1:22">
      <c r="A44" s="632">
        <v>13815</v>
      </c>
      <c r="B44" s="632" t="s">
        <v>145</v>
      </c>
      <c r="C44" s="632" t="s">
        <v>145</v>
      </c>
      <c r="D44" s="632" t="s">
        <v>126</v>
      </c>
      <c r="E44" s="633">
        <v>43391.751909722225</v>
      </c>
      <c r="F44" s="638">
        <v>43391.751909722225</v>
      </c>
      <c r="G44" s="634">
        <v>0.75138888888888899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454"/>
    </row>
    <row r="45" spans="1:22">
      <c r="A45" s="632">
        <v>13826</v>
      </c>
      <c r="B45" s="632" t="s">
        <v>145</v>
      </c>
      <c r="C45" s="632" t="s">
        <v>145</v>
      </c>
      <c r="D45" s="632" t="s">
        <v>125</v>
      </c>
      <c r="E45" s="633">
        <v>43392.351331018515</v>
      </c>
      <c r="F45" s="638">
        <v>43392.351331018515</v>
      </c>
      <c r="G45" s="634">
        <v>0.35069444444444442</v>
      </c>
      <c r="H45" s="635">
        <v>9.6999999999999993</v>
      </c>
      <c r="I45" s="635">
        <v>8</v>
      </c>
      <c r="J45" s="635" t="s">
        <v>115</v>
      </c>
      <c r="K45" s="635"/>
      <c r="L45" s="635"/>
      <c r="M45" s="635"/>
      <c r="N45" s="635"/>
      <c r="O45" s="454"/>
    </row>
    <row r="46" spans="1:22">
      <c r="A46" s="632">
        <v>13836</v>
      </c>
      <c r="B46" s="632" t="s">
        <v>145</v>
      </c>
      <c r="C46" s="632" t="s">
        <v>145</v>
      </c>
      <c r="D46" s="632" t="s">
        <v>126</v>
      </c>
      <c r="E46" s="633">
        <v>43392.755104166667</v>
      </c>
      <c r="F46" s="638">
        <v>43392.755104166667</v>
      </c>
      <c r="G46" s="634">
        <v>0.75486111111111109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454"/>
      <c r="S46" s="444"/>
      <c r="T46" s="631"/>
      <c r="U46" s="631"/>
      <c r="V46" s="631"/>
    </row>
    <row r="47" spans="1:22">
      <c r="A47" s="632">
        <v>13845</v>
      </c>
      <c r="B47" s="632" t="s">
        <v>145</v>
      </c>
      <c r="C47" s="632" t="s">
        <v>145</v>
      </c>
      <c r="D47" s="632" t="s">
        <v>125</v>
      </c>
      <c r="E47" s="633">
        <v>43395.349224537036</v>
      </c>
      <c r="F47" s="638">
        <v>43395.349224537036</v>
      </c>
      <c r="G47" s="634">
        <v>0.34861111111111115</v>
      </c>
      <c r="H47" s="635">
        <v>10.150000000000002</v>
      </c>
      <c r="I47" s="635">
        <v>8</v>
      </c>
      <c r="J47" s="635" t="s">
        <v>115</v>
      </c>
      <c r="K47" s="635"/>
      <c r="L47" s="635"/>
      <c r="M47" s="635"/>
      <c r="N47" s="635"/>
      <c r="O47" s="454"/>
    </row>
    <row r="48" spans="1:22">
      <c r="A48" s="632">
        <v>13861</v>
      </c>
      <c r="B48" s="632" t="s">
        <v>145</v>
      </c>
      <c r="C48" s="632" t="s">
        <v>145</v>
      </c>
      <c r="D48" s="632" t="s">
        <v>126</v>
      </c>
      <c r="E48" s="633">
        <v>43395.771863425929</v>
      </c>
      <c r="F48" s="638">
        <v>43395.771863425929</v>
      </c>
      <c r="G48" s="634">
        <v>0.7715277777777777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454"/>
    </row>
    <row r="49" spans="1:15">
      <c r="A49" s="632">
        <v>13862</v>
      </c>
      <c r="B49" s="632" t="s">
        <v>145</v>
      </c>
      <c r="C49" s="632" t="s">
        <v>145</v>
      </c>
      <c r="D49" s="632" t="s">
        <v>127</v>
      </c>
      <c r="E49" s="633">
        <v>43395.771909722222</v>
      </c>
      <c r="F49" s="638">
        <v>43395.771909722222</v>
      </c>
      <c r="G49" s="634">
        <v>0.7715277777777777</v>
      </c>
      <c r="H49" s="635" t="s">
        <v>115</v>
      </c>
      <c r="I49" s="635" t="s">
        <v>115</v>
      </c>
      <c r="J49" s="635" t="s">
        <v>115</v>
      </c>
      <c r="K49" s="635">
        <v>0.94999999999999929</v>
      </c>
      <c r="L49" s="635"/>
      <c r="M49" s="635">
        <v>0.94999999999999929</v>
      </c>
      <c r="N49" s="635">
        <v>0</v>
      </c>
      <c r="O49" s="454"/>
    </row>
    <row r="50" spans="1:15">
      <c r="A50" s="632">
        <v>13875</v>
      </c>
      <c r="B50" s="632" t="s">
        <v>146</v>
      </c>
      <c r="C50" s="632" t="s">
        <v>145</v>
      </c>
      <c r="D50" s="632" t="s">
        <v>128</v>
      </c>
      <c r="E50" s="633">
        <v>43395.811585648145</v>
      </c>
      <c r="F50" s="638">
        <v>43395.811585648145</v>
      </c>
      <c r="G50" s="634">
        <v>0.81111111111111101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454"/>
    </row>
    <row r="51" spans="1:15">
      <c r="A51" s="632">
        <v>13878</v>
      </c>
      <c r="B51" s="632" t="s">
        <v>145</v>
      </c>
      <c r="C51" s="632" t="s">
        <v>145</v>
      </c>
      <c r="D51" s="632" t="s">
        <v>125</v>
      </c>
      <c r="E51" s="633">
        <v>43396.351747685185</v>
      </c>
      <c r="F51" s="638">
        <v>43396.351747685185</v>
      </c>
      <c r="G51" s="634">
        <v>0.35138888888888892</v>
      </c>
      <c r="H51" s="635">
        <v>9.5833333333333339</v>
      </c>
      <c r="I51" s="635">
        <v>8</v>
      </c>
      <c r="J51" s="635" t="s">
        <v>115</v>
      </c>
      <c r="K51" s="635"/>
      <c r="L51" s="635"/>
      <c r="M51" s="635"/>
      <c r="N51" s="635"/>
    </row>
    <row r="52" spans="1:15">
      <c r="A52" s="632">
        <v>13890</v>
      </c>
      <c r="B52" s="632" t="s">
        <v>145</v>
      </c>
      <c r="C52" s="632" t="s">
        <v>145</v>
      </c>
      <c r="D52" s="632" t="s">
        <v>126</v>
      </c>
      <c r="E52" s="633">
        <v>43396.750821759262</v>
      </c>
      <c r="F52" s="638">
        <v>43396.750821759262</v>
      </c>
      <c r="G52" s="634">
        <v>0.75069444444444444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15">
      <c r="A53" s="632">
        <v>13896</v>
      </c>
      <c r="B53" s="632" t="s">
        <v>145</v>
      </c>
      <c r="C53" s="632" t="s">
        <v>145</v>
      </c>
      <c r="D53" s="632" t="s">
        <v>127</v>
      </c>
      <c r="E53" s="633">
        <v>43396.77103009259</v>
      </c>
      <c r="F53" s="638">
        <v>43396.77103009259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>
        <v>1.6333333333333329</v>
      </c>
      <c r="L53" s="635"/>
      <c r="M53" s="635">
        <v>1.6333333333333329</v>
      </c>
      <c r="N53" s="635">
        <v>0</v>
      </c>
    </row>
    <row r="54" spans="1:15">
      <c r="A54" s="632">
        <v>13909</v>
      </c>
      <c r="B54" s="632" t="s">
        <v>145</v>
      </c>
      <c r="C54" s="632" t="s">
        <v>145</v>
      </c>
      <c r="D54" s="632" t="s">
        <v>128</v>
      </c>
      <c r="E54" s="633">
        <v>43396.839004629626</v>
      </c>
      <c r="F54" s="638">
        <v>43396.839004629626</v>
      </c>
      <c r="G54" s="634">
        <v>0.83888888888888891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15">
      <c r="A55" s="632">
        <v>13912</v>
      </c>
      <c r="B55" s="632" t="s">
        <v>145</v>
      </c>
      <c r="C55" s="632" t="s">
        <v>145</v>
      </c>
      <c r="D55" s="632" t="s">
        <v>125</v>
      </c>
      <c r="E55" s="633">
        <v>43397.348009259258</v>
      </c>
      <c r="F55" s="638">
        <v>43397.348009259258</v>
      </c>
      <c r="G55" s="634">
        <v>0.34791666666666665</v>
      </c>
      <c r="H55" s="635">
        <v>9.7833333333333332</v>
      </c>
      <c r="I55" s="635">
        <v>8</v>
      </c>
      <c r="J55" s="635" t="s">
        <v>115</v>
      </c>
      <c r="K55" s="635"/>
      <c r="L55" s="635"/>
      <c r="M55" s="635"/>
      <c r="N55" s="635"/>
    </row>
    <row r="56" spans="1:15">
      <c r="A56" s="632">
        <v>13920</v>
      </c>
      <c r="B56" s="632" t="s">
        <v>145</v>
      </c>
      <c r="C56" s="632" t="s">
        <v>145</v>
      </c>
      <c r="D56" s="632" t="s">
        <v>126</v>
      </c>
      <c r="E56" s="633">
        <v>43397.755914351852</v>
      </c>
      <c r="F56" s="638">
        <v>43397.755914351852</v>
      </c>
      <c r="G56" s="634">
        <v>0.75555555555555554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15">
      <c r="A57" s="632">
        <v>13934</v>
      </c>
      <c r="B57" s="632" t="s">
        <v>145</v>
      </c>
      <c r="C57" s="632" t="s">
        <v>145</v>
      </c>
      <c r="D57" s="632" t="s">
        <v>125</v>
      </c>
      <c r="E57" s="633">
        <v>43398.352037037039</v>
      </c>
      <c r="F57" s="638">
        <v>43398.352037037039</v>
      </c>
      <c r="G57" s="634">
        <v>0.35138888888888892</v>
      </c>
      <c r="H57" s="635">
        <v>9.6166666666666671</v>
      </c>
      <c r="I57" s="635">
        <v>8</v>
      </c>
      <c r="J57" s="635" t="s">
        <v>115</v>
      </c>
      <c r="K57" s="635"/>
      <c r="L57" s="635"/>
      <c r="M57" s="635"/>
      <c r="N57" s="635"/>
    </row>
    <row r="58" spans="1:15">
      <c r="A58" s="632">
        <v>13942</v>
      </c>
      <c r="B58" s="632" t="s">
        <v>145</v>
      </c>
      <c r="C58" s="632" t="s">
        <v>145</v>
      </c>
      <c r="D58" s="632" t="s">
        <v>126</v>
      </c>
      <c r="E58" s="633">
        <v>43398.752638888887</v>
      </c>
      <c r="F58" s="638">
        <v>43398.752638888887</v>
      </c>
      <c r="G58" s="634">
        <v>0.75208333333333333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15">
      <c r="A59" s="632">
        <v>13959</v>
      </c>
      <c r="B59" s="632" t="s">
        <v>145</v>
      </c>
      <c r="C59" s="632" t="s">
        <v>145</v>
      </c>
      <c r="D59" s="632" t="s">
        <v>125</v>
      </c>
      <c r="E59" s="633">
        <v>43399.351770833331</v>
      </c>
      <c r="F59" s="638">
        <v>43399.351770833331</v>
      </c>
      <c r="G59" s="634">
        <v>0.35138888888888892</v>
      </c>
      <c r="H59" s="635">
        <v>10.083333333333336</v>
      </c>
      <c r="I59" s="635">
        <v>8</v>
      </c>
      <c r="J59" s="635" t="s">
        <v>115</v>
      </c>
      <c r="K59" s="635"/>
      <c r="L59" s="635"/>
      <c r="M59" s="635"/>
      <c r="N59" s="635"/>
    </row>
    <row r="60" spans="1:15">
      <c r="A60" s="632">
        <v>13969</v>
      </c>
      <c r="B60" s="632" t="s">
        <v>145</v>
      </c>
      <c r="C60" s="632" t="s">
        <v>145</v>
      </c>
      <c r="D60" s="632" t="s">
        <v>126</v>
      </c>
      <c r="E60" s="633">
        <v>43399.771620370368</v>
      </c>
      <c r="F60" s="638">
        <v>43399.771620370368</v>
      </c>
      <c r="G60" s="634">
        <v>0.7715277777777777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</row>
    <row r="61" spans="1:15">
      <c r="A61" s="632">
        <v>13977</v>
      </c>
      <c r="B61" s="632" t="s">
        <v>145</v>
      </c>
      <c r="C61" s="632" t="s">
        <v>145</v>
      </c>
      <c r="D61" s="632" t="s">
        <v>125</v>
      </c>
      <c r="E61" s="633">
        <v>43402.345868055556</v>
      </c>
      <c r="F61" s="638">
        <v>43402.345868055556</v>
      </c>
      <c r="G61" s="634">
        <v>0.34583333333333338</v>
      </c>
      <c r="H61" s="635">
        <v>9.8166666666666664</v>
      </c>
      <c r="I61" s="635">
        <v>8</v>
      </c>
      <c r="J61" s="635" t="s">
        <v>115</v>
      </c>
      <c r="K61" s="635"/>
      <c r="L61" s="635"/>
      <c r="M61" s="635"/>
      <c r="N61" s="635"/>
    </row>
    <row r="62" spans="1:15">
      <c r="A62" s="632">
        <v>13990</v>
      </c>
      <c r="B62" s="632" t="s">
        <v>145</v>
      </c>
      <c r="C62" s="632" t="s">
        <v>145</v>
      </c>
      <c r="D62" s="632" t="s">
        <v>126</v>
      </c>
      <c r="E62" s="633">
        <v>43402.755509259259</v>
      </c>
      <c r="F62" s="638">
        <v>43402.755509259259</v>
      </c>
      <c r="G62" s="634">
        <v>0.75486111111111109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15">
      <c r="A63" s="632">
        <v>14007</v>
      </c>
      <c r="B63" s="632" t="s">
        <v>145</v>
      </c>
      <c r="C63" s="632" t="s">
        <v>145</v>
      </c>
      <c r="D63" s="632" t="s">
        <v>125</v>
      </c>
      <c r="E63" s="633">
        <v>43403.354398148149</v>
      </c>
      <c r="F63" s="638">
        <v>43403.354398148149</v>
      </c>
      <c r="G63" s="634">
        <v>0.35416666666666669</v>
      </c>
      <c r="H63" s="635">
        <v>9.9</v>
      </c>
      <c r="I63" s="635">
        <v>8</v>
      </c>
      <c r="J63" s="635" t="s">
        <v>115</v>
      </c>
      <c r="K63" s="635"/>
      <c r="L63" s="635"/>
      <c r="M63" s="635"/>
      <c r="N63" s="635"/>
    </row>
    <row r="64" spans="1:15">
      <c r="A64" s="632">
        <v>14020</v>
      </c>
      <c r="B64" s="632" t="s">
        <v>145</v>
      </c>
      <c r="C64" s="632" t="s">
        <v>145</v>
      </c>
      <c r="D64" s="632" t="s">
        <v>126</v>
      </c>
      <c r="E64" s="633">
        <v>43403.767210648148</v>
      </c>
      <c r="F64" s="638">
        <v>43403.767210648148</v>
      </c>
      <c r="G64" s="634">
        <v>0.76666666666666661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</row>
    <row r="65" spans="1:14">
      <c r="A65" s="632">
        <v>14032</v>
      </c>
      <c r="B65" s="632" t="s">
        <v>145</v>
      </c>
      <c r="C65" s="632" t="s">
        <v>145</v>
      </c>
      <c r="D65" s="632" t="s">
        <v>125</v>
      </c>
      <c r="E65" s="633">
        <v>43404.350115740737</v>
      </c>
      <c r="F65" s="638">
        <v>43404.350115740737</v>
      </c>
      <c r="G65" s="634">
        <v>0.35000000000000003</v>
      </c>
      <c r="H65" s="635">
        <v>10.083333333333336</v>
      </c>
      <c r="I65" s="635">
        <v>8</v>
      </c>
      <c r="J65" s="635" t="s">
        <v>115</v>
      </c>
      <c r="K65" s="635"/>
      <c r="L65" s="635"/>
      <c r="M65" s="635"/>
      <c r="N65" s="635"/>
    </row>
    <row r="66" spans="1:14">
      <c r="A66" s="632">
        <v>14043</v>
      </c>
      <c r="B66" s="632" t="s">
        <v>145</v>
      </c>
      <c r="C66" s="632" t="s">
        <v>145</v>
      </c>
      <c r="D66" s="632" t="s">
        <v>126</v>
      </c>
      <c r="E66" s="633">
        <v>43404.770648148151</v>
      </c>
      <c r="F66" s="638">
        <v>43404.770648148151</v>
      </c>
      <c r="G66" s="634">
        <v>0.77013888888888893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</row>
    <row r="67" spans="1:14">
      <c r="D67" s="478"/>
      <c r="E67" s="479"/>
      <c r="F67" s="479"/>
      <c r="G67" s="478"/>
      <c r="H67" s="479"/>
      <c r="I67" s="479"/>
      <c r="J67" s="478"/>
      <c r="K67" s="479"/>
      <c r="L67" s="479"/>
    </row>
    <row r="68" spans="1:14">
      <c r="D68" s="627" t="s">
        <v>36</v>
      </c>
      <c r="K68" s="479"/>
      <c r="L68" s="479"/>
    </row>
    <row r="69" spans="1:14">
      <c r="D69" s="627" t="s">
        <v>35</v>
      </c>
      <c r="K69" s="492"/>
      <c r="L69" s="492"/>
    </row>
    <row r="70" spans="1:14">
      <c r="D70" s="560" t="s">
        <v>63</v>
      </c>
      <c r="K70" s="479"/>
      <c r="L70" s="479"/>
    </row>
    <row r="71" spans="1:14">
      <c r="D71" s="625" t="s">
        <v>66</v>
      </c>
      <c r="K71" s="492"/>
      <c r="L71" s="492"/>
    </row>
    <row r="72" spans="1:14">
      <c r="D72" s="625" t="s">
        <v>64</v>
      </c>
      <c r="E72" s="561"/>
      <c r="K72" s="479"/>
      <c r="L72" s="479"/>
    </row>
    <row r="73" spans="1:14">
      <c r="D73" s="625" t="s">
        <v>68</v>
      </c>
      <c r="E73" s="561"/>
      <c r="K73" s="492"/>
      <c r="L73" s="492"/>
    </row>
    <row r="74" spans="1:14">
      <c r="D74" s="625" t="s">
        <v>69</v>
      </c>
      <c r="E74" s="561"/>
      <c r="K74" s="479"/>
      <c r="L74" s="479"/>
    </row>
    <row r="75" spans="1:14">
      <c r="D75" s="625" t="s">
        <v>116</v>
      </c>
      <c r="E75" s="561"/>
      <c r="K75" s="492"/>
      <c r="L75" s="492"/>
    </row>
    <row r="76" spans="1:14">
      <c r="D76" s="625" t="s">
        <v>67</v>
      </c>
      <c r="E76" s="561"/>
      <c r="K76" s="479"/>
      <c r="L76" s="479"/>
    </row>
  </sheetData>
  <phoneticPr fontId="18" type="noConversion"/>
  <conditionalFormatting sqref="I7:I28 I31:I66">
    <cfRule type="cellIs" dxfId="29" priority="3" operator="lessThan">
      <formula>4</formula>
    </cfRule>
  </conditionalFormatting>
  <conditionalFormatting sqref="I29:I30">
    <cfRule type="cellIs" dxfId="2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>
    <tabColor theme="4"/>
    <pageSetUpPr fitToPage="1"/>
  </sheetPr>
  <dimension ref="A1:Y111"/>
  <sheetViews>
    <sheetView view="pageBreakPreview" zoomScaleNormal="100" zoomScaleSheetLayoutView="100" workbookViewId="0">
      <selection activeCell="K3" sqref="K3"/>
    </sheetView>
  </sheetViews>
  <sheetFormatPr defaultColWidth="9" defaultRowHeight="16.5" outlineLevelCol="1"/>
  <cols>
    <col min="1" max="1" width="5.625" style="335" customWidth="1" outlineLevel="1"/>
    <col min="2" max="2" width="6.875" style="335" customWidth="1" outlineLevel="1"/>
    <col min="3" max="3" width="6.5" style="336" customWidth="1" outlineLevel="1"/>
    <col min="4" max="4" width="10.25" style="336" customWidth="1"/>
    <col min="5" max="5" width="16.5" style="336" customWidth="1"/>
    <col min="6" max="6" width="14.25" style="373" customWidth="1"/>
    <col min="7" max="7" width="8.625" style="376" customWidth="1" outlineLevel="1"/>
    <col min="8" max="8" width="11.125" style="377" customWidth="1" outlineLevel="1"/>
    <col min="9" max="9" width="10.25" style="378" customWidth="1"/>
    <col min="10" max="10" width="9" style="378" customWidth="1"/>
    <col min="11" max="11" width="8.375" style="379" customWidth="1" outlineLevel="1"/>
    <col min="12" max="12" width="8" style="379" customWidth="1"/>
    <col min="13" max="13" width="10.5" style="379" customWidth="1"/>
    <col min="14" max="14" width="10.125" style="379" customWidth="1"/>
    <col min="15" max="15" width="14.375" style="6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  <col min="24" max="16384" width="9" style="335"/>
  </cols>
  <sheetData>
    <row r="1" spans="1:25" s="324" customFormat="1" ht="28.5" thickBot="1">
      <c r="C1" s="325"/>
      <c r="D1" s="326"/>
      <c r="E1" s="326"/>
      <c r="F1" s="327"/>
      <c r="G1" s="328"/>
      <c r="H1" s="329"/>
      <c r="I1" s="330" t="str">
        <f>B63</f>
        <v>my</v>
      </c>
      <c r="J1" s="331" t="s">
        <v>29</v>
      </c>
      <c r="K1" s="332"/>
      <c r="L1" s="332"/>
      <c r="M1" s="332"/>
      <c r="N1" s="332"/>
      <c r="O1" s="628"/>
      <c r="P1" s="334"/>
      <c r="Q1" s="334"/>
      <c r="R1" s="334"/>
      <c r="S1" s="334"/>
    </row>
    <row r="2" spans="1:25">
      <c r="D2" s="337" t="s">
        <v>74</v>
      </c>
      <c r="E2" s="537">
        <f>10.5-3-4-3</f>
        <v>0.5</v>
      </c>
      <c r="F2" s="338" t="s">
        <v>75</v>
      </c>
      <c r="G2" s="339"/>
      <c r="H2" s="339"/>
      <c r="I2" s="340"/>
      <c r="J2" s="340" t="s">
        <v>34</v>
      </c>
      <c r="K2" s="341"/>
      <c r="L2" s="342" t="s">
        <v>20</v>
      </c>
      <c r="M2" s="343" t="s">
        <v>17</v>
      </c>
      <c r="N2" s="343" t="s">
        <v>18</v>
      </c>
      <c r="O2" s="628" t="s">
        <v>158</v>
      </c>
    </row>
    <row r="3" spans="1:25" ht="17.25" thickBot="1">
      <c r="D3" s="346" t="s">
        <v>76</v>
      </c>
      <c r="E3" s="663">
        <v>0</v>
      </c>
      <c r="F3" s="347"/>
      <c r="G3" s="348"/>
      <c r="H3" s="348"/>
      <c r="I3" s="349"/>
      <c r="J3" s="350">
        <f>D5+E5</f>
        <v>12</v>
      </c>
      <c r="K3" s="351">
        <f>SUM(K7:K200)</f>
        <v>19.099999999999998</v>
      </c>
      <c r="L3" s="53">
        <f>J3</f>
        <v>12</v>
      </c>
      <c r="M3" s="53">
        <f>M6-J3</f>
        <v>6.4999999999999964</v>
      </c>
      <c r="N3" s="53">
        <f>N6</f>
        <v>0.60000000000000231</v>
      </c>
    </row>
    <row r="4" spans="1:25">
      <c r="D4" s="353" t="s">
        <v>43</v>
      </c>
      <c r="E4" s="354" t="s">
        <v>44</v>
      </c>
      <c r="F4" s="354" t="s">
        <v>46</v>
      </c>
      <c r="G4" s="355"/>
      <c r="H4" s="355"/>
      <c r="I4" s="356" t="s">
        <v>33</v>
      </c>
      <c r="J4" s="356" t="s">
        <v>25</v>
      </c>
      <c r="K4" s="356"/>
      <c r="L4" s="356" t="s">
        <v>12</v>
      </c>
      <c r="M4" s="356" t="s">
        <v>12</v>
      </c>
      <c r="N4" s="356" t="s">
        <v>12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192</v>
      </c>
      <c r="W4" s="448"/>
      <c r="X4" s="369"/>
      <c r="Y4" s="449"/>
    </row>
    <row r="5" spans="1:25">
      <c r="D5" s="394">
        <v>0</v>
      </c>
      <c r="E5" s="360">
        <v>12</v>
      </c>
      <c r="F5" s="360">
        <v>3</v>
      </c>
      <c r="G5" s="361"/>
      <c r="H5" s="361"/>
      <c r="I5" s="362" t="s">
        <v>47</v>
      </c>
      <c r="J5" s="362" t="s">
        <v>47</v>
      </c>
      <c r="K5" s="362" t="s">
        <v>16</v>
      </c>
      <c r="L5" s="362" t="s">
        <v>20</v>
      </c>
      <c r="M5" s="362" t="s">
        <v>17</v>
      </c>
      <c r="N5" s="362" t="s">
        <v>18</v>
      </c>
      <c r="Q5" s="345" t="s">
        <v>40</v>
      </c>
      <c r="S5" s="363">
        <f>(L6+M6+N6)/160</f>
        <v>0.11937499999999998</v>
      </c>
      <c r="W5" s="448"/>
      <c r="X5" s="369"/>
    </row>
    <row r="6" spans="1:25" ht="17.25" thickBot="1">
      <c r="A6" s="335" t="s">
        <v>0</v>
      </c>
      <c r="B6" s="335" t="s">
        <v>1</v>
      </c>
      <c r="C6" s="336" t="s">
        <v>2</v>
      </c>
      <c r="D6" s="364" t="s">
        <v>3</v>
      </c>
      <c r="E6" s="365" t="s">
        <v>4</v>
      </c>
      <c r="F6" s="366"/>
      <c r="G6" s="367"/>
      <c r="H6" s="365" t="s">
        <v>22</v>
      </c>
      <c r="I6" s="368">
        <f>SUM(I7:I200)</f>
        <v>169</v>
      </c>
      <c r="J6" s="368">
        <f t="shared" ref="J6:N6" si="0">SUM(J7:J200)</f>
        <v>23</v>
      </c>
      <c r="K6" s="368">
        <f t="shared" si="0"/>
        <v>19.099999999999998</v>
      </c>
      <c r="L6" s="368">
        <f t="shared" si="0"/>
        <v>0</v>
      </c>
      <c r="M6" s="368">
        <f t="shared" si="0"/>
        <v>18.499999999999996</v>
      </c>
      <c r="N6" s="368">
        <f t="shared" si="0"/>
        <v>0.60000000000000231</v>
      </c>
    </row>
    <row r="7" spans="1:25" s="16" customFormat="1">
      <c r="A7" s="632">
        <v>13463</v>
      </c>
      <c r="B7" s="632" t="s">
        <v>62</v>
      </c>
      <c r="C7" s="632" t="s">
        <v>62</v>
      </c>
      <c r="D7" s="632" t="s">
        <v>125</v>
      </c>
      <c r="E7" s="633">
        <v>43374.368692129632</v>
      </c>
      <c r="F7" s="638">
        <v>43374.368692129632</v>
      </c>
      <c r="G7" s="634">
        <v>0.36805555555555558</v>
      </c>
      <c r="H7" s="635">
        <v>10.233333333333331</v>
      </c>
      <c r="I7" s="635">
        <v>8</v>
      </c>
      <c r="J7" s="635" t="s">
        <v>115</v>
      </c>
      <c r="K7" s="635"/>
      <c r="L7" s="635"/>
      <c r="M7" s="635"/>
      <c r="N7" s="635"/>
      <c r="O7" s="628"/>
      <c r="P7" s="345"/>
      <c r="Q7" s="345"/>
      <c r="R7" s="137"/>
      <c r="S7" s="137"/>
    </row>
    <row r="8" spans="1:25" s="130" customFormat="1">
      <c r="A8" s="632">
        <v>13484</v>
      </c>
      <c r="B8" s="632" t="s">
        <v>62</v>
      </c>
      <c r="C8" s="632" t="s">
        <v>62</v>
      </c>
      <c r="D8" s="632" t="s">
        <v>126</v>
      </c>
      <c r="E8" s="633">
        <v>43374.794999999998</v>
      </c>
      <c r="F8" s="638">
        <v>43374.794999999998</v>
      </c>
      <c r="G8" s="634">
        <v>0.7944444444444444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P8" s="345"/>
      <c r="Q8" s="345"/>
      <c r="R8" s="149"/>
      <c r="S8" s="149"/>
    </row>
    <row r="9" spans="1:25" s="373" customFormat="1">
      <c r="A9" s="632">
        <v>13485</v>
      </c>
      <c r="B9" s="632" t="s">
        <v>62</v>
      </c>
      <c r="C9" s="632" t="s">
        <v>62</v>
      </c>
      <c r="D9" s="632" t="s">
        <v>127</v>
      </c>
      <c r="E9" s="633">
        <v>43374.795011574075</v>
      </c>
      <c r="F9" s="638">
        <v>43374.795011574075</v>
      </c>
      <c r="G9" s="634">
        <v>0.7944444444444444</v>
      </c>
      <c r="H9" s="635" t="s">
        <v>115</v>
      </c>
      <c r="I9" s="635" t="s">
        <v>115</v>
      </c>
      <c r="J9" s="635" t="s">
        <v>115</v>
      </c>
      <c r="K9" s="635">
        <v>2.4333333333333353</v>
      </c>
      <c r="L9" s="635"/>
      <c r="M9" s="635">
        <v>2</v>
      </c>
      <c r="N9" s="635">
        <v>0.43333333333333535</v>
      </c>
      <c r="O9" s="628"/>
      <c r="P9" s="345"/>
      <c r="Q9" s="345"/>
      <c r="R9" s="372"/>
      <c r="S9" s="372"/>
    </row>
    <row r="10" spans="1:25" s="63" customFormat="1">
      <c r="A10" s="632">
        <v>13492</v>
      </c>
      <c r="B10" s="632" t="s">
        <v>62</v>
      </c>
      <c r="C10" s="632" t="s">
        <v>62</v>
      </c>
      <c r="D10" s="632" t="s">
        <v>128</v>
      </c>
      <c r="E10" s="633">
        <v>43374.896099537036</v>
      </c>
      <c r="F10" s="638">
        <v>43374.896099537036</v>
      </c>
      <c r="G10" s="634">
        <v>0.89583333333333337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  <c r="P10" s="345"/>
      <c r="Q10" s="345"/>
      <c r="R10" s="18"/>
      <c r="S10" s="18"/>
    </row>
    <row r="11" spans="1:25" s="63" customFormat="1">
      <c r="A11" s="632">
        <v>13502</v>
      </c>
      <c r="B11" s="632" t="s">
        <v>78</v>
      </c>
      <c r="C11" s="632" t="s">
        <v>62</v>
      </c>
      <c r="D11" s="632" t="s">
        <v>125</v>
      </c>
      <c r="E11" s="633">
        <v>43375.372233796297</v>
      </c>
      <c r="F11" s="638">
        <v>43375.372233796297</v>
      </c>
      <c r="G11" s="634">
        <v>0.37222222222222223</v>
      </c>
      <c r="H11" s="635">
        <v>9.6000000000000014</v>
      </c>
      <c r="I11" s="635">
        <v>8</v>
      </c>
      <c r="J11" s="635" t="s">
        <v>115</v>
      </c>
      <c r="K11" s="635"/>
      <c r="L11" s="635"/>
      <c r="M11" s="635"/>
      <c r="N11" s="635"/>
      <c r="O11" s="628"/>
      <c r="P11" s="345"/>
      <c r="Q11" s="345"/>
      <c r="R11" s="18"/>
      <c r="S11" s="18"/>
    </row>
    <row r="12" spans="1:25" s="583" customFormat="1">
      <c r="A12" s="632">
        <v>13515</v>
      </c>
      <c r="B12" s="632" t="s">
        <v>78</v>
      </c>
      <c r="C12" s="632" t="s">
        <v>62</v>
      </c>
      <c r="D12" s="632" t="s">
        <v>126</v>
      </c>
      <c r="E12" s="633">
        <v>43375.772407407407</v>
      </c>
      <c r="F12" s="638">
        <v>43375.772407407407</v>
      </c>
      <c r="G12" s="634">
        <v>0.77222222222222225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28"/>
      <c r="P12" s="444"/>
      <c r="Q12" s="444"/>
      <c r="R12" s="584"/>
      <c r="S12" s="584"/>
    </row>
    <row r="13" spans="1:25" s="16" customFormat="1">
      <c r="A13" s="632">
        <v>13516</v>
      </c>
      <c r="B13" s="632" t="s">
        <v>78</v>
      </c>
      <c r="C13" s="632" t="s">
        <v>62</v>
      </c>
      <c r="D13" s="632" t="s">
        <v>127</v>
      </c>
      <c r="E13" s="633">
        <v>43375.772430555553</v>
      </c>
      <c r="F13" s="638">
        <v>43375.772430555553</v>
      </c>
      <c r="G13" s="634">
        <v>0.77222222222222225</v>
      </c>
      <c r="H13" s="635" t="s">
        <v>115</v>
      </c>
      <c r="I13" s="635" t="s">
        <v>115</v>
      </c>
      <c r="J13" s="635" t="s">
        <v>115</v>
      </c>
      <c r="K13" s="635">
        <v>2.166666666666667</v>
      </c>
      <c r="L13" s="635"/>
      <c r="M13" s="635">
        <v>2</v>
      </c>
      <c r="N13" s="635">
        <v>0.16666666666666696</v>
      </c>
      <c r="O13" s="628"/>
      <c r="P13" s="345"/>
      <c r="Q13" s="345"/>
      <c r="R13" s="137"/>
      <c r="S13" s="137"/>
    </row>
    <row r="14" spans="1:25" s="16" customFormat="1">
      <c r="A14" s="632">
        <v>13520</v>
      </c>
      <c r="B14" s="632" t="s">
        <v>62</v>
      </c>
      <c r="C14" s="632" t="s">
        <v>62</v>
      </c>
      <c r="D14" s="632" t="s">
        <v>128</v>
      </c>
      <c r="E14" s="633">
        <v>43375.862916666665</v>
      </c>
      <c r="F14" s="638">
        <v>43375.862916666665</v>
      </c>
      <c r="G14" s="634">
        <v>0.86249999999999993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28"/>
      <c r="P14" s="345"/>
      <c r="Q14" s="345"/>
      <c r="R14" s="137"/>
      <c r="S14" s="137"/>
    </row>
    <row r="15" spans="1:25" s="16" customFormat="1">
      <c r="A15" s="632">
        <v>13528</v>
      </c>
      <c r="B15" s="632" t="s">
        <v>62</v>
      </c>
      <c r="C15" s="632" t="s">
        <v>62</v>
      </c>
      <c r="D15" s="632" t="s">
        <v>125</v>
      </c>
      <c r="E15" s="633">
        <v>43376.372928240744</v>
      </c>
      <c r="F15" s="638">
        <v>43376.372928240744</v>
      </c>
      <c r="G15" s="634">
        <v>0.37291666666666662</v>
      </c>
      <c r="H15" s="635">
        <v>9.5666666666666664</v>
      </c>
      <c r="I15" s="635">
        <v>8</v>
      </c>
      <c r="J15" s="635" t="s">
        <v>115</v>
      </c>
      <c r="K15" s="635"/>
      <c r="L15" s="635"/>
      <c r="M15" s="635"/>
      <c r="N15" s="635"/>
      <c r="O15" s="628"/>
      <c r="P15" s="345"/>
      <c r="Q15" s="345"/>
      <c r="R15" s="137"/>
      <c r="S15" s="137"/>
    </row>
    <row r="16" spans="1:25" s="16" customFormat="1">
      <c r="A16" s="632">
        <v>13538</v>
      </c>
      <c r="B16" s="632" t="s">
        <v>62</v>
      </c>
      <c r="C16" s="632" t="s">
        <v>62</v>
      </c>
      <c r="D16" s="632" t="s">
        <v>126</v>
      </c>
      <c r="E16" s="633">
        <v>43376.771643518521</v>
      </c>
      <c r="F16" s="638">
        <v>43376.771643518521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28"/>
      <c r="P16" s="345"/>
      <c r="Q16" s="345"/>
      <c r="R16" s="137"/>
      <c r="S16" s="137"/>
    </row>
    <row r="17" spans="1:19" s="373" customFormat="1">
      <c r="A17" s="632">
        <v>13539</v>
      </c>
      <c r="B17" s="632" t="s">
        <v>62</v>
      </c>
      <c r="C17" s="632" t="s">
        <v>62</v>
      </c>
      <c r="D17" s="632" t="s">
        <v>127</v>
      </c>
      <c r="E17" s="633">
        <v>43376.771666666667</v>
      </c>
      <c r="F17" s="638">
        <v>43376.771666666667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0.73333333333333339</v>
      </c>
      <c r="L17" s="635"/>
      <c r="M17" s="635">
        <v>0.73333333333333339</v>
      </c>
      <c r="N17" s="635">
        <v>0</v>
      </c>
      <c r="O17" s="628"/>
      <c r="P17" s="345"/>
      <c r="Q17" s="345"/>
      <c r="R17" s="372"/>
      <c r="S17" s="372"/>
    </row>
    <row r="18" spans="1:19" s="373" customFormat="1">
      <c r="A18" s="632">
        <v>13549</v>
      </c>
      <c r="B18" s="632" t="s">
        <v>62</v>
      </c>
      <c r="C18" s="632" t="s">
        <v>62</v>
      </c>
      <c r="D18" s="632" t="s">
        <v>128</v>
      </c>
      <c r="E18" s="633">
        <v>43376.802743055552</v>
      </c>
      <c r="F18" s="638">
        <v>43376.802743055552</v>
      </c>
      <c r="G18" s="634">
        <v>0.80208333333333337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28"/>
      <c r="P18" s="345"/>
      <c r="Q18" s="345"/>
      <c r="R18" s="372"/>
      <c r="S18" s="372"/>
    </row>
    <row r="19" spans="1:19" s="373" customFormat="1">
      <c r="A19" s="632">
        <v>13560</v>
      </c>
      <c r="B19" s="632" t="s">
        <v>62</v>
      </c>
      <c r="C19" s="632" t="s">
        <v>62</v>
      </c>
      <c r="D19" s="632" t="s">
        <v>125</v>
      </c>
      <c r="E19" s="633">
        <v>43377.371319444443</v>
      </c>
      <c r="F19" s="638">
        <v>43377.371319444443</v>
      </c>
      <c r="G19" s="634">
        <v>0.37083333333333335</v>
      </c>
      <c r="H19" s="635">
        <v>9.7333333333333343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345"/>
      <c r="Q19" s="345"/>
      <c r="R19" s="372"/>
      <c r="S19" s="372"/>
    </row>
    <row r="20" spans="1:19" s="373" customFormat="1">
      <c r="A20" s="632">
        <v>13571</v>
      </c>
      <c r="B20" s="632" t="s">
        <v>62</v>
      </c>
      <c r="C20" s="632" t="s">
        <v>62</v>
      </c>
      <c r="D20" s="632" t="s">
        <v>126</v>
      </c>
      <c r="E20" s="633">
        <v>43377.776423611111</v>
      </c>
      <c r="F20" s="638">
        <v>43377.776423611111</v>
      </c>
      <c r="G20" s="634">
        <v>0.77638888888888891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345"/>
      <c r="Q20" s="345"/>
      <c r="R20" s="372"/>
      <c r="S20" s="372"/>
    </row>
    <row r="21" spans="1:19" s="373" customFormat="1">
      <c r="A21" s="632">
        <v>13572</v>
      </c>
      <c r="B21" s="632" t="s">
        <v>62</v>
      </c>
      <c r="C21" s="632" t="s">
        <v>62</v>
      </c>
      <c r="D21" s="632" t="s">
        <v>127</v>
      </c>
      <c r="E21" s="633">
        <v>43377.776435185187</v>
      </c>
      <c r="F21" s="638">
        <v>43377.776435185187</v>
      </c>
      <c r="G21" s="634">
        <v>0.77638888888888891</v>
      </c>
      <c r="H21" s="635" t="s">
        <v>115</v>
      </c>
      <c r="I21" s="635" t="s">
        <v>115</v>
      </c>
      <c r="J21" s="635" t="s">
        <v>115</v>
      </c>
      <c r="K21" s="635">
        <v>0.70000000000000018</v>
      </c>
      <c r="L21" s="635"/>
      <c r="M21" s="635">
        <v>0.70000000000000018</v>
      </c>
      <c r="N21" s="635">
        <v>0</v>
      </c>
      <c r="O21" s="628"/>
      <c r="P21" s="345"/>
      <c r="Q21" s="345"/>
      <c r="R21" s="372"/>
      <c r="S21" s="372"/>
    </row>
    <row r="22" spans="1:19" s="373" customFormat="1">
      <c r="A22" s="632">
        <v>13578</v>
      </c>
      <c r="B22" s="632" t="s">
        <v>62</v>
      </c>
      <c r="C22" s="632" t="s">
        <v>62</v>
      </c>
      <c r="D22" s="632" t="s">
        <v>128</v>
      </c>
      <c r="E22" s="633">
        <v>43377.805567129632</v>
      </c>
      <c r="F22" s="638">
        <v>43377.805567129632</v>
      </c>
      <c r="G22" s="634">
        <v>0.80555555555555547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345"/>
      <c r="Q22" s="345"/>
      <c r="R22" s="372"/>
      <c r="S22" s="372"/>
    </row>
    <row r="23" spans="1:19" s="373" customFormat="1">
      <c r="A23" s="632">
        <v>13589</v>
      </c>
      <c r="B23" s="632" t="s">
        <v>78</v>
      </c>
      <c r="C23" s="632" t="s">
        <v>62</v>
      </c>
      <c r="D23" s="632" t="s">
        <v>125</v>
      </c>
      <c r="E23" s="633">
        <v>43378.371145833335</v>
      </c>
      <c r="F23" s="638">
        <v>43378.371145833335</v>
      </c>
      <c r="G23" s="634">
        <v>0.37083333333333335</v>
      </c>
      <c r="H23" s="635">
        <v>9.6000000000000014</v>
      </c>
      <c r="I23" s="635">
        <v>8</v>
      </c>
      <c r="J23" s="635" t="s">
        <v>115</v>
      </c>
      <c r="K23" s="635"/>
      <c r="L23" s="635"/>
      <c r="M23" s="635"/>
      <c r="N23" s="635"/>
      <c r="O23" s="628"/>
      <c r="P23" s="345"/>
      <c r="Q23" s="345"/>
      <c r="R23" s="372"/>
      <c r="S23" s="372"/>
    </row>
    <row r="24" spans="1:19" s="373" customFormat="1">
      <c r="A24" s="632">
        <v>13599</v>
      </c>
      <c r="B24" s="632" t="s">
        <v>62</v>
      </c>
      <c r="C24" s="632" t="s">
        <v>62</v>
      </c>
      <c r="D24" s="632" t="s">
        <v>126</v>
      </c>
      <c r="E24" s="633">
        <v>43378.771087962959</v>
      </c>
      <c r="F24" s="638">
        <v>43378.771087962959</v>
      </c>
      <c r="G24" s="634">
        <v>0.77083333333333337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28"/>
      <c r="P24" s="345"/>
      <c r="Q24" s="345"/>
      <c r="R24" s="372"/>
      <c r="S24" s="372"/>
    </row>
    <row r="25" spans="1:19" s="373" customFormat="1">
      <c r="A25" s="632">
        <v>13601</v>
      </c>
      <c r="B25" s="632" t="s">
        <v>62</v>
      </c>
      <c r="C25" s="632" t="s">
        <v>62</v>
      </c>
      <c r="D25" s="632" t="s">
        <v>127</v>
      </c>
      <c r="E25" s="633">
        <v>43378.771574074075</v>
      </c>
      <c r="F25" s="638">
        <v>43378.771574074075</v>
      </c>
      <c r="G25" s="634">
        <v>0.7715277777777777</v>
      </c>
      <c r="H25" s="635" t="s">
        <v>115</v>
      </c>
      <c r="I25" s="635" t="s">
        <v>115</v>
      </c>
      <c r="J25" s="635" t="s">
        <v>115</v>
      </c>
      <c r="K25" s="635">
        <v>1.3166666666666647</v>
      </c>
      <c r="L25" s="635"/>
      <c r="M25" s="635">
        <v>1.3166666666666647</v>
      </c>
      <c r="N25" s="635">
        <v>0</v>
      </c>
      <c r="O25" s="628"/>
      <c r="P25" s="345"/>
      <c r="Q25" s="345"/>
      <c r="R25" s="372"/>
      <c r="S25" s="372"/>
    </row>
    <row r="26" spans="1:19" s="16" customFormat="1">
      <c r="A26" s="632">
        <v>13611</v>
      </c>
      <c r="B26" s="632" t="s">
        <v>62</v>
      </c>
      <c r="C26" s="632" t="s">
        <v>62</v>
      </c>
      <c r="D26" s="632" t="s">
        <v>128</v>
      </c>
      <c r="E26" s="633">
        <v>43378.826909722222</v>
      </c>
      <c r="F26" s="638">
        <v>43378.826909722222</v>
      </c>
      <c r="G26" s="634">
        <v>0.82638888888888884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28"/>
      <c r="P26" s="345"/>
      <c r="Q26" s="345"/>
      <c r="R26" s="137"/>
      <c r="S26" s="137"/>
    </row>
    <row r="27" spans="1:19" s="373" customFormat="1">
      <c r="A27" s="632">
        <v>13618</v>
      </c>
      <c r="B27" s="632" t="s">
        <v>78</v>
      </c>
      <c r="C27" s="632" t="s">
        <v>62</v>
      </c>
      <c r="D27" s="632" t="s">
        <v>125</v>
      </c>
      <c r="E27" s="633">
        <v>43381.368692129632</v>
      </c>
      <c r="F27" s="638">
        <v>43381.368692129632</v>
      </c>
      <c r="G27" s="634">
        <v>0.36805555555555558</v>
      </c>
      <c r="H27" s="635">
        <v>9.6999999999999993</v>
      </c>
      <c r="I27" s="635">
        <v>8</v>
      </c>
      <c r="J27" s="635" t="s">
        <v>115</v>
      </c>
      <c r="K27" s="635"/>
      <c r="L27" s="635"/>
      <c r="M27" s="635"/>
      <c r="N27" s="635"/>
      <c r="O27" s="628"/>
      <c r="P27" s="345"/>
      <c r="Q27" s="345"/>
      <c r="R27" s="372"/>
      <c r="S27" s="372"/>
    </row>
    <row r="28" spans="1:19" s="373" customFormat="1">
      <c r="A28" s="632">
        <v>13634</v>
      </c>
      <c r="B28" s="632" t="s">
        <v>62</v>
      </c>
      <c r="C28" s="632" t="s">
        <v>62</v>
      </c>
      <c r="D28" s="632" t="s">
        <v>126</v>
      </c>
      <c r="E28" s="633">
        <v>43381.772337962961</v>
      </c>
      <c r="F28" s="638">
        <v>43381.772337962961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28"/>
      <c r="P28" s="345"/>
      <c r="Q28" s="345"/>
      <c r="R28" s="372"/>
      <c r="S28" s="372"/>
    </row>
    <row r="29" spans="1:19" s="373" customFormat="1">
      <c r="A29" s="632">
        <v>13635</v>
      </c>
      <c r="B29" s="632" t="s">
        <v>62</v>
      </c>
      <c r="C29" s="632" t="s">
        <v>62</v>
      </c>
      <c r="D29" s="632" t="s">
        <v>127</v>
      </c>
      <c r="E29" s="633">
        <v>43381.772349537037</v>
      </c>
      <c r="F29" s="638">
        <v>43381.772349537037</v>
      </c>
      <c r="G29" s="634">
        <v>0.77222222222222225</v>
      </c>
      <c r="H29" s="635" t="s">
        <v>115</v>
      </c>
      <c r="I29" s="635" t="s">
        <v>115</v>
      </c>
      <c r="J29" s="635" t="s">
        <v>115</v>
      </c>
      <c r="K29" s="635">
        <v>0.16666666666666607</v>
      </c>
      <c r="L29" s="635"/>
      <c r="M29" s="635">
        <v>0.16666666666666607</v>
      </c>
      <c r="N29" s="635">
        <v>0</v>
      </c>
      <c r="O29" s="628"/>
      <c r="P29" s="345"/>
      <c r="Q29" s="345"/>
      <c r="R29" s="372"/>
      <c r="S29" s="372"/>
    </row>
    <row r="30" spans="1:19" s="373" customFormat="1">
      <c r="A30" s="632">
        <v>13637</v>
      </c>
      <c r="B30" s="632" t="s">
        <v>62</v>
      </c>
      <c r="C30" s="632" t="s">
        <v>62</v>
      </c>
      <c r="D30" s="632" t="s">
        <v>128</v>
      </c>
      <c r="E30" s="633">
        <v>43381.779490740744</v>
      </c>
      <c r="F30" s="638">
        <v>43381.779490740744</v>
      </c>
      <c r="G30" s="634">
        <v>0.77916666666666667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  <c r="O30" s="628"/>
      <c r="P30" s="345"/>
      <c r="Q30" s="345"/>
      <c r="R30" s="372"/>
      <c r="S30" s="372"/>
    </row>
    <row r="31" spans="1:19" s="373" customFormat="1">
      <c r="A31" s="632">
        <v>13653</v>
      </c>
      <c r="B31" s="632" t="s">
        <v>62</v>
      </c>
      <c r="C31" s="632" t="s">
        <v>62</v>
      </c>
      <c r="D31" s="632" t="s">
        <v>125</v>
      </c>
      <c r="E31" s="633">
        <v>43382.578865740739</v>
      </c>
      <c r="F31" s="638">
        <v>43382.578865740739</v>
      </c>
      <c r="G31" s="634">
        <v>0.57847222222222217</v>
      </c>
      <c r="H31" s="635">
        <v>4.6333333333333329</v>
      </c>
      <c r="I31" s="635">
        <v>4</v>
      </c>
      <c r="J31" s="635">
        <v>4</v>
      </c>
      <c r="K31" s="635"/>
      <c r="L31" s="635"/>
      <c r="M31" s="635"/>
      <c r="N31" s="635"/>
      <c r="O31" s="628" t="s">
        <v>161</v>
      </c>
      <c r="P31" s="345"/>
      <c r="Q31" s="345"/>
      <c r="R31" s="372"/>
      <c r="S31" s="372"/>
    </row>
    <row r="32" spans="1:19" s="401" customFormat="1">
      <c r="A32" s="632">
        <v>13658</v>
      </c>
      <c r="B32" s="632" t="s">
        <v>78</v>
      </c>
      <c r="C32" s="632" t="s">
        <v>62</v>
      </c>
      <c r="D32" s="632" t="s">
        <v>126</v>
      </c>
      <c r="E32" s="633">
        <v>43382.772187499999</v>
      </c>
      <c r="F32" s="638">
        <v>43382.772187499999</v>
      </c>
      <c r="G32" s="634">
        <v>0.7715277777777777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28"/>
      <c r="P32" s="345"/>
      <c r="Q32" s="345"/>
    </row>
    <row r="33" spans="1:22" s="63" customFormat="1">
      <c r="A33" s="632"/>
      <c r="B33" s="632"/>
      <c r="C33" s="632"/>
      <c r="D33" s="632" t="s">
        <v>125</v>
      </c>
      <c r="E33" s="633">
        <v>43383.354409722226</v>
      </c>
      <c r="F33" s="638">
        <v>43383.354409722226</v>
      </c>
      <c r="G33" s="634">
        <v>0.35416666666666669</v>
      </c>
      <c r="H33" s="635"/>
      <c r="I33" s="635">
        <v>0</v>
      </c>
      <c r="J33" s="635">
        <v>8</v>
      </c>
      <c r="K33" s="635"/>
      <c r="L33" s="635"/>
      <c r="M33" s="635"/>
      <c r="N33" s="635"/>
      <c r="O33" s="628" t="s">
        <v>157</v>
      </c>
      <c r="P33" s="627"/>
      <c r="Q33" s="345"/>
      <c r="R33" s="372"/>
      <c r="S33" s="372"/>
      <c r="T33" s="373"/>
      <c r="U33" s="373"/>
      <c r="V33" s="373"/>
    </row>
    <row r="34" spans="1:22" s="63" customFormat="1">
      <c r="A34" s="632"/>
      <c r="B34" s="632"/>
      <c r="C34" s="632"/>
      <c r="D34" s="632" t="s">
        <v>126</v>
      </c>
      <c r="E34" s="633">
        <v>43383.75</v>
      </c>
      <c r="F34" s="638">
        <v>43383.771435185183</v>
      </c>
      <c r="G34" s="634">
        <v>0.75</v>
      </c>
      <c r="H34" s="635"/>
      <c r="I34" s="635"/>
      <c r="J34" s="635"/>
      <c r="K34" s="635"/>
      <c r="L34" s="635"/>
      <c r="M34" s="635"/>
      <c r="N34" s="635"/>
      <c r="O34" s="628"/>
      <c r="P34" s="627"/>
      <c r="Q34" s="345"/>
      <c r="R34" s="372"/>
      <c r="S34" s="372"/>
      <c r="T34" s="373"/>
      <c r="U34" s="373"/>
      <c r="V34" s="373"/>
    </row>
    <row r="35" spans="1:22" s="583" customFormat="1">
      <c r="A35" s="632">
        <v>13668</v>
      </c>
      <c r="B35" s="632" t="s">
        <v>62</v>
      </c>
      <c r="C35" s="632" t="s">
        <v>62</v>
      </c>
      <c r="D35" s="632" t="s">
        <v>125</v>
      </c>
      <c r="E35" s="633">
        <v>43384.408634259256</v>
      </c>
      <c r="F35" s="638">
        <v>43384.408634259256</v>
      </c>
      <c r="G35" s="634">
        <v>0.40833333333333338</v>
      </c>
      <c r="H35" s="635">
        <v>8.783333333333335</v>
      </c>
      <c r="I35" s="635">
        <v>7</v>
      </c>
      <c r="J35" s="635">
        <v>1</v>
      </c>
      <c r="K35" s="635"/>
      <c r="L35" s="635"/>
      <c r="M35" s="635"/>
      <c r="N35" s="635"/>
      <c r="O35" s="628" t="s">
        <v>156</v>
      </c>
      <c r="P35" s="444"/>
      <c r="Q35" s="444"/>
      <c r="R35" s="584"/>
      <c r="S35" s="584"/>
    </row>
    <row r="36" spans="1:22" s="583" customFormat="1">
      <c r="A36" s="632">
        <v>13679</v>
      </c>
      <c r="B36" s="632" t="s">
        <v>62</v>
      </c>
      <c r="C36" s="632" t="s">
        <v>62</v>
      </c>
      <c r="D36" s="632" t="s">
        <v>126</v>
      </c>
      <c r="E36" s="633">
        <v>43384.77449074074</v>
      </c>
      <c r="F36" s="638">
        <v>43384.77449074074</v>
      </c>
      <c r="G36" s="634">
        <v>0.77430555555555547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584"/>
      <c r="S36" s="584"/>
    </row>
    <row r="37" spans="1:22" s="373" customFormat="1">
      <c r="A37" s="632">
        <v>13680</v>
      </c>
      <c r="B37" s="632" t="s">
        <v>62</v>
      </c>
      <c r="C37" s="632" t="s">
        <v>62</v>
      </c>
      <c r="D37" s="632" t="s">
        <v>127</v>
      </c>
      <c r="E37" s="633">
        <v>43384.774525462963</v>
      </c>
      <c r="F37" s="638">
        <v>43384.774525462963</v>
      </c>
      <c r="G37" s="634">
        <v>0.77430555555555547</v>
      </c>
      <c r="H37" s="635" t="s">
        <v>115</v>
      </c>
      <c r="I37" s="635" t="s">
        <v>115</v>
      </c>
      <c r="J37" s="635" t="s">
        <v>115</v>
      </c>
      <c r="K37" s="635">
        <v>1.5666666666666664</v>
      </c>
      <c r="L37" s="635"/>
      <c r="M37" s="635">
        <v>1.5666666666666664</v>
      </c>
      <c r="N37" s="635">
        <v>0</v>
      </c>
      <c r="O37" s="628"/>
      <c r="P37" s="345"/>
      <c r="Q37" s="345"/>
      <c r="R37" s="372"/>
      <c r="S37" s="372"/>
    </row>
    <row r="38" spans="1:22" s="375" customFormat="1">
      <c r="A38" s="632">
        <v>13690</v>
      </c>
      <c r="B38" s="632" t="s">
        <v>62</v>
      </c>
      <c r="C38" s="632" t="s">
        <v>62</v>
      </c>
      <c r="D38" s="632" t="s">
        <v>128</v>
      </c>
      <c r="E38" s="633">
        <v>43384.840092592596</v>
      </c>
      <c r="F38" s="638">
        <v>43384.840092592596</v>
      </c>
      <c r="G38" s="634">
        <v>0.83958333333333324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628"/>
      <c r="P38" s="345"/>
      <c r="Q38" s="345"/>
      <c r="R38" s="374"/>
      <c r="S38" s="374"/>
    </row>
    <row r="39" spans="1:22">
      <c r="A39" s="632">
        <v>13700</v>
      </c>
      <c r="B39" s="632" t="s">
        <v>62</v>
      </c>
      <c r="C39" s="632" t="s">
        <v>62</v>
      </c>
      <c r="D39" s="632" t="s">
        <v>125</v>
      </c>
      <c r="E39" s="633">
        <v>43385.372974537036</v>
      </c>
      <c r="F39" s="638">
        <v>43385.372974537036</v>
      </c>
      <c r="G39" s="634">
        <v>0.37291666666666662</v>
      </c>
      <c r="H39" s="635">
        <v>9.7333333333333343</v>
      </c>
      <c r="I39" s="635">
        <v>8</v>
      </c>
      <c r="J39" s="635" t="s">
        <v>115</v>
      </c>
      <c r="K39" s="635"/>
      <c r="L39" s="635"/>
      <c r="M39" s="635"/>
      <c r="N39" s="635"/>
    </row>
    <row r="40" spans="1:22" s="373" customFormat="1">
      <c r="A40" s="632">
        <v>13709</v>
      </c>
      <c r="B40" s="632" t="s">
        <v>62</v>
      </c>
      <c r="C40" s="632" t="s">
        <v>62</v>
      </c>
      <c r="D40" s="632" t="s">
        <v>126</v>
      </c>
      <c r="E40" s="633">
        <v>43385.778738425928</v>
      </c>
      <c r="F40" s="638">
        <v>43385.778738425928</v>
      </c>
      <c r="G40" s="634">
        <v>0.77847222222222223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345"/>
      <c r="Q40" s="345"/>
      <c r="R40" s="372"/>
      <c r="S40" s="372"/>
    </row>
    <row r="41" spans="1:22" s="63" customFormat="1">
      <c r="A41" s="632">
        <v>13710</v>
      </c>
      <c r="B41" s="632" t="s">
        <v>62</v>
      </c>
      <c r="C41" s="632" t="s">
        <v>62</v>
      </c>
      <c r="D41" s="632" t="s">
        <v>127</v>
      </c>
      <c r="E41" s="633">
        <v>43385.778749999998</v>
      </c>
      <c r="F41" s="638">
        <v>43385.778749999998</v>
      </c>
      <c r="G41" s="634">
        <v>0.77847222222222223</v>
      </c>
      <c r="H41" s="635" t="s">
        <v>115</v>
      </c>
      <c r="I41" s="635" t="s">
        <v>115</v>
      </c>
      <c r="J41" s="635" t="s">
        <v>115</v>
      </c>
      <c r="K41" s="635">
        <v>0.5166666666666675</v>
      </c>
      <c r="L41" s="635"/>
      <c r="M41" s="635">
        <v>0.5166666666666675</v>
      </c>
      <c r="N41" s="635">
        <v>0</v>
      </c>
      <c r="O41" s="628"/>
      <c r="P41" s="345"/>
      <c r="Q41" s="345"/>
      <c r="R41" s="18"/>
      <c r="S41" s="18"/>
    </row>
    <row r="42" spans="1:22" s="16" customFormat="1">
      <c r="A42" s="632">
        <v>13715</v>
      </c>
      <c r="B42" s="632" t="s">
        <v>62</v>
      </c>
      <c r="C42" s="632" t="s">
        <v>62</v>
      </c>
      <c r="D42" s="632" t="s">
        <v>128</v>
      </c>
      <c r="E42" s="633">
        <v>43385.800138888888</v>
      </c>
      <c r="F42" s="638">
        <v>43385.800138888888</v>
      </c>
      <c r="G42" s="634">
        <v>0.79999999999999993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345"/>
      <c r="Q42" s="345"/>
    </row>
    <row r="43" spans="1:22" s="16" customFormat="1">
      <c r="A43" s="632">
        <v>13727</v>
      </c>
      <c r="B43" s="632" t="s">
        <v>62</v>
      </c>
      <c r="C43" s="632" t="s">
        <v>62</v>
      </c>
      <c r="D43" s="632" t="s">
        <v>125</v>
      </c>
      <c r="E43" s="633">
        <v>43388.393807870372</v>
      </c>
      <c r="F43" s="638">
        <v>43388.393807870372</v>
      </c>
      <c r="G43" s="634">
        <v>0.39374999999999999</v>
      </c>
      <c r="H43" s="635">
        <v>9.0500000000000007</v>
      </c>
      <c r="I43" s="635">
        <v>7.5</v>
      </c>
      <c r="J43" s="635">
        <v>0.5</v>
      </c>
      <c r="K43" s="635"/>
      <c r="L43" s="635"/>
      <c r="M43" s="635"/>
      <c r="N43" s="635"/>
      <c r="O43" s="628" t="s">
        <v>156</v>
      </c>
      <c r="P43" s="345"/>
      <c r="Q43" s="345"/>
    </row>
    <row r="44" spans="1:22" s="371" customFormat="1">
      <c r="A44" s="632">
        <v>13738</v>
      </c>
      <c r="B44" s="632" t="s">
        <v>62</v>
      </c>
      <c r="C44" s="632" t="s">
        <v>62</v>
      </c>
      <c r="D44" s="632" t="s">
        <v>126</v>
      </c>
      <c r="E44" s="633">
        <v>43388.771111111113</v>
      </c>
      <c r="F44" s="638">
        <v>43388.771111111113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28"/>
      <c r="P44" s="345"/>
      <c r="Q44" s="345"/>
      <c r="R44" s="370"/>
      <c r="S44" s="370"/>
    </row>
    <row r="45" spans="1:22" s="63" customFormat="1">
      <c r="A45" s="632">
        <v>13739</v>
      </c>
      <c r="B45" s="632" t="s">
        <v>62</v>
      </c>
      <c r="C45" s="632" t="s">
        <v>62</v>
      </c>
      <c r="D45" s="632" t="s">
        <v>127</v>
      </c>
      <c r="E45" s="633">
        <v>43388.771122685182</v>
      </c>
      <c r="F45" s="638">
        <v>43388.771122685182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0.70000000000000018</v>
      </c>
      <c r="L45" s="635"/>
      <c r="M45" s="635">
        <v>0.70000000000000018</v>
      </c>
      <c r="N45" s="635">
        <v>0</v>
      </c>
      <c r="O45" s="628"/>
      <c r="P45" s="345"/>
      <c r="Q45" s="345"/>
      <c r="R45" s="18"/>
      <c r="S45" s="18"/>
    </row>
    <row r="46" spans="1:22" s="63" customFormat="1">
      <c r="A46" s="632">
        <v>13743</v>
      </c>
      <c r="B46" s="632" t="s">
        <v>62</v>
      </c>
      <c r="C46" s="632" t="s">
        <v>62</v>
      </c>
      <c r="D46" s="632" t="s">
        <v>128</v>
      </c>
      <c r="E46" s="633">
        <v>43388.800312500003</v>
      </c>
      <c r="F46" s="638">
        <v>43388.800312500003</v>
      </c>
      <c r="G46" s="634">
        <v>0.79999999999999993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28"/>
      <c r="P46" s="345"/>
      <c r="Q46" s="345"/>
      <c r="R46" s="18"/>
      <c r="S46" s="18"/>
    </row>
    <row r="47" spans="1:22" s="662" customFormat="1">
      <c r="A47" s="653"/>
      <c r="B47" s="653"/>
      <c r="C47" s="653"/>
      <c r="D47" s="654" t="s">
        <v>162</v>
      </c>
      <c r="E47" s="655">
        <v>43389.354305555556</v>
      </c>
      <c r="F47" s="656">
        <v>43389.354305555556</v>
      </c>
      <c r="G47" s="657">
        <v>0.35416666666666669</v>
      </c>
      <c r="H47" s="658"/>
      <c r="I47" s="658">
        <v>8</v>
      </c>
      <c r="J47" s="658"/>
      <c r="K47" s="658"/>
      <c r="L47" s="658"/>
      <c r="M47" s="658"/>
      <c r="N47" s="658"/>
      <c r="O47" s="659" t="s">
        <v>163</v>
      </c>
      <c r="P47" s="660"/>
      <c r="Q47" s="660"/>
      <c r="R47" s="661"/>
      <c r="S47" s="661"/>
    </row>
    <row r="48" spans="1:22" s="371" customFormat="1">
      <c r="A48" s="632">
        <v>13756</v>
      </c>
      <c r="B48" s="632" t="s">
        <v>62</v>
      </c>
      <c r="C48" s="632" t="s">
        <v>62</v>
      </c>
      <c r="D48" s="632" t="s">
        <v>151</v>
      </c>
      <c r="E48" s="633">
        <v>43389.60361111111</v>
      </c>
      <c r="F48" s="638">
        <v>43389.60361111111</v>
      </c>
      <c r="G48" s="634">
        <v>0.60347222222222219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28"/>
      <c r="P48" s="345"/>
      <c r="Q48" s="345"/>
      <c r="R48" s="370"/>
      <c r="S48" s="370"/>
    </row>
    <row r="49" spans="1:19" s="375" customFormat="1">
      <c r="A49" s="632">
        <v>13768</v>
      </c>
      <c r="B49" s="632" t="s">
        <v>62</v>
      </c>
      <c r="C49" s="632" t="s">
        <v>62</v>
      </c>
      <c r="D49" s="632" t="s">
        <v>126</v>
      </c>
      <c r="E49" s="633">
        <v>43389.773634259262</v>
      </c>
      <c r="F49" s="638">
        <v>43389.773634259262</v>
      </c>
      <c r="G49" s="634">
        <v>0.77361111111111114</v>
      </c>
      <c r="H49" s="635" t="s">
        <v>115</v>
      </c>
      <c r="I49" s="635" t="s">
        <v>115</v>
      </c>
      <c r="J49" s="635" t="s">
        <v>115</v>
      </c>
      <c r="K49" s="635"/>
      <c r="L49" s="635"/>
      <c r="M49" s="635"/>
      <c r="N49" s="635"/>
      <c r="O49" s="628"/>
      <c r="P49" s="345"/>
      <c r="Q49" s="345"/>
      <c r="R49" s="374"/>
      <c r="S49" s="374"/>
    </row>
    <row r="50" spans="1:19">
      <c r="A50" s="632">
        <v>13769</v>
      </c>
      <c r="B50" s="632" t="s">
        <v>62</v>
      </c>
      <c r="C50" s="632" t="s">
        <v>62</v>
      </c>
      <c r="D50" s="632" t="s">
        <v>127</v>
      </c>
      <c r="E50" s="633">
        <v>43389.773645833331</v>
      </c>
      <c r="F50" s="638">
        <v>43389.773645833331</v>
      </c>
      <c r="G50" s="634">
        <v>0.77361111111111114</v>
      </c>
      <c r="H50" s="635" t="s">
        <v>115</v>
      </c>
      <c r="I50" s="635" t="s">
        <v>115</v>
      </c>
      <c r="J50" s="635" t="s">
        <v>115</v>
      </c>
      <c r="K50" s="635">
        <v>1.3166666666666673</v>
      </c>
      <c r="L50" s="635"/>
      <c r="M50" s="635">
        <v>1.3166666666666673</v>
      </c>
      <c r="N50" s="635">
        <v>0</v>
      </c>
    </row>
    <row r="51" spans="1:19" s="371" customFormat="1">
      <c r="A51" s="632">
        <v>13774</v>
      </c>
      <c r="B51" s="632" t="s">
        <v>62</v>
      </c>
      <c r="C51" s="632" t="s">
        <v>62</v>
      </c>
      <c r="D51" s="632" t="s">
        <v>128</v>
      </c>
      <c r="E51" s="633">
        <v>43389.828923611109</v>
      </c>
      <c r="F51" s="638">
        <v>43389.828923611109</v>
      </c>
      <c r="G51" s="634">
        <v>0.82847222222222217</v>
      </c>
      <c r="H51" s="635" t="s">
        <v>115</v>
      </c>
      <c r="I51" s="635" t="s">
        <v>115</v>
      </c>
      <c r="J51" s="635" t="s">
        <v>115</v>
      </c>
      <c r="K51" s="635"/>
      <c r="L51" s="635"/>
      <c r="M51" s="635"/>
      <c r="N51" s="635"/>
      <c r="O51" s="628"/>
      <c r="P51" s="345"/>
      <c r="Q51" s="345"/>
      <c r="R51" s="370"/>
      <c r="S51" s="370"/>
    </row>
    <row r="52" spans="1:19" s="63" customFormat="1">
      <c r="A52" s="632">
        <v>13783</v>
      </c>
      <c r="B52" s="632" t="s">
        <v>62</v>
      </c>
      <c r="C52" s="632" t="s">
        <v>62</v>
      </c>
      <c r="D52" s="632" t="s">
        <v>125</v>
      </c>
      <c r="E52" s="633">
        <v>43390.379918981482</v>
      </c>
      <c r="F52" s="638">
        <v>43390.379918981482</v>
      </c>
      <c r="G52" s="634">
        <v>0.37986111111111115</v>
      </c>
      <c r="H52" s="635">
        <v>9.3833333333333346</v>
      </c>
      <c r="I52" s="635">
        <v>7.5</v>
      </c>
      <c r="J52" s="635">
        <v>0.5</v>
      </c>
      <c r="K52" s="635"/>
      <c r="L52" s="635"/>
      <c r="M52" s="635"/>
      <c r="N52" s="635"/>
      <c r="O52" s="628" t="s">
        <v>156</v>
      </c>
      <c r="P52" s="345"/>
      <c r="Q52" s="345"/>
      <c r="R52" s="18"/>
      <c r="S52" s="18"/>
    </row>
    <row r="53" spans="1:19" s="137" customFormat="1">
      <c r="A53" s="632">
        <v>13791</v>
      </c>
      <c r="B53" s="632" t="s">
        <v>62</v>
      </c>
      <c r="C53" s="632" t="s">
        <v>62</v>
      </c>
      <c r="D53" s="632" t="s">
        <v>126</v>
      </c>
      <c r="E53" s="633">
        <v>43390.771412037036</v>
      </c>
      <c r="F53" s="638">
        <v>43390.771412037036</v>
      </c>
      <c r="G53" s="634">
        <v>0.77083333333333337</v>
      </c>
      <c r="H53" s="635" t="s">
        <v>115</v>
      </c>
      <c r="I53" s="635" t="s">
        <v>115</v>
      </c>
      <c r="J53" s="635" t="s">
        <v>115</v>
      </c>
      <c r="K53" s="635"/>
      <c r="L53" s="635"/>
      <c r="M53" s="635"/>
      <c r="N53" s="635"/>
      <c r="O53" s="628"/>
      <c r="P53" s="345"/>
      <c r="Q53" s="345"/>
    </row>
    <row r="54" spans="1:19" s="137" customFormat="1">
      <c r="A54" s="632">
        <v>13795</v>
      </c>
      <c r="B54" s="632" t="s">
        <v>62</v>
      </c>
      <c r="C54" s="632" t="s">
        <v>62</v>
      </c>
      <c r="D54" s="632" t="s">
        <v>127</v>
      </c>
      <c r="E54" s="633">
        <v>43390.78396990741</v>
      </c>
      <c r="F54" s="638">
        <v>43390.78396990741</v>
      </c>
      <c r="G54" s="634">
        <v>0.78333333333333333</v>
      </c>
      <c r="H54" s="635" t="s">
        <v>115</v>
      </c>
      <c r="I54" s="635" t="s">
        <v>115</v>
      </c>
      <c r="J54" s="635" t="s">
        <v>115</v>
      </c>
      <c r="K54" s="635">
        <v>1.3666666666666671</v>
      </c>
      <c r="L54" s="635"/>
      <c r="M54" s="635">
        <v>1.3666666666666671</v>
      </c>
      <c r="N54" s="635">
        <v>0</v>
      </c>
      <c r="O54" s="628"/>
      <c r="P54" s="345"/>
      <c r="Q54" s="345"/>
    </row>
    <row r="55" spans="1:19" s="137" customFormat="1">
      <c r="A55" s="632">
        <v>13804</v>
      </c>
      <c r="B55" s="632" t="s">
        <v>62</v>
      </c>
      <c r="C55" s="632" t="s">
        <v>62</v>
      </c>
      <c r="D55" s="632" t="s">
        <v>128</v>
      </c>
      <c r="E55" s="633">
        <v>43390.840949074074</v>
      </c>
      <c r="F55" s="638">
        <v>43390.840949074074</v>
      </c>
      <c r="G55" s="634">
        <v>0.84027777777777779</v>
      </c>
      <c r="H55" s="635" t="s">
        <v>115</v>
      </c>
      <c r="I55" s="635" t="s">
        <v>115</v>
      </c>
      <c r="J55" s="635" t="s">
        <v>115</v>
      </c>
      <c r="K55" s="635"/>
      <c r="L55" s="635"/>
      <c r="M55" s="635"/>
      <c r="N55" s="635"/>
      <c r="O55" s="628"/>
      <c r="P55" s="345"/>
      <c r="Q55" s="345"/>
    </row>
    <row r="56" spans="1:19" s="137" customFormat="1">
      <c r="A56" s="632">
        <v>13813</v>
      </c>
      <c r="B56" s="632" t="s">
        <v>62</v>
      </c>
      <c r="C56" s="632" t="s">
        <v>62</v>
      </c>
      <c r="D56" s="632" t="s">
        <v>125</v>
      </c>
      <c r="E56" s="633">
        <v>43391.371574074074</v>
      </c>
      <c r="F56" s="638">
        <v>43391.371574074074</v>
      </c>
      <c r="G56" s="634">
        <v>0.37152777777777773</v>
      </c>
      <c r="H56" s="635">
        <v>9.7666666666666657</v>
      </c>
      <c r="I56" s="635">
        <v>8</v>
      </c>
      <c r="J56" s="635" t="s">
        <v>115</v>
      </c>
      <c r="K56" s="635"/>
      <c r="L56" s="635"/>
      <c r="M56" s="635"/>
      <c r="N56" s="635"/>
      <c r="O56" s="628"/>
      <c r="P56" s="345"/>
      <c r="Q56" s="345"/>
    </row>
    <row r="57" spans="1:19" s="137" customFormat="1">
      <c r="A57" s="632">
        <v>13824</v>
      </c>
      <c r="B57" s="632" t="s">
        <v>78</v>
      </c>
      <c r="C57" s="632" t="s">
        <v>62</v>
      </c>
      <c r="D57" s="632" t="s">
        <v>126</v>
      </c>
      <c r="E57" s="633">
        <v>43391.778773148151</v>
      </c>
      <c r="F57" s="638">
        <v>43391.778773148151</v>
      </c>
      <c r="G57" s="634">
        <v>0.77847222222222223</v>
      </c>
      <c r="H57" s="635" t="s">
        <v>115</v>
      </c>
      <c r="I57" s="635" t="s">
        <v>115</v>
      </c>
      <c r="J57" s="635" t="s">
        <v>115</v>
      </c>
      <c r="K57" s="635"/>
      <c r="L57" s="635"/>
      <c r="M57" s="635"/>
      <c r="N57" s="635"/>
      <c r="O57" s="628"/>
      <c r="P57" s="345"/>
      <c r="Q57" s="345"/>
    </row>
    <row r="58" spans="1:19" s="137" customFormat="1">
      <c r="A58" s="632">
        <v>13833</v>
      </c>
      <c r="B58" s="632" t="s">
        <v>62</v>
      </c>
      <c r="C58" s="632" t="s">
        <v>62</v>
      </c>
      <c r="D58" s="632" t="s">
        <v>125</v>
      </c>
      <c r="E58" s="633">
        <v>43392.373437499999</v>
      </c>
      <c r="F58" s="638">
        <v>43392.373437499999</v>
      </c>
      <c r="G58" s="634">
        <v>0.37291666666666662</v>
      </c>
      <c r="H58" s="635">
        <v>11.666666666666664</v>
      </c>
      <c r="I58" s="635">
        <v>8</v>
      </c>
      <c r="J58" s="635" t="s">
        <v>115</v>
      </c>
      <c r="K58" s="635"/>
      <c r="L58" s="635"/>
      <c r="M58" s="635"/>
      <c r="N58" s="635"/>
      <c r="O58" s="628"/>
      <c r="P58" s="345"/>
      <c r="Q58" s="345"/>
    </row>
    <row r="59" spans="1:19" s="63" customFormat="1">
      <c r="A59" s="632">
        <v>13842</v>
      </c>
      <c r="B59" s="632" t="s">
        <v>62</v>
      </c>
      <c r="C59" s="632" t="s">
        <v>62</v>
      </c>
      <c r="D59" s="632" t="s">
        <v>126</v>
      </c>
      <c r="E59" s="633">
        <v>43392.859317129631</v>
      </c>
      <c r="F59" s="638">
        <v>43392.859317129631</v>
      </c>
      <c r="G59" s="634">
        <v>0.85902777777777783</v>
      </c>
      <c r="H59" s="635" t="s">
        <v>115</v>
      </c>
      <c r="I59" s="635" t="s">
        <v>115</v>
      </c>
      <c r="J59" s="635" t="s">
        <v>115</v>
      </c>
      <c r="K59" s="635"/>
      <c r="L59" s="635"/>
      <c r="M59" s="635"/>
      <c r="N59" s="635"/>
      <c r="O59" s="628"/>
      <c r="P59" s="345"/>
      <c r="Q59" s="345"/>
      <c r="R59" s="18"/>
      <c r="S59" s="18"/>
    </row>
    <row r="60" spans="1:19" s="404" customFormat="1">
      <c r="A60" s="585"/>
      <c r="B60" s="585"/>
      <c r="C60" s="585"/>
      <c r="D60" s="585" t="s">
        <v>141</v>
      </c>
      <c r="E60" s="534">
        <v>43393.542187500003</v>
      </c>
      <c r="F60" s="582">
        <v>43393.542187500003</v>
      </c>
      <c r="G60" s="538">
        <v>0.54166666666666663</v>
      </c>
      <c r="H60" s="521"/>
      <c r="I60" s="521">
        <v>8</v>
      </c>
      <c r="J60" s="521"/>
      <c r="K60" s="521"/>
      <c r="L60" s="521"/>
      <c r="M60" s="521"/>
      <c r="N60" s="521"/>
      <c r="O60" s="651" t="s">
        <v>164</v>
      </c>
      <c r="P60" s="323"/>
      <c r="Q60" s="323"/>
    </row>
    <row r="61" spans="1:19" s="63" customFormat="1">
      <c r="A61" s="632"/>
      <c r="B61" s="632"/>
      <c r="C61" s="632"/>
      <c r="D61" s="632" t="s">
        <v>126</v>
      </c>
      <c r="E61" s="633">
        <v>43393.875289351854</v>
      </c>
      <c r="F61" s="638">
        <v>43393.875289351854</v>
      </c>
      <c r="G61" s="634">
        <v>0.875</v>
      </c>
      <c r="H61" s="635"/>
      <c r="I61" s="635"/>
      <c r="J61" s="635"/>
      <c r="K61" s="635"/>
      <c r="L61" s="635"/>
      <c r="M61" s="635"/>
      <c r="N61" s="635"/>
      <c r="O61" s="628"/>
      <c r="P61" s="345"/>
      <c r="Q61" s="345"/>
      <c r="R61" s="18"/>
      <c r="S61" s="18"/>
    </row>
    <row r="62" spans="1:19">
      <c r="A62" s="632">
        <v>13852</v>
      </c>
      <c r="B62" s="632" t="s">
        <v>62</v>
      </c>
      <c r="C62" s="632" t="s">
        <v>62</v>
      </c>
      <c r="D62" s="632" t="s">
        <v>125</v>
      </c>
      <c r="E62" s="633">
        <v>43395.372418981482</v>
      </c>
      <c r="F62" s="638">
        <v>43395.372418981482</v>
      </c>
      <c r="G62" s="634">
        <v>0.37222222222222223</v>
      </c>
      <c r="H62" s="635">
        <v>9.6333333333333329</v>
      </c>
      <c r="I62" s="635">
        <v>8</v>
      </c>
      <c r="J62" s="635" t="s">
        <v>115</v>
      </c>
      <c r="K62" s="635"/>
      <c r="L62" s="635"/>
      <c r="M62" s="635"/>
      <c r="N62" s="635"/>
    </row>
    <row r="63" spans="1:19" s="375" customFormat="1">
      <c r="A63" s="632">
        <v>13866</v>
      </c>
      <c r="B63" s="632" t="s">
        <v>62</v>
      </c>
      <c r="C63" s="632" t="s">
        <v>62</v>
      </c>
      <c r="D63" s="632" t="s">
        <v>126</v>
      </c>
      <c r="E63" s="633">
        <v>43395.774155092593</v>
      </c>
      <c r="F63" s="638">
        <v>43395.774155092593</v>
      </c>
      <c r="G63" s="634">
        <v>0.77361111111111114</v>
      </c>
      <c r="H63" s="635" t="s">
        <v>115</v>
      </c>
      <c r="I63" s="635" t="s">
        <v>115</v>
      </c>
      <c r="J63" s="635" t="s">
        <v>115</v>
      </c>
      <c r="K63" s="635"/>
      <c r="L63" s="635"/>
      <c r="M63" s="635"/>
      <c r="N63" s="635"/>
      <c r="O63" s="628"/>
      <c r="P63" s="345"/>
      <c r="Q63" s="345"/>
      <c r="R63" s="374"/>
      <c r="S63" s="374"/>
    </row>
    <row r="64" spans="1:19">
      <c r="A64" s="632">
        <v>13867</v>
      </c>
      <c r="B64" s="632" t="s">
        <v>62</v>
      </c>
      <c r="C64" s="632" t="s">
        <v>62</v>
      </c>
      <c r="D64" s="632" t="s">
        <v>127</v>
      </c>
      <c r="E64" s="633">
        <v>43395.774178240739</v>
      </c>
      <c r="F64" s="638">
        <v>43395.774178240739</v>
      </c>
      <c r="G64" s="634">
        <v>0.77361111111111114</v>
      </c>
      <c r="H64" s="635" t="s">
        <v>115</v>
      </c>
      <c r="I64" s="635" t="s">
        <v>115</v>
      </c>
      <c r="J64" s="635" t="s">
        <v>115</v>
      </c>
      <c r="K64" s="635">
        <v>0.86666666666666625</v>
      </c>
      <c r="L64" s="635"/>
      <c r="M64" s="635">
        <v>0.86666666666666625</v>
      </c>
      <c r="N64" s="635">
        <v>0</v>
      </c>
      <c r="P64" s="8"/>
    </row>
    <row r="65" spans="1:22" s="16" customFormat="1">
      <c r="A65" s="632">
        <v>13873</v>
      </c>
      <c r="B65" s="632" t="s">
        <v>62</v>
      </c>
      <c r="C65" s="632" t="s">
        <v>62</v>
      </c>
      <c r="D65" s="632" t="s">
        <v>128</v>
      </c>
      <c r="E65" s="633">
        <v>43395.81009259259</v>
      </c>
      <c r="F65" s="638">
        <v>43395.81009259259</v>
      </c>
      <c r="G65" s="634">
        <v>0.80972222222222223</v>
      </c>
      <c r="H65" s="635" t="s">
        <v>115</v>
      </c>
      <c r="I65" s="635" t="s">
        <v>115</v>
      </c>
      <c r="J65" s="635" t="s">
        <v>115</v>
      </c>
      <c r="K65" s="635"/>
      <c r="L65" s="635"/>
      <c r="M65" s="635"/>
      <c r="N65" s="635"/>
      <c r="O65" s="628"/>
      <c r="P65" s="345"/>
      <c r="Q65" s="345"/>
      <c r="R65" s="137"/>
      <c r="S65" s="137"/>
    </row>
    <row r="66" spans="1:22">
      <c r="A66" s="632">
        <v>13885</v>
      </c>
      <c r="B66" s="632" t="s">
        <v>62</v>
      </c>
      <c r="C66" s="632" t="s">
        <v>62</v>
      </c>
      <c r="D66" s="632" t="s">
        <v>125</v>
      </c>
      <c r="E66" s="633">
        <v>43396.384513888886</v>
      </c>
      <c r="F66" s="638">
        <v>43396.384513888886</v>
      </c>
      <c r="G66" s="634">
        <v>0.3840277777777778</v>
      </c>
      <c r="H66" s="635">
        <v>9.2833333333333332</v>
      </c>
      <c r="I66" s="635">
        <v>7.5</v>
      </c>
      <c r="J66" s="635">
        <v>0.5</v>
      </c>
      <c r="K66" s="635"/>
      <c r="L66" s="635"/>
      <c r="M66" s="635"/>
      <c r="N66" s="635"/>
      <c r="O66" s="628" t="s">
        <v>156</v>
      </c>
    </row>
    <row r="67" spans="1:22" s="16" customFormat="1">
      <c r="A67" s="632">
        <v>13899</v>
      </c>
      <c r="B67" s="632" t="s">
        <v>78</v>
      </c>
      <c r="C67" s="632" t="s">
        <v>62</v>
      </c>
      <c r="D67" s="632" t="s">
        <v>126</v>
      </c>
      <c r="E67" s="633">
        <v>43396.77134259259</v>
      </c>
      <c r="F67" s="638">
        <v>43396.77134259259</v>
      </c>
      <c r="G67" s="634">
        <v>0.77083333333333337</v>
      </c>
      <c r="H67" s="635" t="s">
        <v>115</v>
      </c>
      <c r="I67" s="635" t="s">
        <v>115</v>
      </c>
      <c r="J67" s="635" t="s">
        <v>115</v>
      </c>
      <c r="K67" s="635"/>
      <c r="L67" s="635"/>
      <c r="M67" s="635"/>
      <c r="N67" s="635"/>
      <c r="O67" s="628"/>
      <c r="P67" s="345"/>
      <c r="Q67" s="345"/>
      <c r="R67" s="137"/>
      <c r="S67" s="137"/>
    </row>
    <row r="68" spans="1:22">
      <c r="A68" s="632">
        <v>13900</v>
      </c>
      <c r="B68" s="632" t="s">
        <v>78</v>
      </c>
      <c r="C68" s="632" t="s">
        <v>62</v>
      </c>
      <c r="D68" s="632" t="s">
        <v>127</v>
      </c>
      <c r="E68" s="633">
        <v>43396.771354166667</v>
      </c>
      <c r="F68" s="638">
        <v>43396.771354166667</v>
      </c>
      <c r="G68" s="634">
        <v>0.77083333333333337</v>
      </c>
      <c r="H68" s="635" t="s">
        <v>115</v>
      </c>
      <c r="I68" s="635" t="s">
        <v>115</v>
      </c>
      <c r="J68" s="635" t="s">
        <v>115</v>
      </c>
      <c r="K68" s="635">
        <v>1.0666666666666655</v>
      </c>
      <c r="L68" s="635"/>
      <c r="M68" s="635">
        <v>1.0666666666666655</v>
      </c>
      <c r="N68" s="635">
        <v>0</v>
      </c>
    </row>
    <row r="69" spans="1:22" s="398" customFormat="1">
      <c r="A69" s="632">
        <v>13908</v>
      </c>
      <c r="B69" s="632" t="s">
        <v>78</v>
      </c>
      <c r="C69" s="632" t="s">
        <v>62</v>
      </c>
      <c r="D69" s="632" t="s">
        <v>128</v>
      </c>
      <c r="E69" s="633">
        <v>43396.815439814818</v>
      </c>
      <c r="F69" s="638">
        <v>43396.815439814818</v>
      </c>
      <c r="G69" s="634">
        <v>0.81527777777777777</v>
      </c>
      <c r="H69" s="635" t="s">
        <v>115</v>
      </c>
      <c r="I69" s="635" t="s">
        <v>115</v>
      </c>
      <c r="J69" s="635" t="s">
        <v>115</v>
      </c>
      <c r="K69" s="635"/>
      <c r="L69" s="635"/>
      <c r="M69" s="635"/>
      <c r="N69" s="635"/>
      <c r="O69" s="628"/>
      <c r="P69" s="345"/>
      <c r="Q69" s="345"/>
      <c r="R69" s="444"/>
      <c r="S69" s="444"/>
    </row>
    <row r="70" spans="1:22" s="16" customFormat="1">
      <c r="A70" s="632">
        <v>13915</v>
      </c>
      <c r="B70" s="632" t="s">
        <v>62</v>
      </c>
      <c r="C70" s="632" t="s">
        <v>62</v>
      </c>
      <c r="D70" s="632" t="s">
        <v>125</v>
      </c>
      <c r="E70" s="633">
        <v>43397.367488425924</v>
      </c>
      <c r="F70" s="638">
        <v>43397.367488425924</v>
      </c>
      <c r="G70" s="634">
        <v>0.36736111111111108</v>
      </c>
      <c r="H70" s="635">
        <v>10.066666666666666</v>
      </c>
      <c r="I70" s="635">
        <v>8</v>
      </c>
      <c r="J70" s="635" t="s">
        <v>115</v>
      </c>
      <c r="K70" s="635"/>
      <c r="L70" s="635"/>
      <c r="M70" s="635"/>
      <c r="N70" s="635"/>
      <c r="O70" s="628"/>
      <c r="P70" s="345"/>
      <c r="Q70" s="345"/>
      <c r="R70" s="137"/>
      <c r="S70" s="137"/>
    </row>
    <row r="71" spans="1:22" s="375" customFormat="1">
      <c r="A71" s="632">
        <v>13927</v>
      </c>
      <c r="B71" s="632" t="s">
        <v>62</v>
      </c>
      <c r="C71" s="632" t="s">
        <v>62</v>
      </c>
      <c r="D71" s="632" t="s">
        <v>126</v>
      </c>
      <c r="E71" s="633">
        <v>43397.78702546296</v>
      </c>
      <c r="F71" s="638">
        <v>43397.78702546296</v>
      </c>
      <c r="G71" s="634">
        <v>0.78680555555555554</v>
      </c>
      <c r="H71" s="635" t="s">
        <v>115</v>
      </c>
      <c r="I71" s="635" t="s">
        <v>115</v>
      </c>
      <c r="J71" s="635" t="s">
        <v>115</v>
      </c>
      <c r="K71" s="635"/>
      <c r="L71" s="635"/>
      <c r="M71" s="635"/>
      <c r="N71" s="635"/>
      <c r="O71" s="628"/>
      <c r="P71" s="345"/>
      <c r="Q71" s="345"/>
      <c r="R71" s="374"/>
      <c r="S71" s="374"/>
    </row>
    <row r="72" spans="1:22">
      <c r="A72" s="632">
        <v>13928</v>
      </c>
      <c r="B72" s="632" t="s">
        <v>62</v>
      </c>
      <c r="C72" s="632" t="s">
        <v>62</v>
      </c>
      <c r="D72" s="632" t="s">
        <v>127</v>
      </c>
      <c r="E72" s="633">
        <v>43397.787037037036</v>
      </c>
      <c r="F72" s="638">
        <v>43397.787037037036</v>
      </c>
      <c r="G72" s="634">
        <v>0.78680555555555554</v>
      </c>
      <c r="H72" s="635" t="s">
        <v>115</v>
      </c>
      <c r="I72" s="635" t="s">
        <v>115</v>
      </c>
      <c r="J72" s="635" t="s">
        <v>115</v>
      </c>
      <c r="K72" s="635">
        <v>0.2166666666666659</v>
      </c>
      <c r="L72" s="635"/>
      <c r="M72" s="635">
        <v>0.2166666666666659</v>
      </c>
      <c r="N72" s="635">
        <v>0</v>
      </c>
    </row>
    <row r="73" spans="1:22" s="375" customFormat="1">
      <c r="A73" s="632">
        <v>13929</v>
      </c>
      <c r="B73" s="632" t="s">
        <v>62</v>
      </c>
      <c r="C73" s="632" t="s">
        <v>62</v>
      </c>
      <c r="D73" s="632" t="s">
        <v>128</v>
      </c>
      <c r="E73" s="633">
        <v>43397.796307870369</v>
      </c>
      <c r="F73" s="638">
        <v>43397.796307870369</v>
      </c>
      <c r="G73" s="634">
        <v>0.79583333333333339</v>
      </c>
      <c r="H73" s="635" t="s">
        <v>115</v>
      </c>
      <c r="I73" s="635" t="s">
        <v>115</v>
      </c>
      <c r="J73" s="635" t="s">
        <v>115</v>
      </c>
      <c r="K73" s="635"/>
      <c r="L73" s="635"/>
      <c r="M73" s="635"/>
      <c r="N73" s="635"/>
      <c r="O73" s="628"/>
      <c r="P73" s="345"/>
      <c r="Q73" s="345"/>
      <c r="R73" s="374"/>
      <c r="S73" s="374"/>
    </row>
    <row r="74" spans="1:22" s="63" customFormat="1">
      <c r="A74" s="632">
        <v>13940</v>
      </c>
      <c r="B74" s="632" t="s">
        <v>62</v>
      </c>
      <c r="C74" s="632" t="s">
        <v>62</v>
      </c>
      <c r="D74" s="632" t="s">
        <v>125</v>
      </c>
      <c r="E74" s="633">
        <v>43398.369247685187</v>
      </c>
      <c r="F74" s="638">
        <v>43398.369247685187</v>
      </c>
      <c r="G74" s="634">
        <v>0.36874999999999997</v>
      </c>
      <c r="H74" s="635">
        <v>9.65</v>
      </c>
      <c r="I74" s="635">
        <v>8</v>
      </c>
      <c r="J74" s="635" t="s">
        <v>115</v>
      </c>
      <c r="K74" s="635"/>
      <c r="L74" s="635"/>
      <c r="M74" s="635"/>
      <c r="N74" s="635"/>
      <c r="O74" s="628"/>
      <c r="P74" s="345"/>
      <c r="Q74" s="345"/>
      <c r="R74" s="18"/>
      <c r="S74" s="18"/>
    </row>
    <row r="75" spans="1:22" s="16" customFormat="1">
      <c r="A75" s="632">
        <v>13949</v>
      </c>
      <c r="B75" s="632" t="s">
        <v>62</v>
      </c>
      <c r="C75" s="632" t="s">
        <v>62</v>
      </c>
      <c r="D75" s="632" t="s">
        <v>126</v>
      </c>
      <c r="E75" s="633">
        <v>43398.77134259259</v>
      </c>
      <c r="F75" s="638">
        <v>43398.77134259259</v>
      </c>
      <c r="G75" s="634">
        <v>0.77083333333333337</v>
      </c>
      <c r="H75" s="635" t="s">
        <v>115</v>
      </c>
      <c r="I75" s="635" t="s">
        <v>115</v>
      </c>
      <c r="J75" s="635" t="s">
        <v>115</v>
      </c>
      <c r="K75" s="635"/>
      <c r="L75" s="635"/>
      <c r="M75" s="635"/>
      <c r="N75" s="635"/>
      <c r="O75" s="628"/>
      <c r="P75" s="345"/>
      <c r="Q75" s="345"/>
      <c r="R75" s="137"/>
      <c r="S75" s="137"/>
    </row>
    <row r="76" spans="1:22" s="16" customFormat="1">
      <c r="A76" s="632">
        <v>13950</v>
      </c>
      <c r="B76" s="632" t="s">
        <v>62</v>
      </c>
      <c r="C76" s="632" t="s">
        <v>62</v>
      </c>
      <c r="D76" s="632" t="s">
        <v>127</v>
      </c>
      <c r="E76" s="633">
        <v>43398.771365740744</v>
      </c>
      <c r="F76" s="638">
        <v>43398.771365740744</v>
      </c>
      <c r="G76" s="634">
        <v>0.77083333333333337</v>
      </c>
      <c r="H76" s="635" t="s">
        <v>115</v>
      </c>
      <c r="I76" s="635" t="s">
        <v>115</v>
      </c>
      <c r="J76" s="635" t="s">
        <v>115</v>
      </c>
      <c r="K76" s="635">
        <v>1.966666666666665</v>
      </c>
      <c r="L76" s="635"/>
      <c r="M76" s="635">
        <v>1.966666666666665</v>
      </c>
      <c r="N76" s="635">
        <v>0</v>
      </c>
      <c r="O76" s="628"/>
      <c r="P76" s="345"/>
      <c r="Q76" s="345"/>
      <c r="R76" s="137"/>
      <c r="S76" s="137"/>
    </row>
    <row r="77" spans="1:22" s="16" customFormat="1">
      <c r="A77" s="632">
        <v>13957</v>
      </c>
      <c r="B77" s="632" t="s">
        <v>62</v>
      </c>
      <c r="C77" s="632" t="s">
        <v>62</v>
      </c>
      <c r="D77" s="632" t="s">
        <v>128</v>
      </c>
      <c r="E77" s="633">
        <v>43398.852858796294</v>
      </c>
      <c r="F77" s="638">
        <v>43398.852858796294</v>
      </c>
      <c r="G77" s="634">
        <v>0.85277777777777775</v>
      </c>
      <c r="H77" s="635" t="s">
        <v>115</v>
      </c>
      <c r="I77" s="635" t="s">
        <v>115</v>
      </c>
      <c r="J77" s="635" t="s">
        <v>115</v>
      </c>
      <c r="K77" s="635"/>
      <c r="L77" s="635"/>
      <c r="M77" s="635"/>
      <c r="N77" s="635"/>
      <c r="O77" s="628"/>
      <c r="P77" s="345"/>
      <c r="Q77" s="345"/>
      <c r="R77" s="137"/>
      <c r="S77" s="137"/>
    </row>
    <row r="78" spans="1:22" s="63" customFormat="1">
      <c r="A78" s="632"/>
      <c r="B78" s="632"/>
      <c r="C78" s="632"/>
      <c r="D78" s="632" t="s">
        <v>125</v>
      </c>
      <c r="E78" s="633">
        <v>43399.354409722226</v>
      </c>
      <c r="F78" s="638">
        <v>43399.354409722226</v>
      </c>
      <c r="G78" s="634">
        <v>0.38958333333333334</v>
      </c>
      <c r="H78" s="635"/>
      <c r="I78" s="635">
        <v>0</v>
      </c>
      <c r="J78" s="635">
        <v>8</v>
      </c>
      <c r="K78" s="635"/>
      <c r="L78" s="635"/>
      <c r="M78" s="635"/>
      <c r="N78" s="635"/>
      <c r="O78" s="628" t="s">
        <v>161</v>
      </c>
      <c r="P78" s="627"/>
      <c r="Q78" s="345"/>
      <c r="R78" s="372"/>
      <c r="S78" s="372"/>
      <c r="T78" s="373"/>
      <c r="U78" s="373"/>
      <c r="V78" s="373"/>
    </row>
    <row r="79" spans="1:22" s="63" customFormat="1">
      <c r="A79" s="632"/>
      <c r="B79" s="632"/>
      <c r="C79" s="632"/>
      <c r="D79" s="632" t="s">
        <v>126</v>
      </c>
      <c r="E79" s="633">
        <v>43399.771435185183</v>
      </c>
      <c r="F79" s="638">
        <v>43399.771435185183</v>
      </c>
      <c r="G79" s="634">
        <v>0.77430555555555547</v>
      </c>
      <c r="H79" s="635"/>
      <c r="I79" s="635"/>
      <c r="J79" s="635"/>
      <c r="K79" s="635"/>
      <c r="L79" s="635"/>
      <c r="M79" s="635"/>
      <c r="N79" s="635"/>
      <c r="O79" s="628"/>
      <c r="P79" s="627"/>
      <c r="Q79" s="345"/>
      <c r="R79" s="372"/>
      <c r="S79" s="372"/>
      <c r="T79" s="373"/>
      <c r="U79" s="373"/>
      <c r="V79" s="373"/>
    </row>
    <row r="80" spans="1:22" s="16" customFormat="1">
      <c r="A80" s="632">
        <v>13984</v>
      </c>
      <c r="B80" s="632" t="s">
        <v>78</v>
      </c>
      <c r="C80" s="632" t="s">
        <v>62</v>
      </c>
      <c r="D80" s="632" t="s">
        <v>125</v>
      </c>
      <c r="E80" s="633">
        <v>43402.36859953704</v>
      </c>
      <c r="F80" s="638">
        <v>43402.36859953704</v>
      </c>
      <c r="G80" s="634">
        <v>0.36805555555555558</v>
      </c>
      <c r="H80" s="635">
        <v>9.8833333333333329</v>
      </c>
      <c r="I80" s="635">
        <v>8</v>
      </c>
      <c r="J80" s="635" t="s">
        <v>115</v>
      </c>
      <c r="K80" s="635"/>
      <c r="L80" s="635"/>
      <c r="M80" s="635"/>
      <c r="N80" s="635"/>
      <c r="O80" s="628"/>
      <c r="P80" s="345"/>
      <c r="Q80" s="345"/>
      <c r="R80" s="137"/>
      <c r="S80" s="137"/>
    </row>
    <row r="81" spans="1:19">
      <c r="A81" s="632">
        <v>13998</v>
      </c>
      <c r="B81" s="632" t="s">
        <v>62</v>
      </c>
      <c r="C81" s="632" t="s">
        <v>62</v>
      </c>
      <c r="D81" s="632" t="s">
        <v>126</v>
      </c>
      <c r="E81" s="633">
        <v>43402.779895833337</v>
      </c>
      <c r="F81" s="638">
        <v>43402.779895833337</v>
      </c>
      <c r="G81" s="634">
        <v>0.77986111111111101</v>
      </c>
      <c r="H81" s="635" t="s">
        <v>115</v>
      </c>
      <c r="I81" s="635" t="s">
        <v>115</v>
      </c>
      <c r="J81" s="635" t="s">
        <v>115</v>
      </c>
      <c r="K81" s="635"/>
      <c r="L81" s="635"/>
      <c r="M81" s="635"/>
      <c r="N81" s="635"/>
    </row>
    <row r="82" spans="1:19">
      <c r="A82" s="632">
        <v>13999</v>
      </c>
      <c r="B82" s="632" t="s">
        <v>62</v>
      </c>
      <c r="C82" s="632" t="s">
        <v>62</v>
      </c>
      <c r="D82" s="632" t="s">
        <v>127</v>
      </c>
      <c r="E82" s="633">
        <v>43402.779918981483</v>
      </c>
      <c r="F82" s="638">
        <v>43402.779918981483</v>
      </c>
      <c r="G82" s="634">
        <v>0.77986111111111101</v>
      </c>
      <c r="H82" s="635" t="s">
        <v>115</v>
      </c>
      <c r="I82" s="635" t="s">
        <v>115</v>
      </c>
      <c r="J82" s="635" t="s">
        <v>115</v>
      </c>
      <c r="K82" s="635">
        <v>1.4500000000000002</v>
      </c>
      <c r="L82" s="635"/>
      <c r="M82" s="635">
        <v>1.4500000000000002</v>
      </c>
      <c r="N82" s="635">
        <v>0</v>
      </c>
    </row>
    <row r="83" spans="1:19" s="398" customFormat="1">
      <c r="A83" s="632">
        <v>14006</v>
      </c>
      <c r="B83" s="632" t="s">
        <v>62</v>
      </c>
      <c r="C83" s="632" t="s">
        <v>62</v>
      </c>
      <c r="D83" s="632" t="s">
        <v>128</v>
      </c>
      <c r="E83" s="633">
        <v>43402.840370370373</v>
      </c>
      <c r="F83" s="638">
        <v>43402.840370370373</v>
      </c>
      <c r="G83" s="634">
        <v>0.84027777777777779</v>
      </c>
      <c r="H83" s="635" t="s">
        <v>115</v>
      </c>
      <c r="I83" s="635" t="s">
        <v>115</v>
      </c>
      <c r="J83" s="635" t="s">
        <v>115</v>
      </c>
      <c r="K83" s="635"/>
      <c r="L83" s="635"/>
      <c r="M83" s="635"/>
      <c r="N83" s="635"/>
      <c r="O83" s="628"/>
      <c r="P83" s="345"/>
      <c r="Q83" s="345"/>
      <c r="R83" s="444"/>
      <c r="S83" s="444"/>
    </row>
    <row r="84" spans="1:19">
      <c r="A84" s="632">
        <v>14013</v>
      </c>
      <c r="B84" s="632" t="s">
        <v>62</v>
      </c>
      <c r="C84" s="632" t="s">
        <v>62</v>
      </c>
      <c r="D84" s="632" t="s">
        <v>125</v>
      </c>
      <c r="E84" s="633">
        <v>43403.369062500002</v>
      </c>
      <c r="F84" s="638">
        <v>43403.369062500002</v>
      </c>
      <c r="G84" s="634">
        <v>0.36874999999999997</v>
      </c>
      <c r="H84" s="635">
        <v>9.85</v>
      </c>
      <c r="I84" s="635">
        <v>8</v>
      </c>
      <c r="J84" s="635" t="s">
        <v>115</v>
      </c>
      <c r="K84" s="635"/>
      <c r="L84" s="635"/>
      <c r="M84" s="635"/>
      <c r="N84" s="635"/>
    </row>
    <row r="85" spans="1:19">
      <c r="A85" s="632">
        <v>14024</v>
      </c>
      <c r="B85" s="632" t="s">
        <v>62</v>
      </c>
      <c r="C85" s="632" t="s">
        <v>62</v>
      </c>
      <c r="D85" s="632" t="s">
        <v>126</v>
      </c>
      <c r="E85" s="633">
        <v>43403.779270833336</v>
      </c>
      <c r="F85" s="638">
        <v>43403.779270833336</v>
      </c>
      <c r="G85" s="634">
        <v>0.77916666666666667</v>
      </c>
      <c r="H85" s="635" t="s">
        <v>115</v>
      </c>
      <c r="I85" s="635" t="s">
        <v>115</v>
      </c>
      <c r="J85" s="635" t="s">
        <v>115</v>
      </c>
      <c r="K85" s="635"/>
      <c r="L85" s="635"/>
      <c r="M85" s="635"/>
      <c r="N85" s="635"/>
    </row>
    <row r="86" spans="1:19">
      <c r="A86" s="632">
        <v>14039</v>
      </c>
      <c r="B86" s="632" t="s">
        <v>62</v>
      </c>
      <c r="C86" s="632" t="s">
        <v>62</v>
      </c>
      <c r="D86" s="632" t="s">
        <v>125</v>
      </c>
      <c r="E86" s="633">
        <v>43404.389004629629</v>
      </c>
      <c r="F86" s="638">
        <v>43404.389004629629</v>
      </c>
      <c r="G86" s="634">
        <v>0.3888888888888889</v>
      </c>
      <c r="H86" s="635">
        <v>9.4333333333333336</v>
      </c>
      <c r="I86" s="635">
        <v>7.5</v>
      </c>
      <c r="J86" s="635">
        <v>0.5</v>
      </c>
      <c r="K86" s="635"/>
      <c r="L86" s="635"/>
      <c r="M86" s="635"/>
      <c r="N86" s="635"/>
      <c r="O86" s="628" t="s">
        <v>156</v>
      </c>
    </row>
    <row r="87" spans="1:19" s="16" customFormat="1">
      <c r="A87" s="632">
        <v>14049</v>
      </c>
      <c r="B87" s="632" t="s">
        <v>62</v>
      </c>
      <c r="C87" s="632" t="s">
        <v>62</v>
      </c>
      <c r="D87" s="632" t="s">
        <v>126</v>
      </c>
      <c r="E87" s="633">
        <v>43404.782557870371</v>
      </c>
      <c r="F87" s="638">
        <v>43404.782557870371</v>
      </c>
      <c r="G87" s="634">
        <v>0.78194444444444444</v>
      </c>
      <c r="H87" s="635" t="s">
        <v>115</v>
      </c>
      <c r="I87" s="635" t="s">
        <v>115</v>
      </c>
      <c r="J87" s="635" t="s">
        <v>115</v>
      </c>
      <c r="K87" s="635"/>
      <c r="L87" s="635"/>
      <c r="M87" s="635"/>
      <c r="N87" s="635"/>
      <c r="O87" s="628"/>
      <c r="P87" s="345"/>
      <c r="Q87" s="345"/>
      <c r="R87" s="137"/>
      <c r="S87" s="137"/>
    </row>
    <row r="88" spans="1:19" s="16" customFormat="1">
      <c r="A88" s="632">
        <v>14050</v>
      </c>
      <c r="B88" s="632" t="s">
        <v>62</v>
      </c>
      <c r="C88" s="632" t="s">
        <v>62</v>
      </c>
      <c r="D88" s="632" t="s">
        <v>127</v>
      </c>
      <c r="E88" s="633">
        <v>43404.782581018517</v>
      </c>
      <c r="F88" s="638">
        <v>43404.782581018517</v>
      </c>
      <c r="G88" s="634">
        <v>0.78194444444444444</v>
      </c>
      <c r="H88" s="635" t="s">
        <v>115</v>
      </c>
      <c r="I88" s="635" t="s">
        <v>115</v>
      </c>
      <c r="J88" s="635" t="s">
        <v>115</v>
      </c>
      <c r="K88" s="635">
        <v>0.55000000000000071</v>
      </c>
      <c r="L88" s="635"/>
      <c r="M88" s="635">
        <v>0.55000000000000071</v>
      </c>
      <c r="N88" s="635">
        <v>0</v>
      </c>
      <c r="O88" s="628"/>
      <c r="P88" s="345"/>
      <c r="Q88" s="345"/>
      <c r="R88" s="137"/>
      <c r="S88" s="137"/>
    </row>
    <row r="89" spans="1:19" s="16" customFormat="1">
      <c r="A89" s="632">
        <v>14052</v>
      </c>
      <c r="B89" s="632" t="s">
        <v>62</v>
      </c>
      <c r="C89" s="632" t="s">
        <v>62</v>
      </c>
      <c r="D89" s="632" t="s">
        <v>128</v>
      </c>
      <c r="E89" s="633">
        <v>43404.805520833332</v>
      </c>
      <c r="F89" s="638">
        <v>43404.805520833332</v>
      </c>
      <c r="G89" s="634">
        <v>0.80486111111111114</v>
      </c>
      <c r="H89" s="635" t="s">
        <v>115</v>
      </c>
      <c r="I89" s="635" t="s">
        <v>115</v>
      </c>
      <c r="J89" s="635" t="s">
        <v>115</v>
      </c>
      <c r="K89" s="635"/>
      <c r="L89" s="635"/>
      <c r="M89" s="635"/>
      <c r="N89" s="635"/>
      <c r="O89" s="628"/>
      <c r="P89" s="345"/>
      <c r="Q89" s="345"/>
      <c r="R89" s="137"/>
      <c r="S89" s="137"/>
    </row>
    <row r="90" spans="1:19" s="16" customFormat="1">
      <c r="A90" s="632"/>
      <c r="B90" s="632"/>
      <c r="C90" s="632"/>
      <c r="D90" s="632"/>
      <c r="E90" s="633"/>
      <c r="F90" s="638"/>
      <c r="G90" s="634"/>
      <c r="H90" s="635"/>
      <c r="I90" s="635"/>
      <c r="J90" s="635"/>
      <c r="K90" s="635"/>
      <c r="L90" s="635"/>
      <c r="M90" s="635"/>
      <c r="N90" s="635"/>
      <c r="O90" s="628"/>
      <c r="P90" s="345"/>
      <c r="Q90" s="345"/>
      <c r="R90" s="137"/>
      <c r="S90" s="137"/>
    </row>
    <row r="91" spans="1:19">
      <c r="A91" s="632"/>
      <c r="B91" s="632"/>
      <c r="C91" s="632"/>
      <c r="D91" s="632"/>
      <c r="E91" s="633"/>
      <c r="F91" s="638"/>
      <c r="G91" s="634"/>
      <c r="H91" s="635"/>
      <c r="I91" s="635"/>
      <c r="J91" s="635"/>
      <c r="K91" s="635"/>
      <c r="L91" s="635"/>
      <c r="M91" s="635"/>
      <c r="N91" s="635"/>
    </row>
    <row r="92" spans="1:19">
      <c r="A92" s="632"/>
      <c r="B92" s="632"/>
      <c r="C92" s="632"/>
      <c r="D92" s="632"/>
      <c r="E92" s="633"/>
      <c r="F92" s="638"/>
      <c r="G92" s="634"/>
      <c r="H92" s="635"/>
      <c r="I92" s="635"/>
      <c r="J92" s="635"/>
      <c r="K92" s="635"/>
      <c r="L92" s="635"/>
      <c r="M92" s="635"/>
      <c r="N92" s="635"/>
    </row>
    <row r="93" spans="1:19">
      <c r="A93" s="632"/>
      <c r="B93" s="632"/>
      <c r="C93" s="632"/>
      <c r="D93" s="632"/>
      <c r="E93" s="633"/>
      <c r="F93" s="638"/>
      <c r="G93" s="634"/>
      <c r="H93" s="635"/>
      <c r="I93" s="635"/>
      <c r="J93" s="635"/>
      <c r="K93" s="635"/>
      <c r="L93" s="635"/>
      <c r="M93" s="635"/>
      <c r="N93" s="635"/>
    </row>
    <row r="94" spans="1:19">
      <c r="A94" s="632"/>
      <c r="B94" s="632"/>
      <c r="C94" s="632"/>
      <c r="D94" s="632"/>
      <c r="E94" s="633"/>
      <c r="F94" s="638"/>
      <c r="G94" s="634"/>
      <c r="H94" s="635"/>
      <c r="I94" s="635"/>
      <c r="J94" s="635"/>
      <c r="K94" s="635"/>
      <c r="L94" s="635"/>
      <c r="M94" s="635"/>
      <c r="N94" s="635"/>
    </row>
    <row r="95" spans="1:19">
      <c r="A95" s="632"/>
      <c r="B95" s="632"/>
      <c r="C95" s="632"/>
      <c r="D95" s="632"/>
      <c r="E95" s="633"/>
      <c r="F95" s="638"/>
      <c r="G95" s="634"/>
      <c r="H95" s="635"/>
      <c r="I95" s="635"/>
      <c r="J95" s="635"/>
      <c r="K95" s="635"/>
      <c r="L95" s="635"/>
      <c r="M95" s="635"/>
      <c r="N95" s="635"/>
    </row>
    <row r="96" spans="1:19">
      <c r="A96" s="632"/>
      <c r="B96" s="632"/>
      <c r="C96" s="632"/>
      <c r="D96" s="636"/>
      <c r="E96" s="637"/>
      <c r="F96" s="441"/>
      <c r="G96" s="442"/>
      <c r="H96" s="443"/>
      <c r="I96" s="443"/>
      <c r="J96" s="443"/>
      <c r="K96" s="443"/>
      <c r="L96" s="443"/>
      <c r="M96" s="443"/>
      <c r="N96" s="443"/>
      <c r="P96" s="8"/>
      <c r="Q96" s="323"/>
    </row>
    <row r="97" spans="1:14">
      <c r="A97" s="632"/>
      <c r="B97" s="632"/>
      <c r="C97" s="632"/>
      <c r="D97" s="632"/>
      <c r="E97" s="633"/>
      <c r="F97" s="638"/>
      <c r="G97" s="634"/>
      <c r="H97" s="635"/>
      <c r="I97" s="635"/>
      <c r="J97" s="635"/>
      <c r="K97" s="635"/>
      <c r="L97" s="635"/>
      <c r="M97" s="635"/>
      <c r="N97" s="635"/>
    </row>
    <row r="98" spans="1:14">
      <c r="A98" s="632"/>
      <c r="B98" s="632"/>
      <c r="C98" s="632"/>
      <c r="D98" s="632"/>
      <c r="E98" s="633"/>
      <c r="F98" s="638"/>
      <c r="G98" s="634"/>
      <c r="H98" s="635"/>
      <c r="I98" s="635"/>
      <c r="J98" s="635"/>
      <c r="K98" s="635"/>
      <c r="L98" s="635"/>
      <c r="M98" s="635"/>
      <c r="N98" s="635"/>
    </row>
    <row r="99" spans="1:14">
      <c r="A99" s="632"/>
      <c r="B99" s="632"/>
      <c r="C99" s="632"/>
      <c r="D99" s="632"/>
      <c r="E99" s="633"/>
      <c r="F99" s="638"/>
      <c r="G99" s="634"/>
      <c r="H99" s="635"/>
      <c r="I99" s="635"/>
      <c r="J99" s="635"/>
      <c r="K99" s="635"/>
      <c r="L99" s="635"/>
      <c r="M99" s="635"/>
      <c r="N99" s="635"/>
    </row>
    <row r="100" spans="1:14">
      <c r="A100" s="576"/>
      <c r="B100" s="576"/>
      <c r="C100" s="576"/>
      <c r="D100" s="576"/>
      <c r="E100" s="577"/>
      <c r="F100" s="580"/>
      <c r="G100" s="578"/>
      <c r="H100" s="579"/>
      <c r="I100" s="579"/>
      <c r="J100" s="579"/>
      <c r="K100" s="579"/>
      <c r="L100" s="575"/>
      <c r="M100" s="579"/>
      <c r="N100" s="579"/>
    </row>
    <row r="101" spans="1:14">
      <c r="A101" s="576"/>
      <c r="B101" s="576"/>
      <c r="C101" s="576"/>
      <c r="D101" s="576"/>
      <c r="E101" s="577"/>
      <c r="F101" s="580"/>
      <c r="G101" s="578"/>
      <c r="H101" s="579"/>
      <c r="I101" s="579"/>
      <c r="J101" s="579"/>
      <c r="K101" s="575"/>
      <c r="L101" s="575"/>
      <c r="M101" s="575"/>
      <c r="N101" s="575"/>
    </row>
    <row r="103" spans="1:14">
      <c r="D103" s="9" t="s">
        <v>36</v>
      </c>
      <c r="E103" s="3"/>
      <c r="F103" s="16"/>
      <c r="G103" s="17"/>
      <c r="H103" s="51"/>
      <c r="I103" s="21"/>
      <c r="J103" s="21"/>
      <c r="K103" s="22"/>
      <c r="L103" s="22"/>
      <c r="M103" s="22"/>
      <c r="N103" s="22"/>
    </row>
    <row r="104" spans="1:14">
      <c r="D104" s="9" t="s">
        <v>35</v>
      </c>
      <c r="E104" s="3"/>
      <c r="F104" s="16"/>
      <c r="G104" s="17"/>
      <c r="H104" s="51"/>
      <c r="I104" s="21"/>
      <c r="J104" s="21"/>
      <c r="K104" s="22"/>
      <c r="L104" s="22"/>
      <c r="M104" s="22"/>
      <c r="N104" s="22"/>
    </row>
    <row r="105" spans="1:14">
      <c r="D105" s="172" t="s">
        <v>63</v>
      </c>
      <c r="E105" s="3"/>
      <c r="F105" s="16"/>
      <c r="G105" s="17"/>
      <c r="H105" s="51"/>
      <c r="I105" s="21"/>
      <c r="J105" s="21"/>
      <c r="K105" s="22"/>
      <c r="L105" s="22"/>
      <c r="M105" s="22"/>
      <c r="N105" s="22"/>
    </row>
    <row r="106" spans="1:14">
      <c r="D106" s="458" t="s">
        <v>66</v>
      </c>
      <c r="E106" s="3"/>
      <c r="F106" s="16"/>
      <c r="G106" s="17"/>
      <c r="H106" s="51"/>
      <c r="I106" s="21"/>
      <c r="J106" s="21"/>
      <c r="K106" s="22"/>
      <c r="L106" s="22"/>
      <c r="M106" s="22"/>
      <c r="N106" s="22"/>
    </row>
    <row r="107" spans="1:14">
      <c r="D107" s="458" t="s">
        <v>64</v>
      </c>
    </row>
    <row r="108" spans="1:14">
      <c r="D108" s="458" t="s">
        <v>68</v>
      </c>
    </row>
    <row r="109" spans="1:14">
      <c r="D109" s="458" t="s">
        <v>69</v>
      </c>
    </row>
    <row r="110" spans="1:14">
      <c r="D110" s="458" t="s">
        <v>116</v>
      </c>
    </row>
    <row r="111" spans="1:14">
      <c r="D111" s="458" t="s">
        <v>67</v>
      </c>
    </row>
  </sheetData>
  <phoneticPr fontId="18" type="noConversion"/>
  <conditionalFormatting sqref="I100:I101">
    <cfRule type="cellIs" dxfId="27" priority="7" operator="lessThan">
      <formula>4</formula>
    </cfRule>
  </conditionalFormatting>
  <conditionalFormatting sqref="I90:I99">
    <cfRule type="cellIs" dxfId="26" priority="6" operator="lessThan">
      <formula>4</formula>
    </cfRule>
  </conditionalFormatting>
  <conditionalFormatting sqref="I7:I32 I35:I77 I80:I89">
    <cfRule type="cellIs" dxfId="25" priority="4" operator="lessThan">
      <formula>4</formula>
    </cfRule>
  </conditionalFormatting>
  <conditionalFormatting sqref="I78:I79">
    <cfRule type="cellIs" dxfId="24" priority="2" operator="lessThan">
      <formula>4</formula>
    </cfRule>
  </conditionalFormatting>
  <conditionalFormatting sqref="I33:I34">
    <cfRule type="cellIs" dxfId="2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5" fitToHeight="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10">
    <tabColor theme="4"/>
    <pageSetUpPr fitToPage="1"/>
  </sheetPr>
  <dimension ref="A1:X107"/>
  <sheetViews>
    <sheetView view="pageBreakPreview" topLeftCell="A67" zoomScaleNormal="100" zoomScaleSheetLayoutView="100" workbookViewId="0">
      <selection activeCell="A79" sqref="A79:XFD82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7.7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25" style="22" customWidth="1"/>
    <col min="15" max="15" width="18.1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4" s="4" customFormat="1" ht="28.5" thickBot="1">
      <c r="C1" s="5"/>
      <c r="D1" s="6"/>
      <c r="E1" s="6"/>
      <c r="F1" s="10"/>
      <c r="G1" s="11"/>
      <c r="H1" s="12"/>
      <c r="I1" s="13" t="str">
        <f>B7</f>
        <v>nick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4">
      <c r="D2" s="133" t="s">
        <v>74</v>
      </c>
      <c r="E2" s="184">
        <f>64-24-8-8-16</f>
        <v>8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4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11.5</v>
      </c>
      <c r="K3" s="53">
        <f>SUM(K7:K196)</f>
        <v>10.799999999999997</v>
      </c>
      <c r="L3" s="53">
        <f>J3</f>
        <v>11.5</v>
      </c>
      <c r="M3" s="53">
        <f>M6-J3</f>
        <v>-1.100000000000005</v>
      </c>
      <c r="N3" s="53">
        <f>N6</f>
        <v>0.40000000000000213</v>
      </c>
      <c r="O3" s="50"/>
    </row>
    <row r="4" spans="1:24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4">
      <c r="D5" s="87">
        <v>0</v>
      </c>
      <c r="E5" s="86">
        <v>11.5</v>
      </c>
      <c r="F5" s="86">
        <v>16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6.7499999999999977E-2</v>
      </c>
    </row>
    <row r="6" spans="1:24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523"/>
      <c r="H6" s="525" t="s">
        <v>22</v>
      </c>
      <c r="I6" s="509">
        <f>SUM(I7:I196)</f>
        <v>148.5</v>
      </c>
      <c r="J6" s="509">
        <f t="shared" ref="J6:N6" si="0">SUM(J7:J196)</f>
        <v>35.5</v>
      </c>
      <c r="K6" s="509">
        <f t="shared" si="0"/>
        <v>10.799999999999997</v>
      </c>
      <c r="L6" s="509">
        <f t="shared" si="0"/>
        <v>0</v>
      </c>
      <c r="M6" s="509">
        <f t="shared" si="0"/>
        <v>10.399999999999995</v>
      </c>
      <c r="N6" s="509">
        <f t="shared" si="0"/>
        <v>0.40000000000000213</v>
      </c>
      <c r="O6" s="498"/>
    </row>
    <row r="7" spans="1:24" s="2" customFormat="1">
      <c r="A7" s="632">
        <v>13461</v>
      </c>
      <c r="B7" s="632" t="s">
        <v>71</v>
      </c>
      <c r="C7" s="632" t="s">
        <v>71</v>
      </c>
      <c r="D7" s="632" t="s">
        <v>125</v>
      </c>
      <c r="E7" s="633">
        <v>43374.367743055554</v>
      </c>
      <c r="F7" s="638">
        <v>43374.367743055554</v>
      </c>
      <c r="G7" s="634">
        <v>0.36736111111111108</v>
      </c>
      <c r="H7" s="635">
        <v>9.6833333333333336</v>
      </c>
      <c r="I7" s="635">
        <v>8</v>
      </c>
      <c r="J7" s="635" t="s">
        <v>115</v>
      </c>
      <c r="K7" s="635"/>
      <c r="L7" s="635"/>
      <c r="M7" s="635"/>
      <c r="N7" s="635"/>
      <c r="O7" s="587"/>
      <c r="P7" s="345"/>
      <c r="Q7" s="369"/>
      <c r="R7" s="149"/>
      <c r="S7" s="149"/>
      <c r="T7" s="130"/>
      <c r="U7" s="130"/>
      <c r="V7" s="130"/>
      <c r="W7" s="63"/>
    </row>
    <row r="8" spans="1:24">
      <c r="A8" s="632">
        <v>13511</v>
      </c>
      <c r="B8" s="632" t="s">
        <v>152</v>
      </c>
      <c r="C8" s="632" t="s">
        <v>71</v>
      </c>
      <c r="D8" s="632" t="s">
        <v>126</v>
      </c>
      <c r="E8" s="633">
        <v>43374.770833333336</v>
      </c>
      <c r="F8" s="638">
        <v>43374.770833333336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587"/>
      <c r="Q8" s="369"/>
      <c r="R8" s="149"/>
      <c r="S8" s="149"/>
      <c r="T8" s="130"/>
      <c r="U8" s="130"/>
      <c r="V8" s="130"/>
      <c r="W8" s="63"/>
    </row>
    <row r="9" spans="1:24" s="63" customFormat="1">
      <c r="A9" s="632">
        <v>13511</v>
      </c>
      <c r="B9" s="632" t="s">
        <v>152</v>
      </c>
      <c r="C9" s="632" t="s">
        <v>71</v>
      </c>
      <c r="D9" s="632" t="s">
        <v>127</v>
      </c>
      <c r="E9" s="633">
        <v>43374.770833333336</v>
      </c>
      <c r="F9" s="638">
        <v>43374.770833333336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1.1999999999999984</v>
      </c>
      <c r="L9" s="635"/>
      <c r="M9" s="635">
        <v>1.1999999999999984</v>
      </c>
      <c r="N9" s="635">
        <v>0</v>
      </c>
      <c r="O9" s="587"/>
      <c r="P9" s="373"/>
      <c r="Q9" s="373"/>
      <c r="R9" s="372"/>
      <c r="S9" s="372"/>
      <c r="T9" s="373"/>
      <c r="U9" s="373"/>
      <c r="V9" s="373"/>
      <c r="X9" s="187"/>
    </row>
    <row r="10" spans="1:24" s="63" customFormat="1">
      <c r="A10" s="632">
        <v>13489</v>
      </c>
      <c r="B10" s="632" t="s">
        <v>70</v>
      </c>
      <c r="C10" s="632" t="s">
        <v>71</v>
      </c>
      <c r="D10" s="632" t="s">
        <v>128</v>
      </c>
      <c r="E10" s="633">
        <v>43374.821192129632</v>
      </c>
      <c r="F10" s="638">
        <v>43374.821192129632</v>
      </c>
      <c r="G10" s="634">
        <v>0.8208333333333333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587"/>
      <c r="R10" s="18"/>
      <c r="S10" s="18"/>
      <c r="X10" s="187"/>
    </row>
    <row r="11" spans="1:24" s="2" customFormat="1">
      <c r="A11" s="632">
        <v>13499</v>
      </c>
      <c r="B11" s="632" t="s">
        <v>71</v>
      </c>
      <c r="C11" s="632" t="s">
        <v>71</v>
      </c>
      <c r="D11" s="632" t="s">
        <v>125</v>
      </c>
      <c r="E11" s="633">
        <v>43375.367534722223</v>
      </c>
      <c r="F11" s="638">
        <v>43375.367534722223</v>
      </c>
      <c r="G11" s="634">
        <v>0.36736111111111108</v>
      </c>
      <c r="H11" s="635">
        <v>9.5333333333333314</v>
      </c>
      <c r="I11" s="635">
        <v>8</v>
      </c>
      <c r="J11" s="635" t="s">
        <v>115</v>
      </c>
      <c r="K11" s="635"/>
      <c r="L11" s="635"/>
      <c r="M11" s="635"/>
      <c r="N11" s="635"/>
      <c r="O11" s="587"/>
      <c r="P11" s="345"/>
      <c r="Q11" s="369"/>
      <c r="R11" s="18"/>
      <c r="S11" s="18"/>
      <c r="T11" s="63"/>
      <c r="U11" s="63"/>
      <c r="V11" s="63"/>
      <c r="W11" s="63"/>
    </row>
    <row r="12" spans="1:24">
      <c r="A12" s="632">
        <v>13511</v>
      </c>
      <c r="B12" s="632" t="s">
        <v>152</v>
      </c>
      <c r="C12" s="632" t="s">
        <v>71</v>
      </c>
      <c r="D12" s="632" t="s">
        <v>126</v>
      </c>
      <c r="E12" s="633">
        <v>43375.764849537038</v>
      </c>
      <c r="F12" s="638">
        <v>43375.764849537038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587"/>
      <c r="Q12" s="369"/>
      <c r="R12" s="372"/>
      <c r="S12" s="372"/>
      <c r="T12" s="373"/>
      <c r="U12" s="373"/>
      <c r="V12" s="373"/>
      <c r="W12" s="63"/>
    </row>
    <row r="13" spans="1:24" s="63" customFormat="1">
      <c r="A13" s="632">
        <v>13512</v>
      </c>
      <c r="B13" s="632" t="s">
        <v>70</v>
      </c>
      <c r="C13" s="632" t="s">
        <v>71</v>
      </c>
      <c r="D13" s="632" t="s">
        <v>127</v>
      </c>
      <c r="E13" s="633">
        <v>43375.764884259261</v>
      </c>
      <c r="F13" s="638">
        <v>43375.764884259261</v>
      </c>
      <c r="G13" s="634">
        <v>0.76458333333333339</v>
      </c>
      <c r="H13" s="635" t="s">
        <v>115</v>
      </c>
      <c r="I13" s="635" t="s">
        <v>115</v>
      </c>
      <c r="J13" s="635" t="s">
        <v>115</v>
      </c>
      <c r="K13" s="635">
        <v>2.4000000000000021</v>
      </c>
      <c r="L13" s="635"/>
      <c r="M13" s="635">
        <v>2</v>
      </c>
      <c r="N13" s="635">
        <v>0.40000000000000213</v>
      </c>
      <c r="O13" s="587"/>
      <c r="P13" s="137"/>
      <c r="Q13" s="397"/>
      <c r="R13" s="137"/>
      <c r="S13" s="137"/>
      <c r="T13" s="16"/>
      <c r="U13" s="16"/>
      <c r="V13" s="16"/>
    </row>
    <row r="14" spans="1:24" s="63" customFormat="1">
      <c r="A14" s="632">
        <v>13521</v>
      </c>
      <c r="B14" s="632" t="s">
        <v>70</v>
      </c>
      <c r="C14" s="632" t="s">
        <v>71</v>
      </c>
      <c r="D14" s="632" t="s">
        <v>128</v>
      </c>
      <c r="E14" s="633">
        <v>43375.865069444444</v>
      </c>
      <c r="F14" s="638">
        <v>43375.865069444444</v>
      </c>
      <c r="G14" s="634">
        <v>0.86458333333333337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587"/>
      <c r="P14" s="137"/>
      <c r="Q14" s="397"/>
      <c r="R14" s="137"/>
      <c r="S14" s="137"/>
      <c r="T14" s="16"/>
      <c r="U14" s="16"/>
      <c r="V14" s="16"/>
    </row>
    <row r="15" spans="1:24" s="2" customFormat="1">
      <c r="A15" s="632">
        <v>13526</v>
      </c>
      <c r="B15" s="632" t="s">
        <v>71</v>
      </c>
      <c r="C15" s="632" t="s">
        <v>71</v>
      </c>
      <c r="D15" s="632" t="s">
        <v>125</v>
      </c>
      <c r="E15" s="633">
        <v>43376.369537037041</v>
      </c>
      <c r="F15" s="638">
        <v>43376.369537037041</v>
      </c>
      <c r="G15" s="634">
        <v>0.36944444444444446</v>
      </c>
      <c r="H15" s="635">
        <v>9.65</v>
      </c>
      <c r="I15" s="635">
        <v>8</v>
      </c>
      <c r="J15" s="635" t="s">
        <v>115</v>
      </c>
      <c r="K15" s="635"/>
      <c r="L15" s="635"/>
      <c r="M15" s="635"/>
      <c r="N15" s="635"/>
      <c r="O15" s="587"/>
      <c r="P15" s="137"/>
      <c r="Q15" s="397"/>
      <c r="R15" s="137"/>
      <c r="S15" s="137"/>
      <c r="T15" s="16"/>
      <c r="U15" s="16"/>
      <c r="V15" s="16"/>
      <c r="W15" s="63"/>
      <c r="X15"/>
    </row>
    <row r="16" spans="1:24">
      <c r="A16" s="632">
        <v>13540</v>
      </c>
      <c r="B16" s="632" t="s">
        <v>71</v>
      </c>
      <c r="C16" s="632" t="s">
        <v>71</v>
      </c>
      <c r="D16" s="632" t="s">
        <v>126</v>
      </c>
      <c r="E16" s="633">
        <v>43376.771701388891</v>
      </c>
      <c r="F16" s="638">
        <v>43376.771701388891</v>
      </c>
      <c r="G16" s="634">
        <v>0.7715277777777777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587"/>
      <c r="P16" s="137"/>
      <c r="Q16" s="397"/>
      <c r="R16" s="137"/>
      <c r="S16" s="137"/>
      <c r="T16" s="16"/>
      <c r="U16" s="16"/>
      <c r="V16" s="16"/>
      <c r="W16" s="63"/>
    </row>
    <row r="17" spans="1:24" s="63" customFormat="1">
      <c r="A17" s="632">
        <v>13542</v>
      </c>
      <c r="B17" s="632" t="s">
        <v>71</v>
      </c>
      <c r="C17" s="632" t="s">
        <v>71</v>
      </c>
      <c r="D17" s="632" t="s">
        <v>127</v>
      </c>
      <c r="E17" s="633">
        <v>43376.77175925926</v>
      </c>
      <c r="F17" s="638">
        <v>43376.77175925926</v>
      </c>
      <c r="G17" s="634">
        <v>0.7715277777777777</v>
      </c>
      <c r="H17" s="635" t="s">
        <v>115</v>
      </c>
      <c r="I17" s="635" t="s">
        <v>115</v>
      </c>
      <c r="J17" s="635" t="s">
        <v>115</v>
      </c>
      <c r="K17" s="635">
        <v>0.41666666666666519</v>
      </c>
      <c r="L17" s="635"/>
      <c r="M17" s="635">
        <v>0.41666666666666519</v>
      </c>
      <c r="N17" s="635">
        <v>0</v>
      </c>
      <c r="O17" s="587"/>
      <c r="P17" s="345"/>
      <c r="Q17" s="369"/>
      <c r="R17" s="372"/>
      <c r="S17" s="372"/>
      <c r="T17" s="373"/>
      <c r="U17" s="373"/>
      <c r="V17" s="373"/>
      <c r="W17" s="187"/>
      <c r="X17" s="2"/>
    </row>
    <row r="18" spans="1:24" s="63" customFormat="1">
      <c r="A18" s="632">
        <v>13545</v>
      </c>
      <c r="B18" s="632" t="s">
        <v>70</v>
      </c>
      <c r="C18" s="632" t="s">
        <v>71</v>
      </c>
      <c r="D18" s="632" t="s">
        <v>128</v>
      </c>
      <c r="E18" s="633">
        <v>43376.788912037038</v>
      </c>
      <c r="F18" s="638">
        <v>43376.788912037038</v>
      </c>
      <c r="G18" s="634">
        <v>0.78888888888888886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587"/>
      <c r="P18" s="345"/>
      <c r="Q18" s="369"/>
      <c r="R18" s="372"/>
      <c r="S18" s="372"/>
      <c r="T18" s="373"/>
      <c r="U18" s="373"/>
      <c r="V18" s="373"/>
    </row>
    <row r="19" spans="1:24" s="2" customFormat="1">
      <c r="A19" s="632">
        <v>13557</v>
      </c>
      <c r="B19" s="632" t="s">
        <v>71</v>
      </c>
      <c r="C19" s="632" t="s">
        <v>71</v>
      </c>
      <c r="D19" s="632" t="s">
        <v>125</v>
      </c>
      <c r="E19" s="633">
        <v>43377.36886574074</v>
      </c>
      <c r="F19" s="638">
        <v>43377.36886574074</v>
      </c>
      <c r="G19" s="634">
        <v>0.36874999999999997</v>
      </c>
      <c r="H19" s="635">
        <v>9.8000000000000007</v>
      </c>
      <c r="I19" s="635">
        <v>8</v>
      </c>
      <c r="J19" s="635" t="s">
        <v>115</v>
      </c>
      <c r="K19" s="635"/>
      <c r="L19" s="635"/>
      <c r="M19" s="635"/>
      <c r="N19" s="635"/>
      <c r="O19" s="587"/>
      <c r="P19" s="9"/>
      <c r="Q19" s="345"/>
      <c r="R19" s="372"/>
      <c r="S19" s="372"/>
      <c r="T19" s="373"/>
      <c r="U19" s="373"/>
      <c r="V19" s="373"/>
      <c r="W19" s="9"/>
      <c r="X19" s="63"/>
    </row>
    <row r="20" spans="1:24">
      <c r="A20" s="632">
        <v>13573</v>
      </c>
      <c r="B20" s="632" t="s">
        <v>70</v>
      </c>
      <c r="C20" s="632" t="s">
        <v>71</v>
      </c>
      <c r="D20" s="632" t="s">
        <v>126</v>
      </c>
      <c r="E20" s="633">
        <v>43377.777222222219</v>
      </c>
      <c r="F20" s="638">
        <v>43377.777222222219</v>
      </c>
      <c r="G20" s="634">
        <v>0.77708333333333324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587"/>
      <c r="P20" s="9"/>
      <c r="R20" s="372"/>
      <c r="S20" s="372"/>
      <c r="T20" s="373"/>
      <c r="U20" s="373"/>
      <c r="V20" s="373"/>
      <c r="X20" s="63"/>
    </row>
    <row r="21" spans="1:24" s="625" customFormat="1">
      <c r="A21" s="632">
        <v>13574</v>
      </c>
      <c r="B21" s="632" t="s">
        <v>70</v>
      </c>
      <c r="C21" s="632" t="s">
        <v>71</v>
      </c>
      <c r="D21" s="632" t="s">
        <v>127</v>
      </c>
      <c r="E21" s="633">
        <v>43377.777256944442</v>
      </c>
      <c r="F21" s="638">
        <v>43377.777256944442</v>
      </c>
      <c r="G21" s="634">
        <v>0.77708333333333324</v>
      </c>
      <c r="H21" s="635" t="s">
        <v>115</v>
      </c>
      <c r="I21" s="635" t="s">
        <v>115</v>
      </c>
      <c r="J21" s="635" t="s">
        <v>115</v>
      </c>
      <c r="K21" s="635">
        <v>0.75</v>
      </c>
      <c r="L21" s="635"/>
      <c r="M21" s="635">
        <v>0.75</v>
      </c>
      <c r="N21" s="635">
        <v>0</v>
      </c>
      <c r="O21" s="628"/>
      <c r="P21" s="627"/>
      <c r="Q21" s="345"/>
      <c r="R21" s="372"/>
      <c r="S21" s="372"/>
      <c r="T21" s="373"/>
      <c r="U21" s="373"/>
      <c r="V21" s="373"/>
      <c r="X21" s="63"/>
    </row>
    <row r="22" spans="1:24" s="625" customFormat="1">
      <c r="A22" s="632">
        <v>13579</v>
      </c>
      <c r="B22" s="632" t="s">
        <v>70</v>
      </c>
      <c r="C22" s="632" t="s">
        <v>71</v>
      </c>
      <c r="D22" s="632" t="s">
        <v>128</v>
      </c>
      <c r="E22" s="633">
        <v>43377.808842592596</v>
      </c>
      <c r="F22" s="638">
        <v>43377.808842592596</v>
      </c>
      <c r="G22" s="634">
        <v>0.80833333333333324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28"/>
      <c r="P22" s="627"/>
      <c r="Q22" s="345"/>
      <c r="R22" s="372"/>
      <c r="S22" s="372"/>
      <c r="T22" s="373"/>
      <c r="U22" s="373"/>
      <c r="V22" s="373"/>
      <c r="X22" s="63"/>
    </row>
    <row r="23" spans="1:24" s="2" customFormat="1">
      <c r="A23" s="632">
        <v>13587</v>
      </c>
      <c r="B23" s="632" t="s">
        <v>71</v>
      </c>
      <c r="C23" s="632" t="s">
        <v>71</v>
      </c>
      <c r="D23" s="632" t="s">
        <v>125</v>
      </c>
      <c r="E23" s="633">
        <v>43378.367881944447</v>
      </c>
      <c r="F23" s="638">
        <v>43378.367881944447</v>
      </c>
      <c r="G23" s="634">
        <v>0.36736111111111108</v>
      </c>
      <c r="H23" s="635">
        <v>9.7166666666666668</v>
      </c>
      <c r="I23" s="635">
        <v>8</v>
      </c>
      <c r="J23" s="635" t="s">
        <v>115</v>
      </c>
      <c r="K23" s="635"/>
      <c r="L23" s="635"/>
      <c r="M23" s="635"/>
      <c r="N23" s="635"/>
      <c r="O23" s="587"/>
      <c r="P23" s="9"/>
      <c r="Q23" s="345"/>
      <c r="R23" s="372"/>
      <c r="S23" s="372"/>
      <c r="T23" s="373"/>
      <c r="U23" s="373"/>
      <c r="V23" s="373"/>
      <c r="W23"/>
      <c r="X23" s="63"/>
    </row>
    <row r="24" spans="1:24">
      <c r="A24" s="632">
        <v>13604</v>
      </c>
      <c r="B24" s="632" t="s">
        <v>71</v>
      </c>
      <c r="C24" s="632" t="s">
        <v>71</v>
      </c>
      <c r="D24" s="632" t="s">
        <v>126</v>
      </c>
      <c r="E24" s="633">
        <v>43378.77239583333</v>
      </c>
      <c r="F24" s="638">
        <v>43378.77239583333</v>
      </c>
      <c r="G24" s="634">
        <v>0.77222222222222225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587"/>
      <c r="P24" s="9"/>
      <c r="R24" s="372"/>
      <c r="S24" s="372"/>
      <c r="T24" s="373"/>
      <c r="U24" s="373"/>
      <c r="V24" s="373"/>
      <c r="W24" s="63"/>
    </row>
    <row r="25" spans="1:24" s="2" customFormat="1">
      <c r="A25" s="632">
        <v>13605</v>
      </c>
      <c r="B25" s="632" t="s">
        <v>71</v>
      </c>
      <c r="C25" s="632" t="s">
        <v>71</v>
      </c>
      <c r="D25" s="632" t="s">
        <v>127</v>
      </c>
      <c r="E25" s="633">
        <v>43378.77244212963</v>
      </c>
      <c r="F25" s="638">
        <v>43378.77244212963</v>
      </c>
      <c r="G25" s="634">
        <v>0.77222222222222225</v>
      </c>
      <c r="H25" s="635" t="s">
        <v>115</v>
      </c>
      <c r="I25" s="635" t="s">
        <v>115</v>
      </c>
      <c r="J25" s="635" t="s">
        <v>115</v>
      </c>
      <c r="K25" s="635">
        <v>0.16666666666666607</v>
      </c>
      <c r="L25" s="635"/>
      <c r="M25" s="635">
        <v>0.16666666666666607</v>
      </c>
      <c r="N25" s="635">
        <v>0</v>
      </c>
      <c r="O25" s="587"/>
      <c r="P25" s="9"/>
      <c r="Q25" s="345"/>
      <c r="R25" s="372"/>
      <c r="S25" s="372"/>
      <c r="T25" s="373"/>
      <c r="U25" s="373"/>
      <c r="V25" s="373"/>
      <c r="W25" s="63"/>
      <c r="X25" s="63"/>
    </row>
    <row r="26" spans="1:24" s="398" customFormat="1">
      <c r="A26" s="632">
        <v>13607</v>
      </c>
      <c r="B26" s="632" t="s">
        <v>70</v>
      </c>
      <c r="C26" s="632" t="s">
        <v>71</v>
      </c>
      <c r="D26" s="632" t="s">
        <v>128</v>
      </c>
      <c r="E26" s="633">
        <v>43378.779710648145</v>
      </c>
      <c r="F26" s="638">
        <v>43378.779710648145</v>
      </c>
      <c r="G26" s="634">
        <v>0.77916666666666667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587"/>
      <c r="P26" s="444"/>
      <c r="Q26" s="444"/>
      <c r="R26" s="137"/>
      <c r="S26" s="137"/>
      <c r="T26" s="16"/>
      <c r="U26" s="16"/>
      <c r="V26" s="16"/>
      <c r="W26" s="16"/>
    </row>
    <row r="27" spans="1:24" s="63" customFormat="1">
      <c r="A27" s="632"/>
      <c r="B27" s="632"/>
      <c r="C27" s="632"/>
      <c r="D27" s="632" t="s">
        <v>125</v>
      </c>
      <c r="E27" s="633">
        <v>43381.354166666664</v>
      </c>
      <c r="F27" s="638">
        <v>43381.354166666664</v>
      </c>
      <c r="G27" s="634">
        <v>0.35416666666666669</v>
      </c>
      <c r="H27" s="635"/>
      <c r="I27" s="635">
        <v>0</v>
      </c>
      <c r="J27" s="635">
        <v>8</v>
      </c>
      <c r="K27" s="635"/>
      <c r="L27" s="635"/>
      <c r="M27" s="635"/>
      <c r="N27" s="635"/>
      <c r="O27" s="628" t="s">
        <v>156</v>
      </c>
      <c r="P27" s="627"/>
      <c r="Q27" s="345"/>
      <c r="R27" s="372"/>
      <c r="S27" s="372"/>
      <c r="T27" s="373"/>
      <c r="U27" s="373"/>
      <c r="V27" s="373"/>
    </row>
    <row r="28" spans="1:24" s="63" customFormat="1">
      <c r="A28" s="632"/>
      <c r="B28" s="632"/>
      <c r="C28" s="632"/>
      <c r="D28" s="632" t="s">
        <v>126</v>
      </c>
      <c r="E28" s="633">
        <v>43381.770833333336</v>
      </c>
      <c r="F28" s="638">
        <v>43381.770833333336</v>
      </c>
      <c r="G28" s="634">
        <v>0.75</v>
      </c>
      <c r="H28" s="635"/>
      <c r="I28" s="635"/>
      <c r="J28" s="635"/>
      <c r="K28" s="635"/>
      <c r="L28" s="635"/>
      <c r="M28" s="635"/>
      <c r="N28" s="635"/>
      <c r="O28" s="628"/>
      <c r="P28" s="627"/>
      <c r="Q28" s="345"/>
      <c r="R28" s="372"/>
      <c r="S28" s="372"/>
      <c r="T28" s="373"/>
      <c r="U28" s="373"/>
      <c r="V28" s="373"/>
    </row>
    <row r="29" spans="1:24" s="63" customFormat="1">
      <c r="A29" s="632"/>
      <c r="B29" s="632"/>
      <c r="C29" s="632"/>
      <c r="D29" s="632" t="s">
        <v>125</v>
      </c>
      <c r="E29" s="633">
        <v>43382.354166666664</v>
      </c>
      <c r="F29" s="638">
        <v>43382.354166666664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156</v>
      </c>
      <c r="P29" s="627"/>
      <c r="Q29" s="345"/>
      <c r="R29" s="372"/>
      <c r="S29" s="372"/>
      <c r="T29" s="373"/>
      <c r="U29" s="373"/>
      <c r="V29" s="373"/>
    </row>
    <row r="30" spans="1:24" s="63" customFormat="1">
      <c r="A30" s="632"/>
      <c r="B30" s="632"/>
      <c r="C30" s="632"/>
      <c r="D30" s="632" t="s">
        <v>126</v>
      </c>
      <c r="E30" s="633">
        <v>43382.770833333336</v>
      </c>
      <c r="F30" s="638">
        <v>43382.770833333336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4" s="63" customFormat="1">
      <c r="A31" s="632"/>
      <c r="B31" s="632"/>
      <c r="C31" s="632"/>
      <c r="D31" s="632" t="s">
        <v>125</v>
      </c>
      <c r="E31" s="633">
        <v>43383.354409722226</v>
      </c>
      <c r="F31" s="638">
        <v>43383.354409722226</v>
      </c>
      <c r="G31" s="634">
        <v>0.35416666666666669</v>
      </c>
      <c r="H31" s="635"/>
      <c r="I31" s="635">
        <v>0</v>
      </c>
      <c r="J31" s="635">
        <v>8</v>
      </c>
      <c r="K31" s="635"/>
      <c r="L31" s="635"/>
      <c r="M31" s="635"/>
      <c r="N31" s="635"/>
      <c r="O31" s="628" t="s">
        <v>157</v>
      </c>
      <c r="P31" s="627"/>
      <c r="Q31" s="345"/>
      <c r="R31" s="372"/>
      <c r="S31" s="372"/>
      <c r="T31" s="373"/>
      <c r="U31" s="373"/>
      <c r="V31" s="373"/>
    </row>
    <row r="32" spans="1:24" s="63" customFormat="1">
      <c r="A32" s="632"/>
      <c r="B32" s="632"/>
      <c r="C32" s="632"/>
      <c r="D32" s="632" t="s">
        <v>126</v>
      </c>
      <c r="E32" s="633">
        <v>43383.75</v>
      </c>
      <c r="F32" s="638">
        <v>43383.771435185183</v>
      </c>
      <c r="G32" s="634">
        <v>0.75</v>
      </c>
      <c r="H32" s="635"/>
      <c r="I32" s="635"/>
      <c r="J32" s="635"/>
      <c r="K32" s="635"/>
      <c r="L32" s="635"/>
      <c r="M32" s="635"/>
      <c r="N32" s="635"/>
      <c r="O32" s="628"/>
      <c r="P32" s="627"/>
      <c r="Q32" s="345"/>
      <c r="R32" s="372"/>
      <c r="S32" s="372"/>
      <c r="T32" s="373"/>
      <c r="U32" s="373"/>
      <c r="V32" s="373"/>
    </row>
    <row r="33" spans="1:24" s="458" customFormat="1">
      <c r="A33" s="632">
        <v>13664</v>
      </c>
      <c r="B33" s="632" t="s">
        <v>71</v>
      </c>
      <c r="C33" s="632" t="s">
        <v>71</v>
      </c>
      <c r="D33" s="632" t="s">
        <v>125</v>
      </c>
      <c r="E33" s="633">
        <v>43384.367129629631</v>
      </c>
      <c r="F33" s="638">
        <v>43384.367129629631</v>
      </c>
      <c r="G33" s="634">
        <v>0.3666666666666667</v>
      </c>
      <c r="H33" s="635">
        <v>9.6333333333333346</v>
      </c>
      <c r="I33" s="635">
        <v>8</v>
      </c>
      <c r="J33" s="635" t="s">
        <v>115</v>
      </c>
      <c r="K33" s="635"/>
      <c r="L33" s="635"/>
      <c r="M33" s="635"/>
      <c r="N33" s="635"/>
      <c r="O33" s="587"/>
      <c r="P33" s="9"/>
      <c r="Q33" s="345"/>
      <c r="R33" s="372"/>
      <c r="S33" s="372"/>
      <c r="T33" s="373"/>
      <c r="U33" s="373"/>
      <c r="V33" s="373"/>
      <c r="W33" s="63"/>
    </row>
    <row r="34" spans="1:24" s="458" customFormat="1">
      <c r="A34" s="632">
        <v>13671</v>
      </c>
      <c r="B34" s="632" t="s">
        <v>70</v>
      </c>
      <c r="C34" s="632" t="s">
        <v>71</v>
      </c>
      <c r="D34" s="632" t="s">
        <v>126</v>
      </c>
      <c r="E34" s="633">
        <v>43384.768310185187</v>
      </c>
      <c r="F34" s="638">
        <v>43384.768310185187</v>
      </c>
      <c r="G34" s="634">
        <v>0.7680555555555556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587"/>
      <c r="P34" s="9"/>
      <c r="Q34" s="345"/>
      <c r="R34" s="372"/>
      <c r="S34" s="372"/>
      <c r="T34" s="373"/>
      <c r="U34" s="373"/>
      <c r="V34" s="373"/>
      <c r="W34" s="63"/>
    </row>
    <row r="35" spans="1:24" s="2" customFormat="1">
      <c r="A35" s="632">
        <v>13672</v>
      </c>
      <c r="B35" s="632" t="s">
        <v>70</v>
      </c>
      <c r="C35" s="632" t="s">
        <v>71</v>
      </c>
      <c r="D35" s="632" t="s">
        <v>127</v>
      </c>
      <c r="E35" s="633">
        <v>43384.76835648148</v>
      </c>
      <c r="F35" s="638">
        <v>43384.76835648148</v>
      </c>
      <c r="G35" s="634">
        <v>0.7680555555555556</v>
      </c>
      <c r="H35" s="635" t="s">
        <v>115</v>
      </c>
      <c r="I35" s="635" t="s">
        <v>115</v>
      </c>
      <c r="J35" s="635" t="s">
        <v>115</v>
      </c>
      <c r="K35" s="635">
        <v>0.93333333333333268</v>
      </c>
      <c r="L35" s="635"/>
      <c r="M35" s="635">
        <v>0.93333333333333268</v>
      </c>
      <c r="N35" s="635">
        <v>0</v>
      </c>
      <c r="O35" s="587"/>
      <c r="P35" s="9"/>
      <c r="Q35" s="345"/>
      <c r="R35" s="372"/>
      <c r="S35" s="372"/>
      <c r="T35" s="373"/>
      <c r="U35" s="373"/>
      <c r="V35" s="373"/>
      <c r="W35" s="16"/>
    </row>
    <row r="36" spans="1:24">
      <c r="A36" s="632">
        <v>13687</v>
      </c>
      <c r="B36" s="632" t="s">
        <v>70</v>
      </c>
      <c r="C36" s="632" t="s">
        <v>71</v>
      </c>
      <c r="D36" s="632" t="s">
        <v>128</v>
      </c>
      <c r="E36" s="633">
        <v>43384.80746527778</v>
      </c>
      <c r="F36" s="638">
        <v>43384.80746527778</v>
      </c>
      <c r="G36" s="634">
        <v>0.80694444444444446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587"/>
      <c r="P36" s="9"/>
      <c r="R36" s="372"/>
      <c r="S36" s="372"/>
      <c r="T36" s="373"/>
      <c r="U36" s="373"/>
      <c r="V36" s="373"/>
      <c r="W36" s="63"/>
    </row>
    <row r="37" spans="1:24" s="2" customFormat="1">
      <c r="A37" s="632">
        <v>13697</v>
      </c>
      <c r="B37" s="632" t="s">
        <v>70</v>
      </c>
      <c r="C37" s="632" t="s">
        <v>71</v>
      </c>
      <c r="D37" s="632" t="s">
        <v>125</v>
      </c>
      <c r="E37" s="633">
        <v>43385.370243055557</v>
      </c>
      <c r="F37" s="638">
        <v>43385.370243055557</v>
      </c>
      <c r="G37" s="634">
        <v>0.37013888888888885</v>
      </c>
      <c r="H37" s="635">
        <v>9.5833333333333339</v>
      </c>
      <c r="I37" s="635">
        <v>8</v>
      </c>
      <c r="J37" s="635" t="s">
        <v>115</v>
      </c>
      <c r="K37" s="635"/>
      <c r="L37" s="635"/>
      <c r="M37" s="635"/>
      <c r="N37" s="635"/>
      <c r="O37" s="587"/>
      <c r="P37" s="9"/>
      <c r="Q37" s="345"/>
      <c r="R37" s="372"/>
      <c r="S37" s="372"/>
      <c r="T37" s="373"/>
      <c r="U37" s="373"/>
      <c r="V37" s="373"/>
      <c r="W37"/>
      <c r="X37" s="16"/>
    </row>
    <row r="38" spans="1:24">
      <c r="A38" s="632">
        <v>13704</v>
      </c>
      <c r="B38" s="632" t="s">
        <v>70</v>
      </c>
      <c r="C38" s="632" t="s">
        <v>71</v>
      </c>
      <c r="D38" s="632" t="s">
        <v>126</v>
      </c>
      <c r="E38" s="633">
        <v>43385.769548611112</v>
      </c>
      <c r="F38" s="638">
        <v>43385.769548611112</v>
      </c>
      <c r="G38" s="634">
        <v>0.76944444444444438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  <c r="O38" s="587"/>
      <c r="P38" s="9"/>
      <c r="R38" s="372"/>
      <c r="S38" s="372"/>
      <c r="T38" s="373"/>
      <c r="U38" s="373"/>
      <c r="V38" s="373"/>
      <c r="X38" s="16"/>
    </row>
    <row r="39" spans="1:24" s="2" customFormat="1">
      <c r="A39" s="632">
        <v>13705</v>
      </c>
      <c r="B39" s="632" t="s">
        <v>70</v>
      </c>
      <c r="C39" s="632" t="s">
        <v>71</v>
      </c>
      <c r="D39" s="632" t="s">
        <v>127</v>
      </c>
      <c r="E39" s="633">
        <v>43385.769583333335</v>
      </c>
      <c r="F39" s="638">
        <v>43385.769583333335</v>
      </c>
      <c r="G39" s="634">
        <v>0.76944444444444438</v>
      </c>
      <c r="H39" s="635" t="s">
        <v>115</v>
      </c>
      <c r="I39" s="635" t="s">
        <v>115</v>
      </c>
      <c r="J39" s="635" t="s">
        <v>115</v>
      </c>
      <c r="K39" s="635">
        <v>0.31666666666666554</v>
      </c>
      <c r="L39" s="635"/>
      <c r="M39" s="635">
        <v>0.31666666666666554</v>
      </c>
      <c r="N39" s="635">
        <v>0</v>
      </c>
      <c r="O39" s="587"/>
      <c r="P39" s="9"/>
      <c r="Q39" s="345"/>
      <c r="R39" s="372"/>
      <c r="S39" s="372"/>
      <c r="T39" s="373"/>
      <c r="U39" s="373"/>
      <c r="V39" s="373"/>
      <c r="W39"/>
      <c r="X39" s="63"/>
    </row>
    <row r="40" spans="1:24" s="63" customFormat="1">
      <c r="A40" s="632">
        <v>13711</v>
      </c>
      <c r="B40" s="632" t="s">
        <v>70</v>
      </c>
      <c r="C40" s="632" t="s">
        <v>71</v>
      </c>
      <c r="D40" s="632" t="s">
        <v>128</v>
      </c>
      <c r="E40" s="633">
        <v>43385.782986111109</v>
      </c>
      <c r="F40" s="638">
        <v>43385.782986111109</v>
      </c>
      <c r="G40" s="634">
        <v>0.78263888888888899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587"/>
      <c r="P40" s="9"/>
      <c r="Q40" s="345"/>
      <c r="R40" s="372"/>
      <c r="S40" s="372"/>
      <c r="T40" s="373"/>
      <c r="U40" s="373"/>
      <c r="V40" s="373"/>
      <c r="W40"/>
    </row>
    <row r="41" spans="1:24" s="63" customFormat="1">
      <c r="A41" s="632">
        <v>13724</v>
      </c>
      <c r="B41" s="632" t="s">
        <v>71</v>
      </c>
      <c r="C41" s="632" t="s">
        <v>71</v>
      </c>
      <c r="D41" s="632" t="s">
        <v>125</v>
      </c>
      <c r="E41" s="633">
        <v>43388.366087962961</v>
      </c>
      <c r="F41" s="638">
        <v>43388.366087962961</v>
      </c>
      <c r="G41" s="634">
        <v>0.3659722222222222</v>
      </c>
      <c r="H41" s="635">
        <v>9.7666666666666675</v>
      </c>
      <c r="I41" s="635">
        <v>8</v>
      </c>
      <c r="J41" s="635" t="s">
        <v>115</v>
      </c>
      <c r="K41" s="635"/>
      <c r="L41" s="635"/>
      <c r="M41" s="635"/>
      <c r="N41" s="635"/>
      <c r="O41" s="587"/>
      <c r="P41" s="9"/>
      <c r="Q41" s="345"/>
      <c r="R41" s="372"/>
      <c r="S41" s="401"/>
      <c r="T41" s="401"/>
      <c r="U41" s="401"/>
      <c r="V41" s="401"/>
      <c r="W41" s="398"/>
      <c r="X41" s="16"/>
    </row>
    <row r="42" spans="1:24" s="63" customFormat="1">
      <c r="A42" s="632">
        <v>13741</v>
      </c>
      <c r="B42" s="632" t="s">
        <v>70</v>
      </c>
      <c r="C42" s="632" t="s">
        <v>71</v>
      </c>
      <c r="D42" s="632" t="s">
        <v>126</v>
      </c>
      <c r="E42" s="633">
        <v>43388.773032407407</v>
      </c>
      <c r="F42" s="638">
        <v>43388.773032407407</v>
      </c>
      <c r="G42" s="634">
        <v>0.7729166666666667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587"/>
      <c r="P42" s="9"/>
      <c r="Q42" s="345"/>
      <c r="R42" s="372"/>
      <c r="S42" s="372"/>
      <c r="T42" s="373"/>
      <c r="U42" s="373"/>
      <c r="V42" s="373"/>
      <c r="W42" s="398"/>
      <c r="X42" s="16"/>
    </row>
    <row r="43" spans="1:24" s="2" customFormat="1">
      <c r="A43" s="632">
        <v>13750</v>
      </c>
      <c r="B43" s="632" t="s">
        <v>70</v>
      </c>
      <c r="C43" s="632" t="s">
        <v>71</v>
      </c>
      <c r="D43" s="632" t="s">
        <v>125</v>
      </c>
      <c r="E43" s="633">
        <v>43389.367719907408</v>
      </c>
      <c r="F43" s="638">
        <v>43389.367719907408</v>
      </c>
      <c r="G43" s="634">
        <v>0.36736111111111108</v>
      </c>
      <c r="H43" s="635">
        <v>9.6333333333333329</v>
      </c>
      <c r="I43" s="635">
        <v>8</v>
      </c>
      <c r="J43" s="635" t="s">
        <v>115</v>
      </c>
      <c r="K43" s="635"/>
      <c r="L43" s="635"/>
      <c r="M43" s="635"/>
      <c r="N43" s="635"/>
      <c r="O43" s="587"/>
      <c r="P43" s="9"/>
      <c r="Q43" s="345"/>
      <c r="R43" s="372"/>
      <c r="S43" s="372"/>
      <c r="T43" s="373"/>
      <c r="U43" s="373"/>
      <c r="V43" s="373"/>
      <c r="W43"/>
      <c r="X43" s="16"/>
    </row>
    <row r="44" spans="1:24">
      <c r="A44" s="632">
        <v>13763</v>
      </c>
      <c r="B44" s="632" t="s">
        <v>70</v>
      </c>
      <c r="C44" s="632" t="s">
        <v>71</v>
      </c>
      <c r="D44" s="632" t="s">
        <v>126</v>
      </c>
      <c r="E44" s="633">
        <v>43389.76935185185</v>
      </c>
      <c r="F44" s="638">
        <v>43389.76935185185</v>
      </c>
      <c r="G44" s="634">
        <v>0.76874999999999993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587"/>
      <c r="P44" s="9"/>
      <c r="R44" s="372"/>
      <c r="S44" s="372"/>
      <c r="T44" s="373"/>
      <c r="U44" s="373"/>
      <c r="V44" s="373"/>
      <c r="X44" s="16"/>
    </row>
    <row r="45" spans="1:24" s="63" customFormat="1">
      <c r="A45" s="632">
        <v>13764</v>
      </c>
      <c r="B45" s="632" t="s">
        <v>70</v>
      </c>
      <c r="C45" s="632" t="s">
        <v>71</v>
      </c>
      <c r="D45" s="632" t="s">
        <v>127</v>
      </c>
      <c r="E45" s="633">
        <v>43389.769386574073</v>
      </c>
      <c r="F45" s="638">
        <v>43389.769386574073</v>
      </c>
      <c r="G45" s="634">
        <v>0.76874999999999993</v>
      </c>
      <c r="H45" s="635" t="s">
        <v>115</v>
      </c>
      <c r="I45" s="635" t="s">
        <v>115</v>
      </c>
      <c r="J45" s="635" t="s">
        <v>115</v>
      </c>
      <c r="K45" s="635">
        <v>0.9666666666666659</v>
      </c>
      <c r="L45" s="635"/>
      <c r="M45" s="635">
        <v>0.9666666666666659</v>
      </c>
      <c r="N45" s="635">
        <v>0</v>
      </c>
      <c r="O45" s="587"/>
      <c r="P45" s="9"/>
      <c r="Q45" s="345"/>
      <c r="R45" s="372"/>
      <c r="S45" s="374"/>
      <c r="T45" s="375"/>
      <c r="U45" s="375"/>
      <c r="V45" s="375"/>
      <c r="W45" s="9"/>
      <c r="X45" s="395"/>
    </row>
    <row r="46" spans="1:24" s="63" customFormat="1">
      <c r="A46" s="632">
        <v>13772</v>
      </c>
      <c r="B46" s="632" t="s">
        <v>70</v>
      </c>
      <c r="C46" s="632" t="s">
        <v>71</v>
      </c>
      <c r="D46" s="632" t="s">
        <v>128</v>
      </c>
      <c r="E46" s="633">
        <v>43389.809513888889</v>
      </c>
      <c r="F46" s="638">
        <v>43389.809513888889</v>
      </c>
      <c r="G46" s="634">
        <v>0.80902777777777779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587"/>
      <c r="P46" s="9"/>
      <c r="Q46" s="345"/>
      <c r="R46" s="372"/>
      <c r="S46" s="345"/>
      <c r="T46" s="335"/>
      <c r="U46" s="335"/>
      <c r="V46" s="335"/>
      <c r="W46" s="9"/>
      <c r="X46" s="395"/>
    </row>
    <row r="47" spans="1:24" s="16" customFormat="1">
      <c r="A47" s="632">
        <v>13778</v>
      </c>
      <c r="B47" s="632" t="s">
        <v>71</v>
      </c>
      <c r="C47" s="632" t="s">
        <v>71</v>
      </c>
      <c r="D47" s="632" t="s">
        <v>125</v>
      </c>
      <c r="E47" s="633">
        <v>43390.36383101852</v>
      </c>
      <c r="F47" s="638">
        <v>43390.36383101852</v>
      </c>
      <c r="G47" s="634">
        <v>0.36319444444444443</v>
      </c>
      <c r="H47" s="635">
        <v>9.9333333333333336</v>
      </c>
      <c r="I47" s="635">
        <v>8</v>
      </c>
      <c r="J47" s="635" t="s">
        <v>115</v>
      </c>
      <c r="K47" s="635"/>
      <c r="L47" s="635"/>
      <c r="M47" s="635"/>
      <c r="N47" s="635"/>
      <c r="O47" s="587"/>
      <c r="P47" s="9"/>
      <c r="Q47" s="345"/>
      <c r="R47" s="372"/>
      <c r="S47" s="372"/>
      <c r="T47" s="373"/>
      <c r="U47" s="373"/>
      <c r="V47" s="373"/>
      <c r="W47" s="9"/>
      <c r="X47" s="63"/>
    </row>
    <row r="48" spans="1:24" s="16" customFormat="1">
      <c r="A48" s="632">
        <v>13793</v>
      </c>
      <c r="B48" s="632" t="s">
        <v>70</v>
      </c>
      <c r="C48" s="632" t="s">
        <v>71</v>
      </c>
      <c r="D48" s="632" t="s">
        <v>126</v>
      </c>
      <c r="E48" s="633">
        <v>43390.777638888889</v>
      </c>
      <c r="F48" s="638">
        <v>43390.777638888889</v>
      </c>
      <c r="G48" s="634">
        <v>0.77708333333333324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587"/>
      <c r="P48" s="9"/>
      <c r="Q48" s="345"/>
      <c r="R48" s="372"/>
      <c r="S48" s="18"/>
      <c r="T48" s="63"/>
      <c r="U48" s="63"/>
      <c r="V48" s="63"/>
      <c r="W48" s="9"/>
      <c r="X48" s="63"/>
    </row>
    <row r="49" spans="1:24" s="63" customFormat="1">
      <c r="A49" s="632">
        <v>13794</v>
      </c>
      <c r="B49" s="632" t="s">
        <v>70</v>
      </c>
      <c r="C49" s="632" t="s">
        <v>71</v>
      </c>
      <c r="D49" s="632" t="s">
        <v>127</v>
      </c>
      <c r="E49" s="633">
        <v>43390.777662037035</v>
      </c>
      <c r="F49" s="638">
        <v>43390.777662037035</v>
      </c>
      <c r="G49" s="634">
        <v>0.77708333333333324</v>
      </c>
      <c r="H49" s="635" t="s">
        <v>115</v>
      </c>
      <c r="I49" s="635" t="s">
        <v>115</v>
      </c>
      <c r="J49" s="635" t="s">
        <v>115</v>
      </c>
      <c r="K49" s="635">
        <v>0.36666666666666536</v>
      </c>
      <c r="L49" s="635"/>
      <c r="M49" s="635">
        <v>0.36666666666666536</v>
      </c>
      <c r="N49" s="635">
        <v>0</v>
      </c>
      <c r="O49" s="587"/>
      <c r="P49" s="9"/>
      <c r="Q49" s="345"/>
      <c r="R49" s="372"/>
      <c r="S49" s="16"/>
      <c r="T49" s="16"/>
      <c r="U49" s="16"/>
      <c r="V49" s="16"/>
      <c r="W49" s="137"/>
    </row>
    <row r="50" spans="1:24" s="63" customFormat="1">
      <c r="A50" s="632">
        <v>13799</v>
      </c>
      <c r="B50" s="632" t="s">
        <v>70</v>
      </c>
      <c r="C50" s="632" t="s">
        <v>71</v>
      </c>
      <c r="D50" s="632" t="s">
        <v>128</v>
      </c>
      <c r="E50" s="633">
        <v>43390.792719907404</v>
      </c>
      <c r="F50" s="638">
        <v>43390.792719907404</v>
      </c>
      <c r="G50" s="634">
        <v>0.79236111111111107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587"/>
      <c r="P50" s="9"/>
      <c r="Q50" s="345"/>
      <c r="R50" s="372"/>
      <c r="S50" s="16"/>
      <c r="T50" s="16"/>
      <c r="U50" s="16"/>
      <c r="V50" s="16"/>
      <c r="W50" s="137"/>
    </row>
    <row r="51" spans="1:24" s="2" customFormat="1">
      <c r="A51" s="632">
        <v>13811</v>
      </c>
      <c r="B51" s="632" t="s">
        <v>71</v>
      </c>
      <c r="C51" s="632" t="s">
        <v>71</v>
      </c>
      <c r="D51" s="632" t="s">
        <v>125</v>
      </c>
      <c r="E51" s="633">
        <v>43391.369398148148</v>
      </c>
      <c r="F51" s="638">
        <v>43391.369398148148</v>
      </c>
      <c r="G51" s="634">
        <v>0.36874999999999997</v>
      </c>
      <c r="H51" s="635">
        <v>9.6333333333333329</v>
      </c>
      <c r="I51" s="635">
        <v>8</v>
      </c>
      <c r="J51" s="635" t="s">
        <v>115</v>
      </c>
      <c r="K51" s="635"/>
      <c r="L51" s="635"/>
      <c r="M51" s="635"/>
      <c r="N51" s="635"/>
      <c r="O51" s="587"/>
      <c r="P51" s="9"/>
      <c r="Q51" s="345"/>
      <c r="R51" s="372"/>
      <c r="S51" s="370"/>
      <c r="T51" s="371"/>
      <c r="U51" s="371"/>
      <c r="V51" s="371"/>
      <c r="W51" s="18"/>
      <c r="X51" s="63"/>
    </row>
    <row r="52" spans="1:24">
      <c r="A52" s="632">
        <v>13820</v>
      </c>
      <c r="B52" s="632" t="s">
        <v>70</v>
      </c>
      <c r="C52" s="632" t="s">
        <v>71</v>
      </c>
      <c r="D52" s="632" t="s">
        <v>126</v>
      </c>
      <c r="E52" s="633">
        <v>43391.770578703705</v>
      </c>
      <c r="F52" s="638">
        <v>43391.770578703705</v>
      </c>
      <c r="G52" s="634">
        <v>0.77013888888888893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587"/>
      <c r="P52" s="9"/>
      <c r="R52" s="372"/>
      <c r="S52" s="18"/>
      <c r="T52" s="63"/>
      <c r="U52" s="63"/>
      <c r="V52" s="63"/>
      <c r="W52" s="18"/>
    </row>
    <row r="53" spans="1:24" s="16" customFormat="1">
      <c r="A53" s="632">
        <v>13821</v>
      </c>
      <c r="B53" s="632" t="s">
        <v>70</v>
      </c>
      <c r="C53" s="632" t="s">
        <v>71</v>
      </c>
      <c r="D53" s="632" t="s">
        <v>127</v>
      </c>
      <c r="E53" s="633">
        <v>43391.770613425928</v>
      </c>
      <c r="F53" s="638">
        <v>43391.770613425928</v>
      </c>
      <c r="G53" s="634">
        <v>0.77013888888888893</v>
      </c>
      <c r="H53" s="635" t="s">
        <v>115</v>
      </c>
      <c r="I53" s="635" t="s">
        <v>115</v>
      </c>
      <c r="J53" s="635" t="s">
        <v>115</v>
      </c>
      <c r="K53" s="635">
        <v>0.19999999999999929</v>
      </c>
      <c r="L53" s="635"/>
      <c r="M53" s="635">
        <v>0.19999999999999929</v>
      </c>
      <c r="N53" s="635">
        <v>0</v>
      </c>
      <c r="O53" s="587"/>
      <c r="P53" s="9"/>
      <c r="Q53" s="345"/>
      <c r="R53" s="372"/>
      <c r="S53" s="18"/>
      <c r="T53" s="63"/>
      <c r="U53" s="63"/>
      <c r="V53" s="63"/>
      <c r="W53" s="137"/>
      <c r="X53"/>
    </row>
    <row r="54" spans="1:24" s="586" customFormat="1">
      <c r="A54" s="632">
        <v>13823</v>
      </c>
      <c r="B54" s="632" t="s">
        <v>70</v>
      </c>
      <c r="C54" s="632" t="s">
        <v>71</v>
      </c>
      <c r="D54" s="632" t="s">
        <v>128</v>
      </c>
      <c r="E54" s="633">
        <v>43391.778738425928</v>
      </c>
      <c r="F54" s="638">
        <v>43391.778738425928</v>
      </c>
      <c r="G54" s="634">
        <v>0.77847222222222223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  <c r="O54" s="587"/>
      <c r="P54" s="444"/>
      <c r="Q54" s="444"/>
      <c r="R54" s="588"/>
      <c r="S54" s="588"/>
      <c r="W54" s="588"/>
      <c r="X54" s="589"/>
    </row>
    <row r="55" spans="1:24" s="404" customFormat="1">
      <c r="A55" s="585"/>
      <c r="B55" s="585"/>
      <c r="C55" s="585"/>
      <c r="D55" s="585" t="s">
        <v>141</v>
      </c>
      <c r="E55" s="534">
        <v>43392.354166666664</v>
      </c>
      <c r="F55" s="582">
        <v>43392.354166666664</v>
      </c>
      <c r="G55" s="538">
        <v>0.35416666666666669</v>
      </c>
      <c r="H55" s="521"/>
      <c r="I55" s="521">
        <v>8</v>
      </c>
      <c r="J55" s="521"/>
      <c r="K55" s="521"/>
      <c r="L55" s="521"/>
      <c r="M55" s="521"/>
      <c r="N55" s="521"/>
      <c r="O55" s="651" t="s">
        <v>165</v>
      </c>
      <c r="P55" s="323"/>
      <c r="Q55" s="323"/>
    </row>
    <row r="56" spans="1:24" s="404" customFormat="1">
      <c r="A56" s="585"/>
      <c r="B56" s="585"/>
      <c r="C56" s="585"/>
      <c r="D56" s="585" t="s">
        <v>129</v>
      </c>
      <c r="E56" s="534">
        <v>43392.770833333336</v>
      </c>
      <c r="F56" s="582">
        <v>43392.770833333336</v>
      </c>
      <c r="G56" s="538">
        <v>0.75</v>
      </c>
      <c r="H56" s="521"/>
      <c r="I56" s="521"/>
      <c r="J56" s="521"/>
      <c r="K56" s="521"/>
      <c r="L56" s="521"/>
      <c r="M56" s="521"/>
      <c r="N56" s="521"/>
      <c r="O56" s="651"/>
      <c r="P56" s="323"/>
      <c r="Q56" s="323"/>
    </row>
    <row r="57" spans="1:24" s="586" customFormat="1">
      <c r="A57" s="632">
        <v>13850</v>
      </c>
      <c r="B57" s="632" t="s">
        <v>71</v>
      </c>
      <c r="C57" s="632" t="s">
        <v>71</v>
      </c>
      <c r="D57" s="632" t="s">
        <v>125</v>
      </c>
      <c r="E57" s="633">
        <v>43395.367708333331</v>
      </c>
      <c r="F57" s="638">
        <v>43395.367708333331</v>
      </c>
      <c r="G57" s="634">
        <v>0.36736111111111108</v>
      </c>
      <c r="H57" s="635">
        <v>9.8166666666666664</v>
      </c>
      <c r="I57" s="635">
        <v>8</v>
      </c>
      <c r="J57" s="635" t="s">
        <v>115</v>
      </c>
      <c r="K57" s="635"/>
      <c r="L57" s="635"/>
      <c r="M57" s="635"/>
      <c r="N57" s="635"/>
      <c r="O57" s="587"/>
      <c r="P57" s="444"/>
      <c r="Q57" s="444"/>
      <c r="R57" s="588"/>
      <c r="S57" s="444"/>
      <c r="T57" s="589"/>
      <c r="U57" s="589"/>
      <c r="V57" s="589"/>
      <c r="W57" s="588"/>
    </row>
    <row r="58" spans="1:24">
      <c r="A58" s="632">
        <v>13868</v>
      </c>
      <c r="B58" s="632" t="s">
        <v>70</v>
      </c>
      <c r="C58" s="632" t="s">
        <v>71</v>
      </c>
      <c r="D58" s="632" t="s">
        <v>126</v>
      </c>
      <c r="E58" s="633">
        <v>43395.776817129627</v>
      </c>
      <c r="F58" s="638">
        <v>43395.776817129627</v>
      </c>
      <c r="G58" s="634">
        <v>0.77638888888888891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587"/>
      <c r="P58" s="9"/>
      <c r="R58" s="372"/>
      <c r="W58" s="18"/>
      <c r="X58" s="63"/>
    </row>
    <row r="59" spans="1:24">
      <c r="A59" s="632">
        <v>13881</v>
      </c>
      <c r="B59" s="632" t="s">
        <v>71</v>
      </c>
      <c r="C59" s="632" t="s">
        <v>71</v>
      </c>
      <c r="D59" s="632" t="s">
        <v>125</v>
      </c>
      <c r="E59" s="633">
        <v>43396.367604166669</v>
      </c>
      <c r="F59" s="638">
        <v>43396.367604166669</v>
      </c>
      <c r="G59" s="634">
        <v>0.36736111111111108</v>
      </c>
      <c r="H59" s="635">
        <v>5.9666666666666668</v>
      </c>
      <c r="I59" s="635">
        <v>4.5</v>
      </c>
      <c r="J59" s="635">
        <v>3.5</v>
      </c>
      <c r="K59" s="635"/>
      <c r="L59" s="635"/>
      <c r="M59" s="635"/>
      <c r="N59" s="635"/>
      <c r="O59" s="587" t="s">
        <v>161</v>
      </c>
      <c r="P59" s="9"/>
      <c r="R59" s="372"/>
      <c r="S59" s="370"/>
      <c r="T59" s="371"/>
      <c r="U59" s="371"/>
      <c r="V59" s="371"/>
      <c r="W59" s="18"/>
      <c r="X59" s="137"/>
    </row>
    <row r="60" spans="1:24" s="2" customFormat="1">
      <c r="A60" s="632">
        <v>13888</v>
      </c>
      <c r="B60" s="632" t="s">
        <v>70</v>
      </c>
      <c r="C60" s="632" t="s">
        <v>71</v>
      </c>
      <c r="D60" s="632" t="s">
        <v>126</v>
      </c>
      <c r="E60" s="633">
        <v>43396.616064814814</v>
      </c>
      <c r="F60" s="638">
        <v>43396.616064814814</v>
      </c>
      <c r="G60" s="634">
        <v>0.61597222222222225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587"/>
      <c r="P60" s="9"/>
      <c r="Q60" s="345"/>
      <c r="R60" s="372"/>
      <c r="S60" s="370"/>
      <c r="T60" s="371"/>
      <c r="U60" s="371"/>
      <c r="V60" s="371"/>
      <c r="W60" s="18"/>
      <c r="X60" s="137"/>
    </row>
    <row r="61" spans="1:24" s="63" customFormat="1">
      <c r="A61" s="632"/>
      <c r="B61" s="632"/>
      <c r="C61" s="632"/>
      <c r="D61" s="632" t="s">
        <v>125</v>
      </c>
      <c r="E61" s="633">
        <v>43397.354166666664</v>
      </c>
      <c r="F61" s="638">
        <v>43397.354166666664</v>
      </c>
      <c r="G61" s="634">
        <v>0.35416666666666669</v>
      </c>
      <c r="H61" s="635"/>
      <c r="I61" s="635">
        <v>0</v>
      </c>
      <c r="J61" s="635">
        <v>8</v>
      </c>
      <c r="K61" s="635"/>
      <c r="L61" s="635"/>
      <c r="M61" s="635"/>
      <c r="N61" s="635"/>
      <c r="O61" s="628" t="s">
        <v>161</v>
      </c>
      <c r="P61" s="627"/>
      <c r="Q61" s="345"/>
      <c r="R61" s="372"/>
      <c r="S61" s="372"/>
      <c r="T61" s="373"/>
      <c r="U61" s="373"/>
      <c r="V61" s="373"/>
    </row>
    <row r="62" spans="1:24" s="63" customFormat="1">
      <c r="A62" s="632"/>
      <c r="B62" s="632"/>
      <c r="C62" s="632"/>
      <c r="D62" s="632" t="s">
        <v>126</v>
      </c>
      <c r="E62" s="633">
        <v>43397.770833333336</v>
      </c>
      <c r="F62" s="638">
        <v>43397.770833333336</v>
      </c>
      <c r="G62" s="634">
        <v>0.75</v>
      </c>
      <c r="H62" s="635"/>
      <c r="I62" s="635"/>
      <c r="J62" s="635"/>
      <c r="K62" s="635"/>
      <c r="L62" s="635"/>
      <c r="M62" s="635"/>
      <c r="N62" s="635"/>
      <c r="O62" s="628"/>
      <c r="P62" s="627"/>
      <c r="Q62" s="345"/>
      <c r="R62" s="372"/>
      <c r="S62" s="372"/>
      <c r="T62" s="373"/>
      <c r="U62" s="373"/>
      <c r="V62" s="373"/>
    </row>
    <row r="63" spans="1:24">
      <c r="A63" s="632">
        <v>13937</v>
      </c>
      <c r="B63" s="632" t="s">
        <v>71</v>
      </c>
      <c r="C63" s="632" t="s">
        <v>71</v>
      </c>
      <c r="D63" s="632" t="s">
        <v>125</v>
      </c>
      <c r="E63" s="633">
        <v>43398.367719907408</v>
      </c>
      <c r="F63" s="638">
        <v>43398.367719907408</v>
      </c>
      <c r="G63" s="634">
        <v>0.36736111111111108</v>
      </c>
      <c r="H63" s="635">
        <v>9.5499999999999972</v>
      </c>
      <c r="I63" s="635">
        <v>8</v>
      </c>
      <c r="J63" s="635" t="s">
        <v>115</v>
      </c>
      <c r="K63" s="635"/>
      <c r="L63" s="635"/>
      <c r="M63" s="635"/>
      <c r="N63" s="635"/>
      <c r="O63" s="587"/>
      <c r="P63" s="9"/>
      <c r="R63" s="372"/>
      <c r="S63" s="370"/>
      <c r="T63" s="371"/>
      <c r="U63" s="371"/>
      <c r="V63" s="371"/>
      <c r="W63" s="18"/>
      <c r="X63" s="9"/>
    </row>
    <row r="64" spans="1:24">
      <c r="A64" s="632">
        <v>13944</v>
      </c>
      <c r="B64" s="632" t="s">
        <v>70</v>
      </c>
      <c r="C64" s="632" t="s">
        <v>71</v>
      </c>
      <c r="D64" s="632" t="s">
        <v>126</v>
      </c>
      <c r="E64" s="633">
        <v>43398.765300925923</v>
      </c>
      <c r="F64" s="638">
        <v>43398.765300925923</v>
      </c>
      <c r="G64" s="634">
        <v>0.76527777777777783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587"/>
      <c r="P64" s="9"/>
      <c r="R64" s="372"/>
      <c r="S64" s="18"/>
      <c r="T64" s="63"/>
      <c r="U64" s="63"/>
      <c r="V64" s="63"/>
      <c r="W64" s="18"/>
      <c r="X64" s="9"/>
    </row>
    <row r="65" spans="1:24">
      <c r="A65" s="632">
        <v>13945</v>
      </c>
      <c r="B65" s="632" t="s">
        <v>70</v>
      </c>
      <c r="C65" s="632" t="s">
        <v>71</v>
      </c>
      <c r="D65" s="632" t="s">
        <v>127</v>
      </c>
      <c r="E65" s="633">
        <v>43398.765335648146</v>
      </c>
      <c r="F65" s="638">
        <v>43398.765335648146</v>
      </c>
      <c r="G65" s="634">
        <v>0.76527777777777783</v>
      </c>
      <c r="H65" s="635" t="s">
        <v>115</v>
      </c>
      <c r="I65" s="635" t="s">
        <v>115</v>
      </c>
      <c r="J65" s="635" t="s">
        <v>115</v>
      </c>
      <c r="K65" s="635">
        <v>1.700000000000002</v>
      </c>
      <c r="L65" s="635"/>
      <c r="M65" s="635">
        <v>1.700000000000002</v>
      </c>
      <c r="N65" s="635">
        <v>0</v>
      </c>
      <c r="O65" s="587"/>
      <c r="P65" s="9"/>
      <c r="R65" s="372"/>
      <c r="S65" s="137"/>
      <c r="T65" s="137"/>
      <c r="U65" s="137"/>
      <c r="V65" s="137"/>
      <c r="W65" s="18"/>
      <c r="X65" s="18"/>
    </row>
    <row r="66" spans="1:24">
      <c r="A66" s="632">
        <v>13956</v>
      </c>
      <c r="B66" s="632" t="s">
        <v>70</v>
      </c>
      <c r="C66" s="632" t="s">
        <v>71</v>
      </c>
      <c r="D66" s="632" t="s">
        <v>128</v>
      </c>
      <c r="E66" s="633">
        <v>43398.836122685185</v>
      </c>
      <c r="F66" s="638">
        <v>43398.836122685185</v>
      </c>
      <c r="G66" s="634">
        <v>0.83611111111111114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587"/>
      <c r="P66" s="9"/>
      <c r="R66" s="372"/>
      <c r="S66" s="137"/>
      <c r="T66" s="137"/>
      <c r="U66" s="137"/>
      <c r="V66" s="137"/>
      <c r="W66" s="18"/>
      <c r="X66" s="9"/>
    </row>
    <row r="67" spans="1:24" s="137" customFormat="1">
      <c r="A67" s="632">
        <v>13963</v>
      </c>
      <c r="B67" s="632" t="s">
        <v>71</v>
      </c>
      <c r="C67" s="632" t="s">
        <v>71</v>
      </c>
      <c r="D67" s="632" t="s">
        <v>125</v>
      </c>
      <c r="E67" s="633">
        <v>43399.36787037037</v>
      </c>
      <c r="F67" s="638">
        <v>43399.36787037037</v>
      </c>
      <c r="G67" s="634">
        <v>0.36736111111111108</v>
      </c>
      <c r="H67" s="635">
        <v>9.8833333333333329</v>
      </c>
      <c r="I67" s="635">
        <v>8</v>
      </c>
      <c r="J67" s="635" t="s">
        <v>115</v>
      </c>
      <c r="K67" s="635"/>
      <c r="L67" s="635"/>
      <c r="M67" s="635"/>
      <c r="N67" s="635"/>
      <c r="O67" s="587"/>
      <c r="P67" s="9"/>
      <c r="Q67" s="345"/>
      <c r="R67" s="372"/>
      <c r="W67" s="63"/>
      <c r="X67" s="63"/>
    </row>
    <row r="68" spans="1:24" s="137" customFormat="1">
      <c r="A68" s="632">
        <v>13973</v>
      </c>
      <c r="B68" s="632" t="s">
        <v>70</v>
      </c>
      <c r="C68" s="632" t="s">
        <v>71</v>
      </c>
      <c r="D68" s="632" t="s">
        <v>126</v>
      </c>
      <c r="E68" s="633">
        <v>43399.779652777775</v>
      </c>
      <c r="F68" s="638">
        <v>43399.779652777775</v>
      </c>
      <c r="G68" s="634">
        <v>0.77916666666666667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587"/>
      <c r="P68" s="9"/>
      <c r="Q68" s="345"/>
      <c r="R68" s="372"/>
      <c r="W68" s="63"/>
      <c r="X68"/>
    </row>
    <row r="69" spans="1:24" s="18" customFormat="1">
      <c r="A69" s="632">
        <v>13983</v>
      </c>
      <c r="B69" s="632" t="s">
        <v>71</v>
      </c>
      <c r="C69" s="632" t="s">
        <v>71</v>
      </c>
      <c r="D69" s="632" t="s">
        <v>125</v>
      </c>
      <c r="E69" s="633">
        <v>43402.367106481484</v>
      </c>
      <c r="F69" s="638">
        <v>43402.367106481484</v>
      </c>
      <c r="G69" s="634">
        <v>0.3666666666666667</v>
      </c>
      <c r="H69" s="635">
        <v>9.9333333333333336</v>
      </c>
      <c r="I69" s="635">
        <v>8</v>
      </c>
      <c r="J69" s="635" t="s">
        <v>115</v>
      </c>
      <c r="K69" s="635"/>
      <c r="L69" s="635"/>
      <c r="M69" s="635"/>
      <c r="N69" s="635"/>
      <c r="O69" s="587"/>
      <c r="P69" s="9"/>
      <c r="Q69" s="345"/>
      <c r="R69" s="372"/>
      <c r="S69" s="137"/>
      <c r="T69" s="137"/>
      <c r="U69" s="137"/>
      <c r="V69" s="137"/>
      <c r="W69" s="63"/>
      <c r="X69"/>
    </row>
    <row r="70" spans="1:24" s="18" customFormat="1">
      <c r="A70" s="632">
        <v>14000</v>
      </c>
      <c r="B70" s="632" t="s">
        <v>70</v>
      </c>
      <c r="C70" s="632" t="s">
        <v>71</v>
      </c>
      <c r="D70" s="632" t="s">
        <v>126</v>
      </c>
      <c r="E70" s="633">
        <v>43402.780787037038</v>
      </c>
      <c r="F70" s="638">
        <v>43402.780787037038</v>
      </c>
      <c r="G70" s="634">
        <v>0.78055555555555556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587"/>
      <c r="P70" s="9"/>
      <c r="Q70" s="345"/>
      <c r="R70" s="372"/>
      <c r="S70" s="137"/>
      <c r="T70" s="137"/>
      <c r="U70" s="137"/>
      <c r="V70" s="137"/>
      <c r="W70" s="63"/>
      <c r="X70" s="2"/>
    </row>
    <row r="71" spans="1:24" s="9" customFormat="1">
      <c r="A71" s="632">
        <v>14001</v>
      </c>
      <c r="B71" s="632" t="s">
        <v>70</v>
      </c>
      <c r="C71" s="632" t="s">
        <v>71</v>
      </c>
      <c r="D71" s="632" t="s">
        <v>127</v>
      </c>
      <c r="E71" s="633">
        <v>43402.780810185184</v>
      </c>
      <c r="F71" s="638">
        <v>43402.780810185184</v>
      </c>
      <c r="G71" s="634">
        <v>0.78055555555555556</v>
      </c>
      <c r="H71" s="635" t="s">
        <v>115</v>
      </c>
      <c r="I71" s="635" t="s">
        <v>115</v>
      </c>
      <c r="J71" s="635" t="s">
        <v>115</v>
      </c>
      <c r="K71" s="635">
        <v>0.83333333333333304</v>
      </c>
      <c r="L71" s="635"/>
      <c r="M71" s="635">
        <v>0.83333333333333304</v>
      </c>
      <c r="N71" s="635">
        <v>0</v>
      </c>
      <c r="O71" s="587"/>
      <c r="Q71" s="345"/>
      <c r="R71" s="372"/>
      <c r="S71" s="18"/>
      <c r="T71" s="63"/>
      <c r="U71" s="63"/>
      <c r="V71" s="63"/>
      <c r="W71" s="63"/>
      <c r="X71" s="63"/>
    </row>
    <row r="72" spans="1:24" s="9" customFormat="1">
      <c r="A72" s="632">
        <v>14005</v>
      </c>
      <c r="B72" s="632" t="s">
        <v>70</v>
      </c>
      <c r="C72" s="632" t="s">
        <v>71</v>
      </c>
      <c r="D72" s="632" t="s">
        <v>128</v>
      </c>
      <c r="E72" s="633">
        <v>43402.815393518518</v>
      </c>
      <c r="F72" s="638">
        <v>43402.815393518518</v>
      </c>
      <c r="G72" s="634">
        <v>0.81527777777777777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587"/>
      <c r="Q72" s="345"/>
      <c r="R72" s="372"/>
      <c r="S72" s="345"/>
      <c r="T72" s="335"/>
      <c r="U72" s="335"/>
      <c r="V72" s="335"/>
      <c r="W72" s="63"/>
      <c r="X72" s="63"/>
    </row>
    <row r="73" spans="1:24" s="9" customFormat="1">
      <c r="A73" s="632">
        <v>14012</v>
      </c>
      <c r="B73" s="632" t="s">
        <v>71</v>
      </c>
      <c r="C73" s="632" t="s">
        <v>71</v>
      </c>
      <c r="D73" s="632" t="s">
        <v>125</v>
      </c>
      <c r="E73" s="633">
        <v>43403.369016203702</v>
      </c>
      <c r="F73" s="638">
        <v>43403.369016203702</v>
      </c>
      <c r="G73" s="634">
        <v>0.36874999999999997</v>
      </c>
      <c r="H73" s="635">
        <v>9.8999999999999986</v>
      </c>
      <c r="I73" s="635">
        <v>8</v>
      </c>
      <c r="J73" s="635" t="s">
        <v>115</v>
      </c>
      <c r="K73" s="635"/>
      <c r="L73" s="635"/>
      <c r="M73" s="635"/>
      <c r="N73" s="635"/>
      <c r="O73" s="587"/>
      <c r="Q73" s="345"/>
      <c r="R73" s="372"/>
      <c r="S73" s="374"/>
      <c r="T73" s="375"/>
      <c r="U73" s="375"/>
      <c r="V73" s="375"/>
      <c r="W73" s="63"/>
      <c r="X73"/>
    </row>
    <row r="74" spans="1:24" s="18" customFormat="1">
      <c r="A74" s="632">
        <v>14025</v>
      </c>
      <c r="B74" s="632" t="s">
        <v>70</v>
      </c>
      <c r="C74" s="632" t="s">
        <v>71</v>
      </c>
      <c r="D74" s="632" t="s">
        <v>126</v>
      </c>
      <c r="E74" s="633">
        <v>43403.781469907408</v>
      </c>
      <c r="F74" s="638">
        <v>43403.781469907408</v>
      </c>
      <c r="G74" s="634">
        <v>0.78125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587"/>
      <c r="P74" s="9"/>
      <c r="Q74" s="345"/>
      <c r="R74" s="372"/>
      <c r="S74" s="345"/>
      <c r="T74" s="335"/>
      <c r="U74" s="335"/>
      <c r="V74" s="335"/>
      <c r="W74"/>
      <c r="X74"/>
    </row>
    <row r="75" spans="1:24" s="444" customFormat="1">
      <c r="A75" s="632">
        <v>14026</v>
      </c>
      <c r="B75" s="632" t="s">
        <v>70</v>
      </c>
      <c r="C75" s="632" t="s">
        <v>71</v>
      </c>
      <c r="D75" s="632" t="s">
        <v>127</v>
      </c>
      <c r="E75" s="633">
        <v>43403.7815162037</v>
      </c>
      <c r="F75" s="638">
        <v>43403.7815162037</v>
      </c>
      <c r="G75" s="634">
        <v>0.78125</v>
      </c>
      <c r="H75" s="635" t="s">
        <v>115</v>
      </c>
      <c r="I75" s="635" t="s">
        <v>115</v>
      </c>
      <c r="J75" s="635" t="s">
        <v>115</v>
      </c>
      <c r="K75" s="635">
        <v>0.55000000000000071</v>
      </c>
      <c r="L75" s="635"/>
      <c r="M75" s="635">
        <v>0.55000000000000071</v>
      </c>
      <c r="N75" s="635">
        <v>0</v>
      </c>
      <c r="O75" s="587"/>
      <c r="R75" s="137"/>
      <c r="S75" s="137"/>
      <c r="T75" s="16"/>
      <c r="U75" s="16"/>
      <c r="V75" s="16"/>
      <c r="W75" s="16"/>
      <c r="X75" s="16"/>
    </row>
    <row r="76" spans="1:24" s="444" customFormat="1">
      <c r="A76" s="632">
        <v>14029</v>
      </c>
      <c r="B76" s="632" t="s">
        <v>70</v>
      </c>
      <c r="C76" s="632" t="s">
        <v>71</v>
      </c>
      <c r="D76" s="632" t="s">
        <v>128</v>
      </c>
      <c r="E76" s="633">
        <v>43403.804282407407</v>
      </c>
      <c r="F76" s="638">
        <v>43403.804282407407</v>
      </c>
      <c r="G76" s="634">
        <v>0.8041666666666667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587"/>
      <c r="R76" s="137"/>
      <c r="T76" s="398"/>
      <c r="U76" s="398"/>
      <c r="V76" s="398"/>
      <c r="W76" s="16"/>
      <c r="X76" s="16"/>
    </row>
    <row r="77" spans="1:24" s="444" customFormat="1">
      <c r="A77" s="632">
        <v>14035</v>
      </c>
      <c r="B77" s="632" t="s">
        <v>71</v>
      </c>
      <c r="C77" s="632" t="s">
        <v>71</v>
      </c>
      <c r="D77" s="632" t="s">
        <v>125</v>
      </c>
      <c r="E77" s="633">
        <v>43404.368067129632</v>
      </c>
      <c r="F77" s="638">
        <v>43404.368067129632</v>
      </c>
      <c r="G77" s="634">
        <v>0.36805555555555558</v>
      </c>
      <c r="H77" s="635">
        <v>9.6000000000000014</v>
      </c>
      <c r="I77" s="635">
        <v>8</v>
      </c>
      <c r="J77" s="635" t="s">
        <v>115</v>
      </c>
      <c r="K77" s="635"/>
      <c r="L77" s="635"/>
      <c r="M77" s="635"/>
      <c r="N77" s="635"/>
      <c r="O77" s="587"/>
      <c r="R77" s="137"/>
      <c r="T77" s="398"/>
      <c r="U77" s="398"/>
      <c r="V77" s="398"/>
      <c r="W77" s="16"/>
      <c r="X77" s="16"/>
    </row>
    <row r="78" spans="1:24" s="444" customFormat="1">
      <c r="A78" s="632">
        <v>14042</v>
      </c>
      <c r="B78" s="632" t="s">
        <v>70</v>
      </c>
      <c r="C78" s="632" t="s">
        <v>71</v>
      </c>
      <c r="D78" s="632" t="s">
        <v>126</v>
      </c>
      <c r="E78" s="633">
        <v>43404.768368055556</v>
      </c>
      <c r="F78" s="638">
        <v>43404.768368055556</v>
      </c>
      <c r="G78" s="634">
        <v>0.7680555555555556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587"/>
      <c r="R78" s="137"/>
      <c r="T78" s="398"/>
      <c r="U78" s="398"/>
      <c r="V78" s="398"/>
      <c r="W78" s="16"/>
      <c r="X78" s="16"/>
    </row>
    <row r="79" spans="1:24" s="625" customFormat="1">
      <c r="A79"/>
      <c r="B79"/>
      <c r="C79" s="3"/>
      <c r="D79" s="3"/>
      <c r="E79" s="3"/>
      <c r="F79" s="16"/>
      <c r="G79" s="17"/>
      <c r="H79" s="51"/>
      <c r="I79" s="21"/>
      <c r="J79" s="21"/>
      <c r="K79" s="22"/>
      <c r="L79" s="22"/>
      <c r="M79" s="22"/>
      <c r="N79" s="22"/>
      <c r="O79" s="454"/>
      <c r="P79" s="627"/>
      <c r="Q79" s="345"/>
      <c r="R79" s="372"/>
      <c r="S79" s="345"/>
      <c r="T79" s="335"/>
      <c r="U79" s="335"/>
      <c r="V79" s="335"/>
      <c r="W79" s="586"/>
      <c r="X79" s="63"/>
    </row>
    <row r="80" spans="1:24" s="625" customFormat="1">
      <c r="A80"/>
      <c r="B80"/>
      <c r="C80" s="3"/>
      <c r="D80" s="9" t="s">
        <v>36</v>
      </c>
      <c r="E80" s="3"/>
      <c r="F80" s="16"/>
      <c r="G80" s="17"/>
      <c r="H80" s="51"/>
      <c r="I80" s="21"/>
      <c r="J80" s="21"/>
      <c r="K80" s="22"/>
      <c r="L80" s="22"/>
      <c r="M80" s="22"/>
      <c r="N80" s="22"/>
      <c r="O80" s="454"/>
      <c r="P80" s="627"/>
      <c r="Q80" s="345"/>
      <c r="R80" s="372"/>
      <c r="S80" s="345"/>
      <c r="T80" s="335"/>
      <c r="U80" s="335"/>
      <c r="V80" s="335"/>
      <c r="W80" s="586"/>
      <c r="X80" s="63"/>
    </row>
    <row r="81" spans="1:24" s="625" customFormat="1">
      <c r="A81"/>
      <c r="B81"/>
      <c r="C81" s="3"/>
      <c r="D81" s="9" t="s">
        <v>35</v>
      </c>
      <c r="E81" s="3"/>
      <c r="F81" s="16"/>
      <c r="G81" s="17"/>
      <c r="H81" s="51"/>
      <c r="I81" s="21"/>
      <c r="J81" s="21"/>
      <c r="K81" s="22"/>
      <c r="L81" s="22"/>
      <c r="M81" s="22"/>
      <c r="N81" s="22"/>
      <c r="O81" s="28"/>
      <c r="P81" s="627"/>
      <c r="Q81" s="345"/>
      <c r="R81" s="372"/>
      <c r="S81" s="345"/>
      <c r="T81" s="335"/>
      <c r="U81" s="335"/>
      <c r="V81" s="335"/>
      <c r="W81" s="586"/>
      <c r="X81" s="63"/>
    </row>
    <row r="82" spans="1:24">
      <c r="D82" s="172" t="s">
        <v>63</v>
      </c>
      <c r="P82" s="9"/>
      <c r="R82" s="372"/>
      <c r="S82" s="374"/>
      <c r="T82" s="375"/>
      <c r="U82" s="375"/>
      <c r="V82" s="375"/>
      <c r="W82" s="16"/>
    </row>
    <row r="83" spans="1:24">
      <c r="D83" t="s">
        <v>66</v>
      </c>
      <c r="P83" s="9"/>
      <c r="R83" s="372"/>
      <c r="W83" s="16"/>
    </row>
    <row r="84" spans="1:24">
      <c r="D84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P84" s="9"/>
      <c r="R84" s="372"/>
      <c r="S84" s="374"/>
      <c r="T84" s="375"/>
      <c r="U84" s="375"/>
      <c r="V84" s="375"/>
    </row>
    <row r="85" spans="1:24">
      <c r="D85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P85" s="9"/>
      <c r="R85" s="372"/>
      <c r="S85" s="18"/>
      <c r="T85" s="63"/>
      <c r="U85" s="63"/>
      <c r="V85" s="63"/>
    </row>
    <row r="86" spans="1:24">
      <c r="D86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P86" s="9"/>
      <c r="R86" s="372"/>
      <c r="S86" s="137"/>
      <c r="T86" s="16"/>
      <c r="U86" s="16"/>
      <c r="V86" s="16"/>
    </row>
    <row r="87" spans="1:24">
      <c r="D87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  <c r="P87" s="9"/>
      <c r="R87" s="372"/>
      <c r="S87" s="137"/>
      <c r="T87" s="16"/>
      <c r="U87" s="16"/>
      <c r="V87" s="16"/>
    </row>
    <row r="88" spans="1:24">
      <c r="D8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  <c r="P88" s="9"/>
      <c r="R88" s="372"/>
      <c r="S88" s="137"/>
      <c r="T88" s="16"/>
      <c r="U88" s="16"/>
      <c r="V88" s="16"/>
    </row>
    <row r="89" spans="1:24">
      <c r="P89" s="18"/>
      <c r="Q89" s="18"/>
      <c r="R89" s="18"/>
      <c r="S89" s="18"/>
      <c r="T89" s="63"/>
      <c r="U89" s="63"/>
      <c r="V89" s="63"/>
    </row>
    <row r="107" spans="19:22">
      <c r="S107" s="444"/>
      <c r="T107" s="398"/>
      <c r="U107" s="398"/>
      <c r="V107" s="398"/>
    </row>
  </sheetData>
  <phoneticPr fontId="18" type="noConversion"/>
  <conditionalFormatting sqref="I7:I26 I33:I54 I63:I78 I57:I60">
    <cfRule type="cellIs" dxfId="22" priority="7" operator="lessThan">
      <formula>4</formula>
    </cfRule>
  </conditionalFormatting>
  <conditionalFormatting sqref="I27:I28">
    <cfRule type="cellIs" dxfId="21" priority="5" operator="lessThan">
      <formula>4</formula>
    </cfRule>
  </conditionalFormatting>
  <conditionalFormatting sqref="I29:I30">
    <cfRule type="cellIs" dxfId="20" priority="4" operator="lessThan">
      <formula>4</formula>
    </cfRule>
  </conditionalFormatting>
  <conditionalFormatting sqref="I61:I62">
    <cfRule type="cellIs" dxfId="19" priority="3" operator="lessThan">
      <formula>4</formula>
    </cfRule>
  </conditionalFormatting>
  <conditionalFormatting sqref="I31:I32">
    <cfRule type="cellIs" dxfId="18" priority="2" operator="lessThan">
      <formula>4</formula>
    </cfRule>
  </conditionalFormatting>
  <conditionalFormatting sqref="I55:I56">
    <cfRule type="cellIs" dxfId="17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77" fitToHeight="0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11">
    <tabColor theme="4"/>
  </sheetPr>
  <dimension ref="A1:V99"/>
  <sheetViews>
    <sheetView view="pageBreakPreview" topLeftCell="A73" zoomScaleNormal="100" zoomScaleSheetLayoutView="100" workbookViewId="0">
      <selection activeCell="A79" sqref="A79:XFD8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875" style="3" customWidth="1"/>
    <col min="5" max="5" width="17.25" style="3" customWidth="1"/>
    <col min="6" max="6" width="8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9.125" style="22" customWidth="1"/>
    <col min="15" max="15" width="14.87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2" s="4" customFormat="1" ht="28.5" thickBot="1">
      <c r="C1" s="5"/>
      <c r="D1" s="6"/>
      <c r="E1" s="6"/>
      <c r="F1" s="10"/>
      <c r="G1" s="11"/>
      <c r="H1" s="12"/>
      <c r="I1" s="13" t="str">
        <f>B7</f>
        <v>ruby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2">
      <c r="D2" s="133" t="s">
        <v>74</v>
      </c>
      <c r="E2" s="184">
        <f>44.5-36-8+80-12</f>
        <v>68.5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2" ht="17.25" thickBot="1">
      <c r="D3" s="24" t="s">
        <v>76</v>
      </c>
      <c r="E3" s="644">
        <v>0</v>
      </c>
      <c r="F3" s="25"/>
      <c r="G3" s="26"/>
      <c r="H3" s="26"/>
      <c r="I3" s="88"/>
      <c r="J3" s="54">
        <f>D5+E5</f>
        <v>4</v>
      </c>
      <c r="K3" s="53">
        <f>SUM(K7:K194)</f>
        <v>10.199999999999992</v>
      </c>
      <c r="L3" s="53">
        <f>J3</f>
        <v>4</v>
      </c>
      <c r="M3" s="53">
        <f>M6-J3</f>
        <v>6.1999999999999922</v>
      </c>
      <c r="N3" s="53">
        <f>N6</f>
        <v>0</v>
      </c>
      <c r="O3" s="50"/>
    </row>
    <row r="4" spans="1:22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184</v>
      </c>
    </row>
    <row r="5" spans="1:22">
      <c r="D5" s="87">
        <v>0</v>
      </c>
      <c r="E5" s="86">
        <v>4</v>
      </c>
      <c r="F5" s="86">
        <v>12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6.3749999999999946E-2</v>
      </c>
    </row>
    <row r="6" spans="1:22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SUM(I7:I194)</f>
        <v>160</v>
      </c>
      <c r="J6" s="509">
        <f t="shared" ref="J6:N6" si="0">SUM(J7:J194)</f>
        <v>24</v>
      </c>
      <c r="K6" s="509">
        <f t="shared" si="0"/>
        <v>10.199999999999992</v>
      </c>
      <c r="L6" s="509">
        <f t="shared" si="0"/>
        <v>0</v>
      </c>
      <c r="M6" s="509">
        <f t="shared" si="0"/>
        <v>10.199999999999992</v>
      </c>
      <c r="N6" s="509">
        <f t="shared" si="0"/>
        <v>0</v>
      </c>
      <c r="O6" s="498"/>
      <c r="T6" s="345"/>
    </row>
    <row r="7" spans="1:22" s="63" customFormat="1">
      <c r="A7" s="632">
        <v>13460</v>
      </c>
      <c r="B7" s="632" t="s">
        <v>14</v>
      </c>
      <c r="C7" s="632" t="s">
        <v>14</v>
      </c>
      <c r="D7" s="632" t="s">
        <v>125</v>
      </c>
      <c r="E7" s="633">
        <v>43374.366956018515</v>
      </c>
      <c r="F7" s="638">
        <v>43374.366956018515</v>
      </c>
      <c r="G7" s="634">
        <v>0.3666666666666667</v>
      </c>
      <c r="H7" s="635">
        <v>9.6500000000000021</v>
      </c>
      <c r="I7" s="635">
        <v>8</v>
      </c>
      <c r="J7" s="635" t="s">
        <v>115</v>
      </c>
      <c r="K7" s="635"/>
      <c r="L7" s="635"/>
      <c r="M7" s="635"/>
      <c r="N7" s="635"/>
      <c r="O7" s="603"/>
      <c r="P7" s="345"/>
      <c r="Q7" s="369"/>
      <c r="R7" s="149"/>
      <c r="S7" s="149"/>
      <c r="T7" s="130"/>
      <c r="U7" s="130"/>
      <c r="V7" s="130"/>
    </row>
    <row r="8" spans="1:22" s="63" customFormat="1">
      <c r="A8" s="632">
        <v>13473</v>
      </c>
      <c r="B8" s="632" t="s">
        <v>14</v>
      </c>
      <c r="C8" s="632" t="s">
        <v>14</v>
      </c>
      <c r="D8" s="632" t="s">
        <v>126</v>
      </c>
      <c r="E8" s="633">
        <v>43374.769155092596</v>
      </c>
      <c r="F8" s="638">
        <v>43374.769155092596</v>
      </c>
      <c r="G8" s="634">
        <v>0.76874999999999993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03"/>
      <c r="P8" s="345"/>
      <c r="Q8" s="369"/>
      <c r="R8" s="149"/>
      <c r="S8" s="149"/>
      <c r="T8" s="130"/>
      <c r="U8" s="130"/>
      <c r="V8" s="130"/>
    </row>
    <row r="9" spans="1:22" s="63" customFormat="1">
      <c r="A9" s="632">
        <v>13474</v>
      </c>
      <c r="B9" s="632" t="s">
        <v>14</v>
      </c>
      <c r="C9" s="632" t="s">
        <v>14</v>
      </c>
      <c r="D9" s="632" t="s">
        <v>127</v>
      </c>
      <c r="E9" s="633">
        <v>43374.770844907405</v>
      </c>
      <c r="F9" s="638">
        <v>43374.770844907405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1.3333333333333313</v>
      </c>
      <c r="L9" s="635"/>
      <c r="M9" s="635">
        <v>1.3333333333333313</v>
      </c>
      <c r="N9" s="635">
        <v>0</v>
      </c>
      <c r="O9" s="603"/>
      <c r="P9" s="373"/>
      <c r="Q9" s="373"/>
      <c r="R9" s="372"/>
      <c r="S9" s="372"/>
      <c r="T9" s="373"/>
      <c r="U9" s="373"/>
      <c r="V9" s="373"/>
    </row>
    <row r="10" spans="1:22" s="63" customFormat="1">
      <c r="A10" s="632">
        <v>13490</v>
      </c>
      <c r="B10" s="632" t="s">
        <v>14</v>
      </c>
      <c r="C10" s="632" t="s">
        <v>14</v>
      </c>
      <c r="D10" s="632" t="s">
        <v>128</v>
      </c>
      <c r="E10" s="633">
        <v>43374.826516203706</v>
      </c>
      <c r="F10" s="638">
        <v>43374.826516203706</v>
      </c>
      <c r="G10" s="634">
        <v>0.82638888888888884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03"/>
      <c r="R10" s="18"/>
      <c r="S10" s="18"/>
    </row>
    <row r="11" spans="1:22" s="63" customFormat="1">
      <c r="A11" s="632">
        <v>13501</v>
      </c>
      <c r="B11" s="632" t="s">
        <v>92</v>
      </c>
      <c r="C11" s="632" t="s">
        <v>14</v>
      </c>
      <c r="D11" s="632" t="s">
        <v>125</v>
      </c>
      <c r="E11" s="633">
        <v>43375.371747685182</v>
      </c>
      <c r="F11" s="638">
        <v>43375.371747685182</v>
      </c>
      <c r="G11" s="634">
        <v>0.37152777777777773</v>
      </c>
      <c r="H11" s="635">
        <v>9.533333333333335</v>
      </c>
      <c r="I11" s="635">
        <v>8</v>
      </c>
      <c r="J11" s="635" t="s">
        <v>115</v>
      </c>
      <c r="K11" s="635"/>
      <c r="L11" s="635"/>
      <c r="M11" s="635"/>
      <c r="N11" s="635"/>
      <c r="O11" s="603"/>
      <c r="P11" s="345"/>
      <c r="Q11" s="369"/>
      <c r="R11" s="18"/>
      <c r="S11" s="18"/>
    </row>
    <row r="12" spans="1:22" s="63" customFormat="1">
      <c r="A12" s="632">
        <v>13514</v>
      </c>
      <c r="B12" s="632" t="s">
        <v>14</v>
      </c>
      <c r="C12" s="632" t="s">
        <v>14</v>
      </c>
      <c r="D12" s="632" t="s">
        <v>126</v>
      </c>
      <c r="E12" s="633">
        <v>43375.768750000003</v>
      </c>
      <c r="F12" s="638">
        <v>43375.768750000003</v>
      </c>
      <c r="G12" s="634">
        <v>0.76874999999999993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  <c r="O12" s="603"/>
      <c r="P12" s="345"/>
      <c r="Q12" s="369"/>
      <c r="R12" s="372"/>
      <c r="S12" s="372"/>
      <c r="T12" s="373"/>
      <c r="U12" s="373"/>
      <c r="V12" s="373"/>
    </row>
    <row r="13" spans="1:22" s="63" customFormat="1">
      <c r="A13" s="632">
        <v>13527</v>
      </c>
      <c r="B13" s="632" t="s">
        <v>14</v>
      </c>
      <c r="C13" s="632" t="s">
        <v>14</v>
      </c>
      <c r="D13" s="632" t="s">
        <v>125</v>
      </c>
      <c r="E13" s="633">
        <v>43376.370104166665</v>
      </c>
      <c r="F13" s="638">
        <v>43376.370104166665</v>
      </c>
      <c r="G13" s="634">
        <v>0.36944444444444446</v>
      </c>
      <c r="H13" s="635">
        <v>9.5833333333333339</v>
      </c>
      <c r="I13" s="635">
        <v>8</v>
      </c>
      <c r="J13" s="635" t="s">
        <v>115</v>
      </c>
      <c r="K13" s="635"/>
      <c r="L13" s="635"/>
      <c r="M13" s="635"/>
      <c r="N13" s="635"/>
      <c r="O13" s="603"/>
      <c r="P13" s="137"/>
      <c r="Q13" s="397"/>
      <c r="R13" s="137"/>
      <c r="S13" s="137"/>
      <c r="T13" s="16"/>
      <c r="U13" s="16"/>
      <c r="V13" s="16"/>
    </row>
    <row r="14" spans="1:22" s="63" customFormat="1">
      <c r="A14" s="632">
        <v>13535</v>
      </c>
      <c r="B14" s="632" t="s">
        <v>14</v>
      </c>
      <c r="C14" s="632" t="s">
        <v>14</v>
      </c>
      <c r="D14" s="632" t="s">
        <v>126</v>
      </c>
      <c r="E14" s="633">
        <v>43376.769282407404</v>
      </c>
      <c r="F14" s="638">
        <v>43376.769282407404</v>
      </c>
      <c r="G14" s="634">
        <v>0.76874999999999993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  <c r="O14" s="603"/>
      <c r="P14" s="137"/>
      <c r="Q14" s="397"/>
      <c r="R14" s="137"/>
      <c r="S14" s="137"/>
      <c r="T14" s="16"/>
      <c r="U14" s="16"/>
      <c r="V14" s="16"/>
    </row>
    <row r="15" spans="1:22" s="63" customFormat="1">
      <c r="A15" s="632">
        <v>13537</v>
      </c>
      <c r="B15" s="632" t="s">
        <v>14</v>
      </c>
      <c r="C15" s="632" t="s">
        <v>14</v>
      </c>
      <c r="D15" s="632" t="s">
        <v>127</v>
      </c>
      <c r="E15" s="633">
        <v>43376.771597222221</v>
      </c>
      <c r="F15" s="638">
        <v>43376.771597222221</v>
      </c>
      <c r="G15" s="634">
        <v>0.7715277777777777</v>
      </c>
      <c r="H15" s="635" t="s">
        <v>115</v>
      </c>
      <c r="I15" s="635" t="s">
        <v>115</v>
      </c>
      <c r="J15" s="635" t="s">
        <v>115</v>
      </c>
      <c r="K15" s="635">
        <v>1.5499999999999998</v>
      </c>
      <c r="L15" s="635"/>
      <c r="M15" s="635">
        <v>1.5499999999999998</v>
      </c>
      <c r="N15" s="635">
        <v>0</v>
      </c>
      <c r="O15" s="605"/>
      <c r="P15" s="137"/>
      <c r="Q15" s="397"/>
      <c r="R15" s="137"/>
      <c r="S15" s="137"/>
      <c r="T15" s="16"/>
      <c r="U15" s="16"/>
      <c r="V15" s="16"/>
    </row>
    <row r="16" spans="1:22" s="63" customFormat="1">
      <c r="A16" s="632">
        <v>13551</v>
      </c>
      <c r="B16" s="632" t="s">
        <v>14</v>
      </c>
      <c r="C16" s="632" t="s">
        <v>14</v>
      </c>
      <c r="D16" s="632" t="s">
        <v>128</v>
      </c>
      <c r="E16" s="633">
        <v>43376.83625</v>
      </c>
      <c r="F16" s="638">
        <v>43376.83625</v>
      </c>
      <c r="G16" s="634">
        <v>0.83611111111111114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  <c r="O16" s="605"/>
      <c r="P16" s="137"/>
      <c r="Q16" s="397"/>
      <c r="R16" s="137"/>
      <c r="S16" s="137"/>
      <c r="T16" s="16"/>
      <c r="U16" s="16"/>
      <c r="V16" s="16"/>
    </row>
    <row r="17" spans="1:22" s="187" customFormat="1">
      <c r="A17" s="632">
        <v>13556</v>
      </c>
      <c r="B17" s="632" t="s">
        <v>14</v>
      </c>
      <c r="C17" s="632" t="s">
        <v>14</v>
      </c>
      <c r="D17" s="632" t="s">
        <v>125</v>
      </c>
      <c r="E17" s="633">
        <v>43377.368032407408</v>
      </c>
      <c r="F17" s="638">
        <v>43377.368032407408</v>
      </c>
      <c r="G17" s="634">
        <v>0.36736111111111108</v>
      </c>
      <c r="H17" s="635">
        <v>9.65</v>
      </c>
      <c r="I17" s="635">
        <v>8</v>
      </c>
      <c r="J17" s="635" t="s">
        <v>115</v>
      </c>
      <c r="K17" s="635"/>
      <c r="L17" s="635"/>
      <c r="M17" s="635"/>
      <c r="N17" s="635"/>
      <c r="O17" s="603"/>
      <c r="P17" s="345"/>
      <c r="Q17" s="369"/>
      <c r="R17" s="372"/>
      <c r="S17" s="372"/>
      <c r="T17" s="373"/>
      <c r="U17" s="373"/>
      <c r="V17" s="373"/>
    </row>
    <row r="18" spans="1:22" s="63" customFormat="1">
      <c r="A18" s="632">
        <v>13565</v>
      </c>
      <c r="B18" s="632" t="s">
        <v>14</v>
      </c>
      <c r="C18" s="632" t="s">
        <v>14</v>
      </c>
      <c r="D18" s="632" t="s">
        <v>126</v>
      </c>
      <c r="E18" s="633">
        <v>43377.769594907404</v>
      </c>
      <c r="F18" s="638">
        <v>43377.769594907404</v>
      </c>
      <c r="G18" s="634">
        <v>0.76944444444444438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  <c r="O18" s="603"/>
      <c r="P18" s="345"/>
      <c r="Q18" s="369"/>
      <c r="R18" s="372"/>
      <c r="S18" s="372"/>
      <c r="T18" s="373"/>
      <c r="U18" s="373"/>
      <c r="V18" s="373"/>
    </row>
    <row r="19" spans="1:22" s="9" customFormat="1">
      <c r="A19" s="632">
        <v>13566</v>
      </c>
      <c r="B19" s="632" t="s">
        <v>14</v>
      </c>
      <c r="C19" s="632" t="s">
        <v>14</v>
      </c>
      <c r="D19" s="632" t="s">
        <v>127</v>
      </c>
      <c r="E19" s="633">
        <v>43377.769629629627</v>
      </c>
      <c r="F19" s="638">
        <v>43377.769629629627</v>
      </c>
      <c r="G19" s="634">
        <v>0.76944444444444438</v>
      </c>
      <c r="H19" s="635" t="s">
        <v>115</v>
      </c>
      <c r="I19" s="635" t="s">
        <v>115</v>
      </c>
      <c r="J19" s="635" t="s">
        <v>115</v>
      </c>
      <c r="K19" s="635">
        <v>0.9833333333333325</v>
      </c>
      <c r="L19" s="635"/>
      <c r="M19" s="635">
        <v>0.9833333333333325</v>
      </c>
      <c r="N19" s="635">
        <v>0</v>
      </c>
      <c r="O19" s="603"/>
      <c r="Q19" s="448"/>
      <c r="R19" s="372"/>
      <c r="S19" s="372"/>
      <c r="T19" s="373"/>
      <c r="U19" s="373"/>
      <c r="V19" s="373"/>
    </row>
    <row r="20" spans="1:22">
      <c r="A20" s="632">
        <v>13581</v>
      </c>
      <c r="B20" s="632" t="s">
        <v>92</v>
      </c>
      <c r="C20" s="632" t="s">
        <v>14</v>
      </c>
      <c r="D20" s="632" t="s">
        <v>128</v>
      </c>
      <c r="E20" s="633">
        <v>43377.810428240744</v>
      </c>
      <c r="F20" s="638">
        <v>43377.810428240744</v>
      </c>
      <c r="G20" s="634">
        <v>0.81041666666666667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03"/>
      <c r="P20" s="9"/>
      <c r="R20" s="372"/>
      <c r="S20" s="372"/>
      <c r="T20" s="373"/>
      <c r="U20" s="373"/>
      <c r="V20" s="373"/>
    </row>
    <row r="21" spans="1:22" s="398" customFormat="1">
      <c r="A21" s="632">
        <v>13588</v>
      </c>
      <c r="B21" s="632" t="s">
        <v>14</v>
      </c>
      <c r="C21" s="632" t="s">
        <v>14</v>
      </c>
      <c r="D21" s="632" t="s">
        <v>125</v>
      </c>
      <c r="E21" s="633">
        <v>43378.369201388887</v>
      </c>
      <c r="F21" s="638">
        <v>43378.369201388887</v>
      </c>
      <c r="G21" s="634">
        <v>0.36874999999999997</v>
      </c>
      <c r="H21" s="635">
        <v>9.65</v>
      </c>
      <c r="I21" s="635">
        <v>8</v>
      </c>
      <c r="J21" s="635" t="s">
        <v>115</v>
      </c>
      <c r="K21" s="635"/>
      <c r="L21" s="635"/>
      <c r="M21" s="635"/>
      <c r="N21" s="635"/>
      <c r="O21" s="602"/>
      <c r="P21" s="444"/>
      <c r="Q21" s="444"/>
      <c r="R21" s="137"/>
      <c r="S21" s="137"/>
      <c r="T21" s="16"/>
      <c r="U21" s="16"/>
      <c r="V21" s="16"/>
    </row>
    <row r="22" spans="1:22" s="63" customFormat="1">
      <c r="A22" s="632">
        <v>13596</v>
      </c>
      <c r="B22" s="632" t="s">
        <v>14</v>
      </c>
      <c r="C22" s="632" t="s">
        <v>14</v>
      </c>
      <c r="D22" s="632" t="s">
        <v>126</v>
      </c>
      <c r="E22" s="633">
        <v>43378.770844907405</v>
      </c>
      <c r="F22" s="638">
        <v>43378.770844907405</v>
      </c>
      <c r="G22" s="634">
        <v>0.77083333333333337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  <c r="O22" s="603"/>
      <c r="P22" s="9"/>
      <c r="Q22" s="345"/>
      <c r="R22" s="372"/>
      <c r="S22" s="372"/>
      <c r="T22" s="373"/>
      <c r="U22" s="373"/>
      <c r="V22" s="373"/>
    </row>
    <row r="23" spans="1:22" s="16" customFormat="1">
      <c r="A23" s="632">
        <v>13602</v>
      </c>
      <c r="B23" s="632" t="s">
        <v>14</v>
      </c>
      <c r="C23" s="632" t="s">
        <v>14</v>
      </c>
      <c r="D23" s="632" t="s">
        <v>127</v>
      </c>
      <c r="E23" s="633">
        <v>43378.771643518521</v>
      </c>
      <c r="F23" s="638">
        <v>43378.771643518521</v>
      </c>
      <c r="G23" s="634">
        <v>0.7715277777777777</v>
      </c>
      <c r="H23" s="635" t="s">
        <v>115</v>
      </c>
      <c r="I23" s="635" t="s">
        <v>115</v>
      </c>
      <c r="J23" s="635" t="s">
        <v>115</v>
      </c>
      <c r="K23" s="635">
        <v>0.2333333333333325</v>
      </c>
      <c r="L23" s="635"/>
      <c r="M23" s="635">
        <v>0.2333333333333325</v>
      </c>
      <c r="N23" s="635">
        <v>0</v>
      </c>
      <c r="O23" s="602"/>
      <c r="P23" s="444"/>
      <c r="Q23" s="444"/>
      <c r="R23" s="137"/>
      <c r="S23" s="137"/>
    </row>
    <row r="24" spans="1:22" s="63" customFormat="1">
      <c r="A24" s="632">
        <v>13608</v>
      </c>
      <c r="B24" s="632" t="s">
        <v>14</v>
      </c>
      <c r="C24" s="632" t="s">
        <v>14</v>
      </c>
      <c r="D24" s="632" t="s">
        <v>128</v>
      </c>
      <c r="E24" s="633">
        <v>43378.781377314815</v>
      </c>
      <c r="F24" s="638">
        <v>43378.781377314815</v>
      </c>
      <c r="G24" s="634">
        <v>0.78125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  <c r="O24" s="603"/>
      <c r="P24" s="9"/>
      <c r="Q24" s="345"/>
      <c r="R24" s="372"/>
      <c r="S24" s="372"/>
      <c r="T24" s="373"/>
      <c r="U24" s="373"/>
      <c r="V24" s="373"/>
    </row>
    <row r="25" spans="1:22" s="16" customFormat="1">
      <c r="A25" s="632">
        <v>13620</v>
      </c>
      <c r="B25" s="632" t="s">
        <v>14</v>
      </c>
      <c r="C25" s="632" t="s">
        <v>14</v>
      </c>
      <c r="D25" s="632" t="s">
        <v>125</v>
      </c>
      <c r="E25" s="633">
        <v>43381.369317129633</v>
      </c>
      <c r="F25" s="638">
        <v>43381.369317129633</v>
      </c>
      <c r="G25" s="634">
        <v>0.36874999999999997</v>
      </c>
      <c r="H25" s="635">
        <v>9.65</v>
      </c>
      <c r="I25" s="635">
        <v>8</v>
      </c>
      <c r="J25" s="635" t="s">
        <v>115</v>
      </c>
      <c r="K25" s="635"/>
      <c r="L25" s="635"/>
      <c r="M25" s="635"/>
      <c r="N25" s="635"/>
      <c r="O25" s="603"/>
      <c r="P25" s="9"/>
      <c r="Q25" s="345"/>
      <c r="R25" s="372"/>
      <c r="S25" s="372"/>
      <c r="T25" s="373"/>
      <c r="U25" s="373"/>
      <c r="V25" s="373"/>
    </row>
    <row r="26" spans="1:22" s="63" customFormat="1">
      <c r="A26" s="632">
        <v>13633</v>
      </c>
      <c r="B26" s="632" t="s">
        <v>14</v>
      </c>
      <c r="C26" s="632" t="s">
        <v>14</v>
      </c>
      <c r="D26" s="632" t="s">
        <v>126</v>
      </c>
      <c r="E26" s="633">
        <v>43381.771238425928</v>
      </c>
      <c r="F26" s="638">
        <v>43381.771238425928</v>
      </c>
      <c r="G26" s="634">
        <v>0.77083333333333337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  <c r="O26" s="603"/>
      <c r="P26" s="9"/>
      <c r="Q26" s="345"/>
      <c r="R26" s="372"/>
      <c r="S26" s="372"/>
      <c r="T26" s="373"/>
      <c r="U26" s="373"/>
      <c r="V26" s="373"/>
    </row>
    <row r="27" spans="1:22">
      <c r="A27" s="632">
        <v>13645</v>
      </c>
      <c r="B27" s="632" t="s">
        <v>14</v>
      </c>
      <c r="C27" s="632" t="s">
        <v>14</v>
      </c>
      <c r="D27" s="632" t="s">
        <v>125</v>
      </c>
      <c r="E27" s="633">
        <v>43382.371006944442</v>
      </c>
      <c r="F27" s="638">
        <v>43382.371006944442</v>
      </c>
      <c r="G27" s="634">
        <v>0.37083333333333335</v>
      </c>
      <c r="H27" s="635">
        <v>9.6333333333333329</v>
      </c>
      <c r="I27" s="635">
        <v>8</v>
      </c>
      <c r="J27" s="635" t="s">
        <v>115</v>
      </c>
      <c r="K27" s="635"/>
      <c r="L27" s="635"/>
      <c r="M27" s="635"/>
      <c r="N27" s="635"/>
      <c r="O27" s="603"/>
      <c r="P27" s="9"/>
      <c r="R27" s="372"/>
      <c r="S27" s="372"/>
      <c r="T27" s="373"/>
      <c r="U27" s="373"/>
      <c r="V27" s="373"/>
    </row>
    <row r="28" spans="1:22">
      <c r="A28" s="632">
        <v>13659</v>
      </c>
      <c r="B28" s="632" t="s">
        <v>92</v>
      </c>
      <c r="C28" s="632" t="s">
        <v>14</v>
      </c>
      <c r="D28" s="632" t="s">
        <v>126</v>
      </c>
      <c r="E28" s="633">
        <v>43382.772222222222</v>
      </c>
      <c r="F28" s="638">
        <v>43382.772222222222</v>
      </c>
      <c r="G28" s="634">
        <v>0.77222222222222225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O28" s="603"/>
      <c r="P28" s="9"/>
      <c r="R28" s="372"/>
      <c r="S28" s="372"/>
      <c r="T28" s="373"/>
      <c r="U28" s="373"/>
      <c r="V28" s="373"/>
    </row>
    <row r="29" spans="1:22" s="63" customFormat="1">
      <c r="A29" s="632"/>
      <c r="B29" s="632"/>
      <c r="C29" s="632"/>
      <c r="D29" s="632" t="s">
        <v>125</v>
      </c>
      <c r="E29" s="633">
        <v>43383.354409722226</v>
      </c>
      <c r="F29" s="638">
        <v>43383.354409722226</v>
      </c>
      <c r="G29" s="634">
        <v>0.35416666666666669</v>
      </c>
      <c r="H29" s="635"/>
      <c r="I29" s="635">
        <v>0</v>
      </c>
      <c r="J29" s="635">
        <v>8</v>
      </c>
      <c r="K29" s="635"/>
      <c r="L29" s="635"/>
      <c r="M29" s="635"/>
      <c r="N29" s="635"/>
      <c r="O29" s="628" t="s">
        <v>157</v>
      </c>
      <c r="P29" s="627"/>
      <c r="Q29" s="345"/>
      <c r="R29" s="372"/>
      <c r="S29" s="372"/>
      <c r="T29" s="373"/>
      <c r="U29" s="373"/>
      <c r="V29" s="373"/>
    </row>
    <row r="30" spans="1:22" s="63" customFormat="1">
      <c r="A30" s="632"/>
      <c r="B30" s="632"/>
      <c r="C30" s="632"/>
      <c r="D30" s="632" t="s">
        <v>126</v>
      </c>
      <c r="E30" s="633">
        <v>43383.75</v>
      </c>
      <c r="F30" s="638">
        <v>43383.771435185183</v>
      </c>
      <c r="G30" s="634">
        <v>0.75</v>
      </c>
      <c r="H30" s="635"/>
      <c r="I30" s="635"/>
      <c r="J30" s="635"/>
      <c r="K30" s="635"/>
      <c r="L30" s="635"/>
      <c r="M30" s="635"/>
      <c r="N30" s="635"/>
      <c r="O30" s="628"/>
      <c r="P30" s="627"/>
      <c r="Q30" s="345"/>
      <c r="R30" s="372"/>
      <c r="S30" s="372"/>
      <c r="T30" s="373"/>
      <c r="U30" s="373"/>
      <c r="V30" s="373"/>
    </row>
    <row r="31" spans="1:22" s="444" customFormat="1">
      <c r="A31" s="632">
        <v>13663</v>
      </c>
      <c r="B31" s="632" t="s">
        <v>14</v>
      </c>
      <c r="C31" s="632" t="s">
        <v>14</v>
      </c>
      <c r="D31" s="632" t="s">
        <v>125</v>
      </c>
      <c r="E31" s="633">
        <v>43384.367083333331</v>
      </c>
      <c r="F31" s="638">
        <v>43384.367083333331</v>
      </c>
      <c r="G31" s="634">
        <v>0.3666666666666667</v>
      </c>
      <c r="H31" s="635">
        <v>9.6500000000000021</v>
      </c>
      <c r="I31" s="635">
        <v>8</v>
      </c>
      <c r="J31" s="635" t="s">
        <v>115</v>
      </c>
      <c r="K31" s="635"/>
      <c r="L31" s="635"/>
      <c r="M31" s="635"/>
      <c r="N31" s="635"/>
      <c r="O31" s="493"/>
      <c r="R31" s="137"/>
      <c r="S31" s="137"/>
      <c r="T31" s="137"/>
      <c r="U31" s="137"/>
      <c r="V31" s="137"/>
    </row>
    <row r="32" spans="1:22" s="444" customFormat="1">
      <c r="A32" s="632">
        <v>13673</v>
      </c>
      <c r="B32" s="632" t="s">
        <v>14</v>
      </c>
      <c r="C32" s="632" t="s">
        <v>14</v>
      </c>
      <c r="D32" s="632" t="s">
        <v>126</v>
      </c>
      <c r="E32" s="633">
        <v>43384.76935185185</v>
      </c>
      <c r="F32" s="638">
        <v>43384.76935185185</v>
      </c>
      <c r="G32" s="634">
        <v>0.76874999999999993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  <c r="O32" s="602"/>
      <c r="R32" s="137"/>
      <c r="S32" s="137"/>
      <c r="T32" s="137"/>
      <c r="U32" s="137"/>
      <c r="V32" s="137"/>
    </row>
    <row r="33" spans="1:22" s="398" customFormat="1">
      <c r="A33" s="632">
        <v>13674</v>
      </c>
      <c r="B33" s="632" t="s">
        <v>14</v>
      </c>
      <c r="C33" s="632" t="s">
        <v>14</v>
      </c>
      <c r="D33" s="632" t="s">
        <v>127</v>
      </c>
      <c r="E33" s="633">
        <v>43384.769421296296</v>
      </c>
      <c r="F33" s="638">
        <v>43384.769421296296</v>
      </c>
      <c r="G33" s="634">
        <v>0.76874999999999993</v>
      </c>
      <c r="H33" s="635" t="s">
        <v>115</v>
      </c>
      <c r="I33" s="635" t="s">
        <v>115</v>
      </c>
      <c r="J33" s="635" t="s">
        <v>115</v>
      </c>
      <c r="K33" s="635">
        <v>0.68333333333333357</v>
      </c>
      <c r="L33" s="635"/>
      <c r="M33" s="635">
        <v>0.68333333333333357</v>
      </c>
      <c r="N33" s="635">
        <v>0</v>
      </c>
      <c r="O33" s="605"/>
      <c r="P33" s="9"/>
      <c r="Q33" s="345"/>
      <c r="R33" s="372"/>
      <c r="S33" s="401"/>
      <c r="T33" s="401"/>
      <c r="U33" s="401"/>
      <c r="V33" s="401"/>
    </row>
    <row r="34" spans="1:22" s="398" customFormat="1">
      <c r="A34" s="632">
        <v>13685</v>
      </c>
      <c r="B34" s="632" t="s">
        <v>14</v>
      </c>
      <c r="C34" s="632" t="s">
        <v>14</v>
      </c>
      <c r="D34" s="632" t="s">
        <v>128</v>
      </c>
      <c r="E34" s="633">
        <v>43384.797708333332</v>
      </c>
      <c r="F34" s="638">
        <v>43384.797708333332</v>
      </c>
      <c r="G34" s="634">
        <v>0.79722222222222217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05"/>
      <c r="P34" s="9"/>
      <c r="Q34" s="345"/>
      <c r="R34" s="372"/>
      <c r="S34" s="372"/>
      <c r="T34" s="373"/>
      <c r="U34" s="373"/>
      <c r="V34" s="373"/>
    </row>
    <row r="35" spans="1:22" s="631" customFormat="1">
      <c r="A35" s="632"/>
      <c r="B35" s="632"/>
      <c r="C35" s="632"/>
      <c r="D35" s="632" t="s">
        <v>125</v>
      </c>
      <c r="E35" s="633">
        <v>43385.354166666664</v>
      </c>
      <c r="F35" s="638">
        <v>43385.354166666664</v>
      </c>
      <c r="G35" s="634">
        <v>0.33333333333333331</v>
      </c>
      <c r="H35" s="635"/>
      <c r="I35" s="635">
        <v>0</v>
      </c>
      <c r="J35" s="635">
        <v>4</v>
      </c>
      <c r="K35" s="635"/>
      <c r="L35" s="635"/>
      <c r="M35" s="635"/>
      <c r="N35" s="635"/>
      <c r="O35" s="628" t="s">
        <v>161</v>
      </c>
      <c r="P35" s="627"/>
      <c r="Q35" s="345"/>
      <c r="R35" s="372"/>
      <c r="S35" s="372"/>
      <c r="T35" s="373"/>
      <c r="U35" s="373"/>
      <c r="V35" s="373"/>
    </row>
    <row r="36" spans="1:22" s="631" customFormat="1">
      <c r="A36" s="632"/>
      <c r="B36" s="632"/>
      <c r="C36" s="632"/>
      <c r="D36" s="632" t="s">
        <v>126</v>
      </c>
      <c r="E36" s="633">
        <v>43385.583333333336</v>
      </c>
      <c r="F36" s="638">
        <v>43385.75</v>
      </c>
      <c r="G36" s="634">
        <v>0.58333333333333337</v>
      </c>
      <c r="H36" s="635"/>
      <c r="I36" s="635"/>
      <c r="J36" s="635"/>
      <c r="K36" s="635"/>
      <c r="L36" s="635"/>
      <c r="M36" s="635"/>
      <c r="N36" s="635"/>
      <c r="O36" s="628"/>
      <c r="P36" s="627"/>
      <c r="Q36" s="345"/>
      <c r="R36" s="372"/>
      <c r="S36" s="372"/>
      <c r="T36" s="373"/>
      <c r="U36" s="373"/>
      <c r="V36" s="373"/>
    </row>
    <row r="37" spans="1:22" s="631" customFormat="1">
      <c r="A37" s="632"/>
      <c r="B37" s="632"/>
      <c r="C37" s="632"/>
      <c r="D37" s="632" t="s">
        <v>125</v>
      </c>
      <c r="E37" s="633">
        <v>43385.583333333336</v>
      </c>
      <c r="F37" s="638">
        <v>43385.354166666664</v>
      </c>
      <c r="G37" s="634">
        <v>0.58333333333333337</v>
      </c>
      <c r="H37" s="635"/>
      <c r="I37" s="635">
        <v>0</v>
      </c>
      <c r="J37" s="635">
        <v>4</v>
      </c>
      <c r="K37" s="635"/>
      <c r="L37" s="635"/>
      <c r="M37" s="635"/>
      <c r="N37" s="635"/>
      <c r="O37" s="628" t="s">
        <v>156</v>
      </c>
      <c r="P37" s="627"/>
      <c r="Q37" s="345"/>
      <c r="R37" s="372"/>
      <c r="S37" s="372"/>
      <c r="T37" s="373"/>
      <c r="U37" s="373"/>
      <c r="V37" s="373"/>
    </row>
    <row r="38" spans="1:22" s="631" customFormat="1">
      <c r="A38" s="632"/>
      <c r="B38" s="632"/>
      <c r="C38" s="632"/>
      <c r="D38" s="632" t="s">
        <v>126</v>
      </c>
      <c r="E38" s="633">
        <v>43385.75</v>
      </c>
      <c r="F38" s="638">
        <v>43385.75</v>
      </c>
      <c r="G38" s="634">
        <v>0.75</v>
      </c>
      <c r="H38" s="635"/>
      <c r="I38" s="635"/>
      <c r="J38" s="635"/>
      <c r="K38" s="635"/>
      <c r="L38" s="635"/>
      <c r="M38" s="635"/>
      <c r="N38" s="635"/>
      <c r="O38" s="628"/>
      <c r="P38" s="627"/>
      <c r="Q38" s="345"/>
      <c r="R38" s="372"/>
      <c r="S38" s="372"/>
      <c r="T38" s="373"/>
      <c r="U38" s="373"/>
      <c r="V38" s="373"/>
    </row>
    <row r="39" spans="1:22" s="9" customFormat="1">
      <c r="A39" s="632">
        <v>13723</v>
      </c>
      <c r="B39" s="632" t="s">
        <v>14</v>
      </c>
      <c r="C39" s="632" t="s">
        <v>14</v>
      </c>
      <c r="D39" s="632" t="s">
        <v>125</v>
      </c>
      <c r="E39" s="633">
        <v>43388.363634259258</v>
      </c>
      <c r="F39" s="638">
        <v>43388.363634259258</v>
      </c>
      <c r="G39" s="634">
        <v>0.36319444444444443</v>
      </c>
      <c r="H39" s="635">
        <v>9.8166666666666682</v>
      </c>
      <c r="I39" s="635">
        <v>8</v>
      </c>
      <c r="J39" s="635" t="s">
        <v>115</v>
      </c>
      <c r="K39" s="635"/>
      <c r="L39" s="635"/>
      <c r="M39" s="635"/>
      <c r="N39" s="635"/>
      <c r="O39" s="603"/>
      <c r="Q39" s="345"/>
      <c r="R39" s="372"/>
      <c r="S39" s="374"/>
      <c r="T39" s="375"/>
      <c r="U39" s="375"/>
      <c r="V39" s="375"/>
    </row>
    <row r="40" spans="1:22" s="9" customFormat="1">
      <c r="A40" s="632">
        <v>13740</v>
      </c>
      <c r="B40" s="632" t="s">
        <v>14</v>
      </c>
      <c r="C40" s="632" t="s">
        <v>14</v>
      </c>
      <c r="D40" s="632" t="s">
        <v>126</v>
      </c>
      <c r="E40" s="633">
        <v>43388.772905092592</v>
      </c>
      <c r="F40" s="638">
        <v>43388.772905092592</v>
      </c>
      <c r="G40" s="634">
        <v>0.77222222222222225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03"/>
      <c r="Q40" s="345"/>
      <c r="R40" s="372"/>
      <c r="S40" s="345"/>
      <c r="T40" s="335"/>
      <c r="U40" s="335"/>
      <c r="V40" s="335"/>
    </row>
    <row r="41" spans="1:22" s="9" customFormat="1">
      <c r="A41" s="632">
        <v>13748</v>
      </c>
      <c r="B41" s="632" t="s">
        <v>92</v>
      </c>
      <c r="C41" s="632" t="s">
        <v>14</v>
      </c>
      <c r="D41" s="632" t="s">
        <v>125</v>
      </c>
      <c r="E41" s="633">
        <v>43389.363634259258</v>
      </c>
      <c r="F41" s="638">
        <v>43389.363634259258</v>
      </c>
      <c r="G41" s="634">
        <v>0.36319444444444443</v>
      </c>
      <c r="H41" s="635">
        <v>9.7000000000000011</v>
      </c>
      <c r="I41" s="635">
        <v>8</v>
      </c>
      <c r="J41" s="635" t="s">
        <v>115</v>
      </c>
      <c r="K41" s="635"/>
      <c r="L41" s="635"/>
      <c r="M41" s="635"/>
      <c r="N41" s="635"/>
      <c r="O41" s="603"/>
      <c r="Q41" s="345"/>
      <c r="R41" s="372"/>
      <c r="S41" s="372"/>
      <c r="T41" s="373"/>
      <c r="U41" s="373"/>
      <c r="V41" s="373"/>
    </row>
    <row r="42" spans="1:22" s="9" customFormat="1">
      <c r="A42" s="632">
        <v>13762</v>
      </c>
      <c r="B42" s="632" t="s">
        <v>14</v>
      </c>
      <c r="C42" s="632" t="s">
        <v>14</v>
      </c>
      <c r="D42" s="632" t="s">
        <v>126</v>
      </c>
      <c r="E42" s="633">
        <v>43389.767789351848</v>
      </c>
      <c r="F42" s="638">
        <v>43389.767789351848</v>
      </c>
      <c r="G42" s="634">
        <v>0.76736111111111116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03"/>
      <c r="Q42" s="345"/>
      <c r="R42" s="372"/>
      <c r="S42" s="18"/>
      <c r="T42" s="63"/>
      <c r="U42" s="63"/>
      <c r="V42" s="63"/>
    </row>
    <row r="43" spans="1:22" s="137" customFormat="1">
      <c r="A43" s="632">
        <v>13765</v>
      </c>
      <c r="B43" s="632" t="s">
        <v>14</v>
      </c>
      <c r="C43" s="632" t="s">
        <v>14</v>
      </c>
      <c r="D43" s="632" t="s">
        <v>127</v>
      </c>
      <c r="E43" s="633">
        <v>43389.76971064815</v>
      </c>
      <c r="F43" s="638">
        <v>43389.76971064815</v>
      </c>
      <c r="G43" s="634">
        <v>0.76944444444444438</v>
      </c>
      <c r="H43" s="635" t="s">
        <v>115</v>
      </c>
      <c r="I43" s="635" t="s">
        <v>115</v>
      </c>
      <c r="J43" s="635" t="s">
        <v>115</v>
      </c>
      <c r="K43" s="635">
        <v>0.84999999999999964</v>
      </c>
      <c r="L43" s="635"/>
      <c r="M43" s="635">
        <v>0.84999999999999964</v>
      </c>
      <c r="N43" s="635">
        <v>0</v>
      </c>
      <c r="O43" s="603"/>
      <c r="P43" s="9"/>
      <c r="Q43" s="345"/>
      <c r="R43" s="372"/>
      <c r="S43" s="16"/>
      <c r="T43" s="16"/>
      <c r="U43" s="16"/>
      <c r="V43" s="16"/>
    </row>
    <row r="44" spans="1:22" s="137" customFormat="1">
      <c r="A44" s="632">
        <v>13770</v>
      </c>
      <c r="B44" s="632" t="s">
        <v>92</v>
      </c>
      <c r="C44" s="632" t="s">
        <v>14</v>
      </c>
      <c r="D44" s="632" t="s">
        <v>128</v>
      </c>
      <c r="E44" s="633">
        <v>43389.80505787037</v>
      </c>
      <c r="F44" s="638">
        <v>43389.80505787037</v>
      </c>
      <c r="G44" s="634">
        <v>0.80486111111111114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  <c r="O44" s="603"/>
      <c r="P44" s="9"/>
      <c r="Q44" s="345"/>
      <c r="R44" s="372"/>
      <c r="S44" s="16"/>
      <c r="T44" s="16"/>
      <c r="U44" s="16"/>
      <c r="V44" s="16"/>
    </row>
    <row r="45" spans="1:22" s="18" customFormat="1">
      <c r="A45" s="632">
        <v>13779</v>
      </c>
      <c r="B45" s="632" t="s">
        <v>92</v>
      </c>
      <c r="C45" s="632" t="s">
        <v>14</v>
      </c>
      <c r="D45" s="632" t="s">
        <v>125</v>
      </c>
      <c r="E45" s="633">
        <v>43390.364178240743</v>
      </c>
      <c r="F45" s="638">
        <v>43390.364178240743</v>
      </c>
      <c r="G45" s="634">
        <v>0.36388888888888887</v>
      </c>
      <c r="H45" s="635">
        <v>9.6833333333333353</v>
      </c>
      <c r="I45" s="635">
        <v>8</v>
      </c>
      <c r="J45" s="635" t="s">
        <v>115</v>
      </c>
      <c r="K45" s="635"/>
      <c r="L45" s="635"/>
      <c r="M45" s="635"/>
      <c r="N45" s="635"/>
      <c r="O45" s="603"/>
      <c r="P45" s="9"/>
      <c r="Q45" s="345"/>
      <c r="R45" s="372"/>
      <c r="S45" s="370"/>
      <c r="T45" s="371"/>
      <c r="U45" s="371"/>
      <c r="V45" s="371"/>
    </row>
    <row r="46" spans="1:22" s="18" customFormat="1">
      <c r="A46" s="632">
        <v>13785</v>
      </c>
      <c r="B46" s="632" t="s">
        <v>14</v>
      </c>
      <c r="C46" s="632" t="s">
        <v>14</v>
      </c>
      <c r="D46" s="632" t="s">
        <v>126</v>
      </c>
      <c r="E46" s="633">
        <v>43390.767395833333</v>
      </c>
      <c r="F46" s="638">
        <v>43390.767395833333</v>
      </c>
      <c r="G46" s="634">
        <v>0.76736111111111116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  <c r="O46" s="603"/>
      <c r="P46" s="9"/>
      <c r="Q46" s="345"/>
      <c r="R46" s="372"/>
      <c r="T46" s="63"/>
      <c r="U46" s="63"/>
      <c r="V46" s="63"/>
    </row>
    <row r="47" spans="1:22" s="137" customFormat="1">
      <c r="A47" s="632">
        <v>13787</v>
      </c>
      <c r="B47" s="632" t="s">
        <v>14</v>
      </c>
      <c r="C47" s="632" t="s">
        <v>14</v>
      </c>
      <c r="D47" s="632" t="s">
        <v>127</v>
      </c>
      <c r="E47" s="633">
        <v>43390.771168981482</v>
      </c>
      <c r="F47" s="638">
        <v>43390.771168981482</v>
      </c>
      <c r="G47" s="634">
        <v>0.77083333333333337</v>
      </c>
      <c r="H47" s="635" t="s">
        <v>115</v>
      </c>
      <c r="I47" s="635" t="s">
        <v>115</v>
      </c>
      <c r="J47" s="635" t="s">
        <v>115</v>
      </c>
      <c r="K47" s="635">
        <v>0.49999999999999822</v>
      </c>
      <c r="L47" s="635"/>
      <c r="M47" s="635">
        <v>0.49999999999999822</v>
      </c>
      <c r="N47" s="635">
        <v>0</v>
      </c>
      <c r="O47" s="603"/>
      <c r="P47" s="9"/>
      <c r="Q47" s="345"/>
      <c r="R47" s="372"/>
      <c r="S47" s="18"/>
      <c r="T47" s="63"/>
      <c r="U47" s="63"/>
      <c r="V47" s="63"/>
    </row>
    <row r="48" spans="1:22" s="18" customFormat="1">
      <c r="A48" s="632">
        <v>13798</v>
      </c>
      <c r="B48" s="632" t="s">
        <v>14</v>
      </c>
      <c r="C48" s="632" t="s">
        <v>14</v>
      </c>
      <c r="D48" s="632" t="s">
        <v>128</v>
      </c>
      <c r="E48" s="633">
        <v>43390.791863425926</v>
      </c>
      <c r="F48" s="638">
        <v>43390.791863425926</v>
      </c>
      <c r="G48" s="634">
        <v>0.79166666666666663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  <c r="O48" s="603"/>
      <c r="P48" s="9"/>
      <c r="Q48" s="345"/>
      <c r="R48" s="372"/>
      <c r="S48" s="370"/>
      <c r="T48" s="371"/>
      <c r="U48" s="371"/>
      <c r="V48" s="371"/>
    </row>
    <row r="49" spans="1:22" s="18" customFormat="1">
      <c r="A49" s="632">
        <v>13809</v>
      </c>
      <c r="B49" s="632" t="s">
        <v>14</v>
      </c>
      <c r="C49" s="632" t="s">
        <v>14</v>
      </c>
      <c r="D49" s="632" t="s">
        <v>125</v>
      </c>
      <c r="E49" s="633">
        <v>43391.358425925922</v>
      </c>
      <c r="F49" s="638">
        <v>43391.358425925922</v>
      </c>
      <c r="G49" s="634">
        <v>0.35833333333333334</v>
      </c>
      <c r="H49" s="635">
        <v>9.8166666666666682</v>
      </c>
      <c r="I49" s="635">
        <v>8</v>
      </c>
      <c r="J49" s="635" t="s">
        <v>115</v>
      </c>
      <c r="K49" s="635"/>
      <c r="L49" s="635"/>
      <c r="M49" s="635"/>
      <c r="N49" s="635"/>
      <c r="O49" s="603"/>
      <c r="P49" s="9"/>
      <c r="Q49" s="345"/>
      <c r="R49" s="372"/>
      <c r="S49" s="374"/>
      <c r="T49" s="375"/>
      <c r="U49" s="375"/>
      <c r="V49" s="375"/>
    </row>
    <row r="50" spans="1:22" s="18" customFormat="1">
      <c r="A50" s="632">
        <v>13817</v>
      </c>
      <c r="B50" s="632" t="s">
        <v>14</v>
      </c>
      <c r="C50" s="632" t="s">
        <v>14</v>
      </c>
      <c r="D50" s="632" t="s">
        <v>126</v>
      </c>
      <c r="E50" s="633">
        <v>43391.767997685187</v>
      </c>
      <c r="F50" s="638">
        <v>43391.767997685187</v>
      </c>
      <c r="G50" s="634">
        <v>0.76736111111111116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  <c r="O50" s="603"/>
      <c r="P50" s="9"/>
      <c r="Q50" s="345"/>
      <c r="R50" s="372"/>
      <c r="S50" s="345"/>
      <c r="T50" s="335"/>
      <c r="U50" s="335"/>
      <c r="V50" s="335"/>
    </row>
    <row r="51" spans="1:22" s="18" customFormat="1">
      <c r="A51" s="632">
        <v>13829</v>
      </c>
      <c r="B51" s="632" t="s">
        <v>14</v>
      </c>
      <c r="C51" s="632" t="s">
        <v>14</v>
      </c>
      <c r="D51" s="632" t="s">
        <v>125</v>
      </c>
      <c r="E51" s="633">
        <v>43392.36513888889</v>
      </c>
      <c r="F51" s="638">
        <v>43392.36513888889</v>
      </c>
      <c r="G51" s="634">
        <v>0.36458333333333331</v>
      </c>
      <c r="H51" s="635">
        <v>9.7000000000000011</v>
      </c>
      <c r="I51" s="635">
        <v>8</v>
      </c>
      <c r="J51" s="635" t="s">
        <v>115</v>
      </c>
      <c r="K51" s="635"/>
      <c r="L51" s="635"/>
      <c r="M51" s="635"/>
      <c r="N51" s="635"/>
      <c r="O51" s="603"/>
      <c r="P51" s="9"/>
      <c r="Q51" s="345"/>
      <c r="R51" s="372"/>
      <c r="S51" s="370"/>
      <c r="T51" s="371"/>
      <c r="U51" s="371"/>
      <c r="V51" s="371"/>
    </row>
    <row r="52" spans="1:22" s="18" customFormat="1">
      <c r="A52" s="632">
        <v>13840</v>
      </c>
      <c r="B52" s="632" t="s">
        <v>14</v>
      </c>
      <c r="C52" s="632" t="s">
        <v>14</v>
      </c>
      <c r="D52" s="632" t="s">
        <v>126</v>
      </c>
      <c r="E52" s="633">
        <v>43392.768796296295</v>
      </c>
      <c r="F52" s="638">
        <v>43392.768796296295</v>
      </c>
      <c r="G52" s="634">
        <v>0.76874999999999993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  <c r="O52" s="603"/>
      <c r="P52" s="9"/>
      <c r="Q52" s="345"/>
      <c r="R52" s="372"/>
      <c r="S52" s="370"/>
      <c r="T52" s="371"/>
      <c r="U52" s="371"/>
      <c r="V52" s="371"/>
    </row>
    <row r="53" spans="1:22" s="63" customFormat="1">
      <c r="A53" s="632"/>
      <c r="B53" s="632"/>
      <c r="C53" s="632"/>
      <c r="D53" s="632" t="s">
        <v>125</v>
      </c>
      <c r="E53" s="633">
        <v>43395.354166666664</v>
      </c>
      <c r="F53" s="638">
        <v>43395.354166666664</v>
      </c>
      <c r="G53" s="634">
        <v>0.35416666666666669</v>
      </c>
      <c r="H53" s="635"/>
      <c r="I53" s="635">
        <v>0</v>
      </c>
      <c r="J53" s="635">
        <v>8</v>
      </c>
      <c r="K53" s="635"/>
      <c r="L53" s="635"/>
      <c r="M53" s="635"/>
      <c r="N53" s="635"/>
      <c r="O53" s="628" t="s">
        <v>156</v>
      </c>
      <c r="P53" s="627"/>
      <c r="Q53" s="345"/>
      <c r="R53" s="372"/>
      <c r="S53" s="372"/>
      <c r="T53" s="373"/>
      <c r="U53" s="373"/>
      <c r="V53" s="373"/>
    </row>
    <row r="54" spans="1:22" s="63" customFormat="1">
      <c r="A54" s="632"/>
      <c r="B54" s="632"/>
      <c r="C54" s="632"/>
      <c r="D54" s="632" t="s">
        <v>126</v>
      </c>
      <c r="E54" s="633">
        <v>43395.75</v>
      </c>
      <c r="F54" s="638">
        <v>43395.75</v>
      </c>
      <c r="G54" s="634">
        <v>0.75</v>
      </c>
      <c r="H54" s="635"/>
      <c r="I54" s="635"/>
      <c r="J54" s="635"/>
      <c r="K54" s="635"/>
      <c r="L54" s="635"/>
      <c r="M54" s="635"/>
      <c r="N54" s="635"/>
      <c r="O54" s="628"/>
      <c r="P54" s="627"/>
      <c r="Q54" s="345"/>
      <c r="R54" s="372"/>
      <c r="S54" s="372"/>
      <c r="T54" s="373"/>
      <c r="U54" s="373"/>
      <c r="V54" s="373"/>
    </row>
    <row r="55" spans="1:22" s="18" customFormat="1">
      <c r="A55" s="632">
        <v>13879</v>
      </c>
      <c r="B55" s="632" t="s">
        <v>14</v>
      </c>
      <c r="C55" s="632" t="s">
        <v>14</v>
      </c>
      <c r="D55" s="632" t="s">
        <v>125</v>
      </c>
      <c r="E55" s="633">
        <v>43396.357256944444</v>
      </c>
      <c r="F55" s="638">
        <v>43396.357256944444</v>
      </c>
      <c r="G55" s="634">
        <v>0.35694444444444445</v>
      </c>
      <c r="H55" s="635">
        <v>9.7999999999999989</v>
      </c>
      <c r="I55" s="635">
        <v>8</v>
      </c>
      <c r="J55" s="635" t="s">
        <v>115</v>
      </c>
      <c r="K55" s="635"/>
      <c r="L55" s="635"/>
      <c r="M55" s="635"/>
      <c r="N55" s="635"/>
      <c r="O55" s="603"/>
      <c r="P55" s="9"/>
      <c r="Q55" s="345"/>
      <c r="R55" s="372"/>
      <c r="S55" s="370"/>
      <c r="T55" s="371"/>
      <c r="U55" s="371"/>
      <c r="V55" s="371"/>
    </row>
    <row r="56" spans="1:22" s="18" customFormat="1">
      <c r="A56" s="632">
        <v>13893</v>
      </c>
      <c r="B56" s="632" t="s">
        <v>14</v>
      </c>
      <c r="C56" s="632" t="s">
        <v>14</v>
      </c>
      <c r="D56" s="632" t="s">
        <v>126</v>
      </c>
      <c r="E56" s="633">
        <v>43396.7656712963</v>
      </c>
      <c r="F56" s="638">
        <v>43396.7656712963</v>
      </c>
      <c r="G56" s="634">
        <v>0.76527777777777783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  <c r="O56" s="603"/>
      <c r="P56" s="9"/>
      <c r="Q56" s="345"/>
      <c r="R56" s="372"/>
      <c r="T56" s="63"/>
      <c r="U56" s="63"/>
      <c r="V56" s="63"/>
    </row>
    <row r="57" spans="1:22" s="18" customFormat="1">
      <c r="A57" s="632">
        <v>13894</v>
      </c>
      <c r="B57" s="632" t="s">
        <v>14</v>
      </c>
      <c r="C57" s="632" t="s">
        <v>14</v>
      </c>
      <c r="D57" s="632" t="s">
        <v>127</v>
      </c>
      <c r="E57" s="633">
        <v>43396.770960648151</v>
      </c>
      <c r="F57" s="638">
        <v>43396.770960648151</v>
      </c>
      <c r="G57" s="634">
        <v>0.77083333333333337</v>
      </c>
      <c r="H57" s="635" t="s">
        <v>115</v>
      </c>
      <c r="I57" s="635" t="s">
        <v>115</v>
      </c>
      <c r="J57" s="635" t="s">
        <v>115</v>
      </c>
      <c r="K57" s="635">
        <v>0.9666666666666659</v>
      </c>
      <c r="L57" s="635"/>
      <c r="M57" s="635">
        <v>0.9666666666666659</v>
      </c>
      <c r="N57" s="635">
        <v>0</v>
      </c>
      <c r="O57" s="603"/>
      <c r="P57" s="9"/>
      <c r="Q57" s="345"/>
      <c r="R57" s="372"/>
      <c r="S57" s="137"/>
      <c r="T57" s="137"/>
      <c r="U57" s="137"/>
      <c r="V57" s="137"/>
    </row>
    <row r="58" spans="1:22" s="18" customFormat="1">
      <c r="A58" s="632">
        <v>13905</v>
      </c>
      <c r="B58" s="632" t="s">
        <v>14</v>
      </c>
      <c r="C58" s="632" t="s">
        <v>14</v>
      </c>
      <c r="D58" s="632" t="s">
        <v>128</v>
      </c>
      <c r="E58" s="633">
        <v>43396.81150462963</v>
      </c>
      <c r="F58" s="638">
        <v>43396.81150462963</v>
      </c>
      <c r="G58" s="634">
        <v>0.81111111111111101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  <c r="O58" s="603"/>
      <c r="P58" s="9"/>
      <c r="Q58" s="345"/>
      <c r="R58" s="372"/>
      <c r="S58" s="137"/>
      <c r="T58" s="137"/>
      <c r="U58" s="137"/>
      <c r="V58" s="137"/>
    </row>
    <row r="59" spans="1:22" s="63" customFormat="1">
      <c r="A59" s="632">
        <v>13914</v>
      </c>
      <c r="B59" s="632" t="s">
        <v>14</v>
      </c>
      <c r="C59" s="632" t="s">
        <v>14</v>
      </c>
      <c r="D59" s="632" t="s">
        <v>125</v>
      </c>
      <c r="E59" s="633">
        <v>43397.3674537037</v>
      </c>
      <c r="F59" s="638">
        <v>43397.3674537037</v>
      </c>
      <c r="G59" s="634">
        <v>0.36736111111111108</v>
      </c>
      <c r="H59" s="635">
        <v>9.6666666666666679</v>
      </c>
      <c r="I59" s="635">
        <v>8</v>
      </c>
      <c r="J59" s="635" t="s">
        <v>115</v>
      </c>
      <c r="K59" s="635"/>
      <c r="L59" s="635"/>
      <c r="M59" s="635"/>
      <c r="N59" s="635"/>
      <c r="O59" s="603"/>
      <c r="P59" s="9"/>
      <c r="Q59" s="345"/>
      <c r="R59" s="372"/>
      <c r="S59" s="137"/>
      <c r="T59" s="137"/>
      <c r="U59" s="137"/>
      <c r="V59" s="137"/>
    </row>
    <row r="60" spans="1:22" s="63" customFormat="1">
      <c r="A60" s="632">
        <v>13922</v>
      </c>
      <c r="B60" s="632" t="s">
        <v>14</v>
      </c>
      <c r="C60" s="632" t="s">
        <v>14</v>
      </c>
      <c r="D60" s="632" t="s">
        <v>126</v>
      </c>
      <c r="E60" s="633">
        <v>43397.770439814813</v>
      </c>
      <c r="F60" s="638">
        <v>43397.770439814813</v>
      </c>
      <c r="G60" s="634">
        <v>0.77013888888888893</v>
      </c>
      <c r="H60" s="635" t="s">
        <v>115</v>
      </c>
      <c r="I60" s="635" t="s">
        <v>115</v>
      </c>
      <c r="J60" s="635" t="s">
        <v>115</v>
      </c>
      <c r="K60" s="635"/>
      <c r="L60" s="635"/>
      <c r="M60" s="635"/>
      <c r="N60" s="635"/>
      <c r="O60" s="603"/>
      <c r="P60" s="9"/>
      <c r="Q60" s="345"/>
      <c r="R60" s="372"/>
      <c r="S60" s="137"/>
      <c r="T60" s="137"/>
      <c r="U60" s="137"/>
      <c r="V60" s="137"/>
    </row>
    <row r="61" spans="1:22" s="16" customFormat="1">
      <c r="A61" s="632">
        <v>13924</v>
      </c>
      <c r="B61" s="632" t="s">
        <v>14</v>
      </c>
      <c r="C61" s="632" t="s">
        <v>14</v>
      </c>
      <c r="D61" s="632" t="s">
        <v>127</v>
      </c>
      <c r="E61" s="633">
        <v>43397.770914351851</v>
      </c>
      <c r="F61" s="638">
        <v>43397.770914351851</v>
      </c>
      <c r="G61" s="634">
        <v>0.77083333333333337</v>
      </c>
      <c r="H61" s="635" t="s">
        <v>115</v>
      </c>
      <c r="I61" s="635" t="s">
        <v>115</v>
      </c>
      <c r="J61" s="635" t="s">
        <v>115</v>
      </c>
      <c r="K61" s="635">
        <v>0.63333333333333375</v>
      </c>
      <c r="L61" s="635"/>
      <c r="M61" s="635">
        <v>0.63333333333333375</v>
      </c>
      <c r="N61" s="635">
        <v>0</v>
      </c>
      <c r="O61" s="602"/>
      <c r="P61" s="444"/>
      <c r="Q61" s="444"/>
      <c r="R61" s="137"/>
      <c r="S61" s="137"/>
      <c r="T61" s="137"/>
      <c r="U61" s="137"/>
      <c r="V61" s="137"/>
    </row>
    <row r="62" spans="1:22" s="63" customFormat="1">
      <c r="A62" s="632">
        <v>13930</v>
      </c>
      <c r="B62" s="632" t="s">
        <v>14</v>
      </c>
      <c r="C62" s="632" t="s">
        <v>14</v>
      </c>
      <c r="D62" s="632" t="s">
        <v>128</v>
      </c>
      <c r="E62" s="633">
        <v>43397.797673611109</v>
      </c>
      <c r="F62" s="638">
        <v>43397.797673611109</v>
      </c>
      <c r="G62" s="634">
        <v>0.79722222222222217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  <c r="O62" s="603"/>
      <c r="P62" s="9"/>
      <c r="Q62" s="345"/>
      <c r="R62" s="372"/>
      <c r="S62" s="137"/>
      <c r="T62" s="137"/>
      <c r="U62" s="137"/>
      <c r="V62" s="137"/>
    </row>
    <row r="63" spans="1:22" s="63" customFormat="1">
      <c r="A63" s="632">
        <v>13939</v>
      </c>
      <c r="B63" s="632" t="s">
        <v>14</v>
      </c>
      <c r="C63" s="632" t="s">
        <v>14</v>
      </c>
      <c r="D63" s="632" t="s">
        <v>125</v>
      </c>
      <c r="E63" s="633">
        <v>43398.369212962964</v>
      </c>
      <c r="F63" s="638">
        <v>43398.369212962964</v>
      </c>
      <c r="G63" s="634">
        <v>0.36874999999999997</v>
      </c>
      <c r="H63" s="635">
        <v>9.65</v>
      </c>
      <c r="I63" s="635">
        <v>8</v>
      </c>
      <c r="J63" s="635" t="s">
        <v>115</v>
      </c>
      <c r="K63" s="635"/>
      <c r="L63" s="635"/>
      <c r="M63" s="635"/>
      <c r="N63" s="635"/>
      <c r="O63" s="603"/>
      <c r="P63" s="9"/>
      <c r="Q63" s="345"/>
      <c r="R63" s="372"/>
      <c r="S63" s="18"/>
    </row>
    <row r="64" spans="1:22" s="63" customFormat="1">
      <c r="A64" s="632">
        <v>13947</v>
      </c>
      <c r="B64" s="632" t="s">
        <v>14</v>
      </c>
      <c r="C64" s="632" t="s">
        <v>14</v>
      </c>
      <c r="D64" s="632" t="s">
        <v>126</v>
      </c>
      <c r="E64" s="633">
        <v>43398.771226851852</v>
      </c>
      <c r="F64" s="638">
        <v>43398.771226851852</v>
      </c>
      <c r="G64" s="634">
        <v>0.77083333333333337</v>
      </c>
      <c r="H64" s="635" t="s">
        <v>115</v>
      </c>
      <c r="I64" s="635" t="s">
        <v>115</v>
      </c>
      <c r="J64" s="635" t="s">
        <v>115</v>
      </c>
      <c r="K64" s="635"/>
      <c r="L64" s="635"/>
      <c r="M64" s="635"/>
      <c r="N64" s="635"/>
      <c r="O64" s="603"/>
      <c r="P64" s="9"/>
      <c r="Q64" s="345"/>
      <c r="R64" s="372"/>
      <c r="S64" s="345"/>
      <c r="T64" s="335"/>
      <c r="U64" s="335"/>
      <c r="V64" s="335"/>
    </row>
    <row r="65" spans="1:22" s="63" customFormat="1">
      <c r="A65" s="632">
        <v>13948</v>
      </c>
      <c r="B65" s="632" t="s">
        <v>14</v>
      </c>
      <c r="C65" s="632" t="s">
        <v>14</v>
      </c>
      <c r="D65" s="632" t="s">
        <v>127</v>
      </c>
      <c r="E65" s="633">
        <v>43398.771261574075</v>
      </c>
      <c r="F65" s="638">
        <v>43398.771261574075</v>
      </c>
      <c r="G65" s="634">
        <v>0.77083333333333337</v>
      </c>
      <c r="H65" s="635" t="s">
        <v>115</v>
      </c>
      <c r="I65" s="635" t="s">
        <v>115</v>
      </c>
      <c r="J65" s="635" t="s">
        <v>115</v>
      </c>
      <c r="K65" s="635">
        <v>0.99999999999999911</v>
      </c>
      <c r="L65" s="635"/>
      <c r="M65" s="635">
        <v>0.99999999999999911</v>
      </c>
      <c r="N65" s="635">
        <v>0</v>
      </c>
      <c r="O65" s="604"/>
      <c r="P65" s="9"/>
      <c r="Q65" s="345"/>
      <c r="R65" s="372"/>
      <c r="S65" s="374"/>
      <c r="T65" s="375"/>
      <c r="U65" s="375"/>
      <c r="V65" s="375"/>
    </row>
    <row r="66" spans="1:22">
      <c r="A66" s="585"/>
      <c r="B66" s="585" t="s">
        <v>14</v>
      </c>
      <c r="C66" s="585" t="s">
        <v>14</v>
      </c>
      <c r="D66" s="585" t="s">
        <v>153</v>
      </c>
      <c r="E66" s="534">
        <v>43398.812662037039</v>
      </c>
      <c r="F66" s="638">
        <v>43398.812662037039</v>
      </c>
      <c r="G66" s="634">
        <v>0.8125</v>
      </c>
      <c r="H66" s="635" t="s">
        <v>115</v>
      </c>
      <c r="I66" s="635" t="s">
        <v>115</v>
      </c>
      <c r="J66" s="635" t="s">
        <v>115</v>
      </c>
      <c r="K66" s="635"/>
      <c r="L66" s="635"/>
      <c r="M66" s="635"/>
      <c r="N66" s="635"/>
      <c r="O66" s="603"/>
      <c r="P66" s="9"/>
      <c r="R66" s="372"/>
    </row>
    <row r="67" spans="1:22">
      <c r="A67" s="632">
        <v>13962</v>
      </c>
      <c r="B67" s="632" t="s">
        <v>14</v>
      </c>
      <c r="C67" s="632" t="s">
        <v>14</v>
      </c>
      <c r="D67" s="632" t="s">
        <v>125</v>
      </c>
      <c r="E67" s="633">
        <v>43399.365127314813</v>
      </c>
      <c r="F67" s="638">
        <v>43399.365127314813</v>
      </c>
      <c r="G67" s="634">
        <v>0.36458333333333331</v>
      </c>
      <c r="H67" s="635">
        <v>9.7000000000000011</v>
      </c>
      <c r="I67" s="635">
        <v>8</v>
      </c>
      <c r="J67" s="635" t="s">
        <v>115</v>
      </c>
      <c r="K67" s="635"/>
      <c r="L67" s="635"/>
      <c r="M67" s="635"/>
      <c r="N67" s="635"/>
      <c r="O67" s="603"/>
      <c r="P67" s="9"/>
      <c r="R67" s="372"/>
    </row>
    <row r="68" spans="1:22">
      <c r="A68" s="632">
        <v>13968</v>
      </c>
      <c r="B68" s="632" t="s">
        <v>92</v>
      </c>
      <c r="C68" s="632" t="s">
        <v>14</v>
      </c>
      <c r="D68" s="632" t="s">
        <v>126</v>
      </c>
      <c r="E68" s="633">
        <v>43399.769062500003</v>
      </c>
      <c r="F68" s="638">
        <v>43399.769062500003</v>
      </c>
      <c r="G68" s="634">
        <v>0.76874999999999993</v>
      </c>
      <c r="H68" s="635" t="s">
        <v>115</v>
      </c>
      <c r="I68" s="635" t="s">
        <v>115</v>
      </c>
      <c r="J68" s="635" t="s">
        <v>115</v>
      </c>
      <c r="K68" s="635"/>
      <c r="L68" s="635"/>
      <c r="M68" s="635"/>
      <c r="N68" s="635"/>
      <c r="O68" s="602"/>
      <c r="P68" s="9"/>
      <c r="R68" s="372"/>
    </row>
    <row r="69" spans="1:22">
      <c r="A69" s="632">
        <v>13980</v>
      </c>
      <c r="B69" s="632" t="s">
        <v>14</v>
      </c>
      <c r="C69" s="632" t="s">
        <v>14</v>
      </c>
      <c r="D69" s="632" t="s">
        <v>125</v>
      </c>
      <c r="E69" s="633">
        <v>43402.364618055559</v>
      </c>
      <c r="F69" s="638">
        <v>43402.364618055559</v>
      </c>
      <c r="G69" s="634">
        <v>0.36458333333333331</v>
      </c>
      <c r="H69" s="635">
        <v>9.7333333333333343</v>
      </c>
      <c r="I69" s="635">
        <v>8</v>
      </c>
      <c r="J69" s="635" t="s">
        <v>115</v>
      </c>
      <c r="K69" s="635"/>
      <c r="L69" s="635"/>
      <c r="M69" s="635"/>
      <c r="N69" s="635"/>
      <c r="O69" s="603"/>
      <c r="P69" s="9"/>
      <c r="R69" s="372"/>
      <c r="S69" s="137"/>
      <c r="T69" s="16"/>
      <c r="U69" s="16"/>
      <c r="V69" s="16"/>
    </row>
    <row r="70" spans="1:22">
      <c r="A70" s="632">
        <v>13994</v>
      </c>
      <c r="B70" s="632" t="s">
        <v>14</v>
      </c>
      <c r="C70" s="632" t="s">
        <v>14</v>
      </c>
      <c r="D70" s="632" t="s">
        <v>126</v>
      </c>
      <c r="E70" s="633">
        <v>43402.770613425928</v>
      </c>
      <c r="F70" s="638">
        <v>43402.770613425928</v>
      </c>
      <c r="G70" s="634">
        <v>0.77013888888888893</v>
      </c>
      <c r="H70" s="635" t="s">
        <v>115</v>
      </c>
      <c r="I70" s="635" t="s">
        <v>115</v>
      </c>
      <c r="J70" s="635" t="s">
        <v>115</v>
      </c>
      <c r="K70" s="635"/>
      <c r="L70" s="635"/>
      <c r="M70" s="635"/>
      <c r="N70" s="635"/>
      <c r="O70" s="603"/>
      <c r="P70" s="9"/>
      <c r="R70" s="372"/>
      <c r="S70" s="137"/>
      <c r="T70" s="16"/>
      <c r="U70" s="16"/>
      <c r="V70" s="16"/>
    </row>
    <row r="71" spans="1:22">
      <c r="A71" s="632">
        <v>13995</v>
      </c>
      <c r="B71" s="632" t="s">
        <v>14</v>
      </c>
      <c r="C71" s="632" t="s">
        <v>14</v>
      </c>
      <c r="D71" s="632" t="s">
        <v>127</v>
      </c>
      <c r="E71" s="633">
        <v>43402.770671296297</v>
      </c>
      <c r="F71" s="638">
        <v>43402.770671296297</v>
      </c>
      <c r="G71" s="634">
        <v>0.77013888888888893</v>
      </c>
      <c r="H71" s="635" t="s">
        <v>115</v>
      </c>
      <c r="I71" s="635" t="s">
        <v>115</v>
      </c>
      <c r="J71" s="635" t="s">
        <v>115</v>
      </c>
      <c r="K71" s="635">
        <v>0.36666666666666536</v>
      </c>
      <c r="L71" s="635"/>
      <c r="M71" s="635">
        <v>0.36666666666666536</v>
      </c>
      <c r="N71" s="635">
        <v>0</v>
      </c>
      <c r="O71" s="603"/>
      <c r="P71" s="137"/>
      <c r="Q71" s="137"/>
      <c r="R71" s="137"/>
      <c r="S71" s="137"/>
      <c r="T71" s="16"/>
      <c r="U71" s="16"/>
      <c r="V71" s="16"/>
    </row>
    <row r="72" spans="1:22">
      <c r="A72" s="632">
        <v>14002</v>
      </c>
      <c r="B72" s="632" t="s">
        <v>14</v>
      </c>
      <c r="C72" s="632" t="s">
        <v>14</v>
      </c>
      <c r="D72" s="632" t="s">
        <v>128</v>
      </c>
      <c r="E72" s="633">
        <v>43402.785578703704</v>
      </c>
      <c r="F72" s="638">
        <v>43402.785578703704</v>
      </c>
      <c r="G72" s="634">
        <v>0.78541666666666676</v>
      </c>
      <c r="H72" s="635" t="s">
        <v>115</v>
      </c>
      <c r="I72" s="635" t="s">
        <v>115</v>
      </c>
      <c r="J72" s="635" t="s">
        <v>115</v>
      </c>
      <c r="K72" s="635"/>
      <c r="L72" s="635"/>
      <c r="M72" s="635"/>
      <c r="N72" s="635"/>
      <c r="O72" s="604"/>
      <c r="P72" s="137"/>
      <c r="Q72" s="137"/>
      <c r="R72" s="137"/>
      <c r="S72" s="137"/>
      <c r="T72" s="16"/>
      <c r="U72" s="16"/>
      <c r="V72" s="16"/>
    </row>
    <row r="73" spans="1:22">
      <c r="A73" s="632">
        <v>14014</v>
      </c>
      <c r="B73" s="632" t="s">
        <v>14</v>
      </c>
      <c r="C73" s="632" t="s">
        <v>14</v>
      </c>
      <c r="D73" s="632" t="s">
        <v>125</v>
      </c>
      <c r="E73" s="633">
        <v>43403.369212962964</v>
      </c>
      <c r="F73" s="638">
        <v>43403.369212962964</v>
      </c>
      <c r="G73" s="634">
        <v>0.36874999999999997</v>
      </c>
      <c r="H73" s="635">
        <v>9.6166666666666671</v>
      </c>
      <c r="I73" s="635">
        <v>8</v>
      </c>
      <c r="J73" s="635" t="s">
        <v>115</v>
      </c>
      <c r="K73" s="635"/>
      <c r="L73" s="635"/>
      <c r="M73" s="635"/>
      <c r="N73" s="635"/>
      <c r="O73" s="603"/>
    </row>
    <row r="74" spans="1:22">
      <c r="A74" s="632">
        <v>14022</v>
      </c>
      <c r="B74" s="632" t="s">
        <v>14</v>
      </c>
      <c r="C74" s="632" t="s">
        <v>14</v>
      </c>
      <c r="D74" s="632" t="s">
        <v>126</v>
      </c>
      <c r="E74" s="633">
        <v>43403.769560185188</v>
      </c>
      <c r="F74" s="638">
        <v>43403.769560185188</v>
      </c>
      <c r="G74" s="634">
        <v>0.76944444444444438</v>
      </c>
      <c r="H74" s="635" t="s">
        <v>115</v>
      </c>
      <c r="I74" s="635" t="s">
        <v>115</v>
      </c>
      <c r="J74" s="635" t="s">
        <v>115</v>
      </c>
      <c r="K74" s="635"/>
      <c r="L74" s="635"/>
      <c r="M74" s="635"/>
      <c r="N74" s="635"/>
      <c r="O74" s="603"/>
    </row>
    <row r="75" spans="1:22">
      <c r="A75" s="632">
        <v>14023</v>
      </c>
      <c r="B75" s="632" t="s">
        <v>14</v>
      </c>
      <c r="C75" s="632" t="s">
        <v>14</v>
      </c>
      <c r="D75" s="632" t="s">
        <v>127</v>
      </c>
      <c r="E75" s="633">
        <v>43403.769884259258</v>
      </c>
      <c r="F75" s="638">
        <v>43403.769884259258</v>
      </c>
      <c r="G75" s="634">
        <v>0.76944444444444438</v>
      </c>
      <c r="H75" s="635" t="s">
        <v>115</v>
      </c>
      <c r="I75" s="635" t="s">
        <v>115</v>
      </c>
      <c r="J75" s="635" t="s">
        <v>115</v>
      </c>
      <c r="K75" s="635">
        <v>1.0999999999999988</v>
      </c>
      <c r="L75" s="635"/>
      <c r="M75" s="635">
        <v>1.0999999999999988</v>
      </c>
      <c r="N75" s="635">
        <v>0</v>
      </c>
      <c r="O75" s="602"/>
    </row>
    <row r="76" spans="1:22">
      <c r="A76" s="632">
        <v>14030</v>
      </c>
      <c r="B76" s="632" t="s">
        <v>14</v>
      </c>
      <c r="C76" s="632" t="s">
        <v>14</v>
      </c>
      <c r="D76" s="632" t="s">
        <v>128</v>
      </c>
      <c r="E76" s="633">
        <v>43403.815347222226</v>
      </c>
      <c r="F76" s="638">
        <v>43403.815347222226</v>
      </c>
      <c r="G76" s="634">
        <v>0.81527777777777777</v>
      </c>
      <c r="H76" s="635" t="s">
        <v>115</v>
      </c>
      <c r="I76" s="635" t="s">
        <v>115</v>
      </c>
      <c r="J76" s="635" t="s">
        <v>115</v>
      </c>
      <c r="K76" s="635"/>
      <c r="L76" s="635"/>
      <c r="M76" s="635"/>
      <c r="N76" s="635"/>
      <c r="O76" s="603"/>
    </row>
    <row r="77" spans="1:22" s="398" customFormat="1">
      <c r="A77" s="632">
        <v>14034</v>
      </c>
      <c r="B77" s="632" t="s">
        <v>14</v>
      </c>
      <c r="C77" s="632" t="s">
        <v>14</v>
      </c>
      <c r="D77" s="632" t="s">
        <v>125</v>
      </c>
      <c r="E77" s="633">
        <v>43404.364699074074</v>
      </c>
      <c r="F77" s="638">
        <v>43404.364699074074</v>
      </c>
      <c r="G77" s="634">
        <v>0.36458333333333331</v>
      </c>
      <c r="H77" s="635">
        <v>9.7500000000000018</v>
      </c>
      <c r="I77" s="635">
        <v>8</v>
      </c>
      <c r="J77" s="635" t="s">
        <v>115</v>
      </c>
      <c r="K77" s="635"/>
      <c r="L77" s="635"/>
      <c r="M77" s="635"/>
      <c r="N77" s="635"/>
      <c r="O77" s="602"/>
      <c r="P77" s="444"/>
      <c r="Q77" s="444"/>
      <c r="R77" s="444"/>
      <c r="S77" s="444"/>
    </row>
    <row r="78" spans="1:22" s="398" customFormat="1">
      <c r="A78" s="632">
        <v>14046</v>
      </c>
      <c r="B78" s="632" t="s">
        <v>14</v>
      </c>
      <c r="C78" s="632" t="s">
        <v>14</v>
      </c>
      <c r="D78" s="632" t="s">
        <v>126</v>
      </c>
      <c r="E78" s="633">
        <v>43404.771238425928</v>
      </c>
      <c r="F78" s="638">
        <v>43404.771238425928</v>
      </c>
      <c r="G78" s="634">
        <v>0.77083333333333337</v>
      </c>
      <c r="H78" s="635" t="s">
        <v>115</v>
      </c>
      <c r="I78" s="635" t="s">
        <v>115</v>
      </c>
      <c r="J78" s="635" t="s">
        <v>115</v>
      </c>
      <c r="K78" s="635"/>
      <c r="L78" s="635"/>
      <c r="M78" s="635"/>
      <c r="N78" s="635"/>
      <c r="O78" s="602"/>
      <c r="P78" s="444"/>
      <c r="Q78" s="444"/>
      <c r="R78" s="444"/>
      <c r="S78" s="444"/>
    </row>
    <row r="79" spans="1:22">
      <c r="D79" s="9"/>
      <c r="O79" s="454"/>
    </row>
    <row r="80" spans="1:22">
      <c r="D80" s="9" t="s">
        <v>36</v>
      </c>
      <c r="O80" s="454"/>
    </row>
    <row r="81" spans="4:22">
      <c r="D81" s="9" t="s">
        <v>35</v>
      </c>
      <c r="O81" s="454"/>
      <c r="P81" s="18"/>
      <c r="Q81" s="18"/>
      <c r="R81" s="18"/>
      <c r="S81" s="18"/>
      <c r="T81" s="63"/>
      <c r="U81" s="63"/>
      <c r="V81" s="63"/>
    </row>
    <row r="82" spans="4:22">
      <c r="D82" s="172" t="s">
        <v>63</v>
      </c>
      <c r="O82" s="454"/>
    </row>
    <row r="83" spans="4:22">
      <c r="D83" s="458" t="s">
        <v>66</v>
      </c>
      <c r="O83" s="454"/>
    </row>
    <row r="84" spans="4:22">
      <c r="D84" s="458" t="s">
        <v>64</v>
      </c>
      <c r="E84" s="336"/>
      <c r="F84" s="373"/>
      <c r="G84" s="376"/>
      <c r="H84" s="377"/>
      <c r="I84" s="378"/>
      <c r="J84" s="378"/>
      <c r="K84" s="379"/>
      <c r="L84" s="379"/>
      <c r="M84" s="379"/>
      <c r="N84" s="379"/>
      <c r="O84" s="454"/>
    </row>
    <row r="85" spans="4:22">
      <c r="D85" s="458" t="s">
        <v>68</v>
      </c>
      <c r="E85" s="336"/>
      <c r="F85" s="373"/>
      <c r="G85" s="376"/>
      <c r="H85" s="377"/>
      <c r="I85" s="378"/>
      <c r="J85" s="378"/>
      <c r="K85" s="379"/>
      <c r="L85" s="379"/>
      <c r="M85" s="379"/>
      <c r="N85" s="379"/>
      <c r="O85" s="454"/>
    </row>
    <row r="86" spans="4:22">
      <c r="D86" s="458" t="s">
        <v>69</v>
      </c>
      <c r="E86" s="336"/>
      <c r="F86" s="373"/>
      <c r="G86" s="376"/>
      <c r="H86" s="377"/>
      <c r="I86" s="378"/>
      <c r="J86" s="378"/>
      <c r="K86" s="379"/>
      <c r="L86" s="379"/>
      <c r="M86" s="379"/>
      <c r="N86" s="379"/>
      <c r="O86" s="454"/>
    </row>
    <row r="87" spans="4:22">
      <c r="D87" s="458" t="s">
        <v>116</v>
      </c>
      <c r="E87" s="336"/>
      <c r="F87" s="373"/>
      <c r="G87" s="376"/>
      <c r="H87" s="377"/>
      <c r="I87" s="378"/>
      <c r="J87" s="378"/>
      <c r="K87" s="379"/>
      <c r="L87" s="379"/>
      <c r="M87" s="379"/>
      <c r="N87" s="379"/>
    </row>
    <row r="88" spans="4:22">
      <c r="D88" s="458" t="s">
        <v>67</v>
      </c>
      <c r="E88" s="336"/>
      <c r="F88" s="373"/>
      <c r="G88" s="376"/>
      <c r="H88" s="377"/>
      <c r="I88" s="378"/>
      <c r="J88" s="378"/>
      <c r="K88" s="379"/>
      <c r="L88" s="379"/>
      <c r="M88" s="379"/>
      <c r="N88" s="379"/>
    </row>
    <row r="99" spans="19:22">
      <c r="S99" s="444"/>
      <c r="T99" s="398"/>
      <c r="U99" s="398"/>
      <c r="V99" s="398"/>
    </row>
  </sheetData>
  <phoneticPr fontId="18" type="noConversion"/>
  <conditionalFormatting sqref="I7:I28 I31:I36 I39:I52 I55:I78">
    <cfRule type="cellIs" dxfId="16" priority="4" operator="lessThan">
      <formula>4</formula>
    </cfRule>
  </conditionalFormatting>
  <conditionalFormatting sqref="I29:I30">
    <cfRule type="cellIs" dxfId="15" priority="3" operator="lessThan">
      <formula>4</formula>
    </cfRule>
  </conditionalFormatting>
  <conditionalFormatting sqref="I37:I38">
    <cfRule type="cellIs" dxfId="14" priority="2" operator="lessThan">
      <formula>4</formula>
    </cfRule>
  </conditionalFormatting>
  <conditionalFormatting sqref="I53:I54">
    <cfRule type="cellIs" dxfId="13" priority="1" operator="lessThan">
      <formula>4</formula>
    </cfRule>
  </conditionalFormatting>
  <printOptions horizontalCentered="1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12">
    <tabColor theme="4"/>
    <pageSetUpPr fitToPage="1"/>
  </sheetPr>
  <dimension ref="A1:Y89"/>
  <sheetViews>
    <sheetView view="pageBreakPreview" topLeftCell="A52" zoomScaleNormal="100" zoomScaleSheetLayoutView="100" workbookViewId="0">
      <selection activeCell="K71" sqref="K71"/>
    </sheetView>
  </sheetViews>
  <sheetFormatPr defaultRowHeight="16.5" outlineLevelCol="1"/>
  <cols>
    <col min="1" max="1" width="5.625" style="143" customWidth="1" outlineLevel="1"/>
    <col min="2" max="2" width="6.875" style="143" customWidth="1" outlineLevel="1"/>
    <col min="3" max="3" width="6.5" style="155" customWidth="1" outlineLevel="1"/>
    <col min="4" max="4" width="9" style="155"/>
    <col min="5" max="5" width="16.5" style="155" customWidth="1"/>
    <col min="6" max="6" width="6.25" style="138" customWidth="1"/>
    <col min="7" max="7" width="8.625" style="471" customWidth="1" outlineLevel="1"/>
    <col min="8" max="8" width="11.125" style="472" customWidth="1" outlineLevel="1"/>
    <col min="9" max="9" width="10.25" style="416" customWidth="1"/>
    <col min="10" max="10" width="10" style="416" customWidth="1"/>
    <col min="11" max="11" width="8.375" style="417" customWidth="1" outlineLevel="1"/>
    <col min="12" max="12" width="8.375" style="417" customWidth="1"/>
    <col min="13" max="13" width="10.5" style="417" customWidth="1"/>
    <col min="14" max="14" width="8.75" style="417" customWidth="1"/>
    <col min="15" max="15" width="13.625" style="628" customWidth="1"/>
    <col min="16" max="16" width="9" style="9"/>
    <col min="17" max="17" width="2.5" style="9" customWidth="1"/>
    <col min="18" max="18" width="9" style="9"/>
    <col min="19" max="19" width="3" style="456" customWidth="1"/>
    <col min="20" max="20" width="7.5" style="456" customWidth="1"/>
    <col min="21" max="16384" width="9" style="456"/>
  </cols>
  <sheetData>
    <row r="1" spans="1:21" s="4" customFormat="1" ht="27.75">
      <c r="A1" s="488"/>
      <c r="B1" s="488"/>
      <c r="C1" s="489"/>
      <c r="D1" s="6"/>
      <c r="E1" s="6"/>
      <c r="F1" s="10"/>
      <c r="G1" s="11"/>
      <c r="H1" s="12"/>
      <c r="I1" s="13" t="str">
        <f>Willy!B11</f>
        <v>willy</v>
      </c>
      <c r="J1" s="46" t="s">
        <v>29</v>
      </c>
      <c r="K1" s="14"/>
      <c r="L1" s="14"/>
      <c r="M1" s="14"/>
      <c r="N1" s="14"/>
      <c r="O1" s="628"/>
      <c r="P1" s="19"/>
      <c r="Q1" s="19"/>
      <c r="R1" s="19"/>
    </row>
    <row r="2" spans="1:21">
      <c r="A2" s="141"/>
      <c r="B2" s="141"/>
      <c r="C2" s="153"/>
      <c r="D2" s="481" t="s">
        <v>74</v>
      </c>
      <c r="E2" s="482">
        <v>0</v>
      </c>
      <c r="F2" s="483" t="s">
        <v>75</v>
      </c>
      <c r="G2" s="484"/>
      <c r="H2" s="484"/>
      <c r="I2" s="485"/>
      <c r="J2" s="485" t="s">
        <v>34</v>
      </c>
      <c r="K2" s="486"/>
      <c r="L2" s="481" t="s">
        <v>20</v>
      </c>
      <c r="M2" s="487" t="s">
        <v>17</v>
      </c>
      <c r="N2" s="487" t="s">
        <v>18</v>
      </c>
      <c r="O2" s="628" t="s">
        <v>158</v>
      </c>
    </row>
    <row r="3" spans="1:21" ht="17.25" thickBot="1">
      <c r="D3" s="463" t="s">
        <v>76</v>
      </c>
      <c r="E3" s="649">
        <v>0</v>
      </c>
      <c r="F3" s="464"/>
      <c r="G3" s="465"/>
      <c r="H3" s="465"/>
      <c r="I3" s="466"/>
      <c r="J3" s="350">
        <f>D5+E5</f>
        <v>12.5</v>
      </c>
      <c r="K3" s="351">
        <f>SUM(K35:K196)</f>
        <v>2.1333333333333311</v>
      </c>
      <c r="L3" s="53">
        <f>J3</f>
        <v>12.5</v>
      </c>
      <c r="M3" s="53">
        <f>M6-J3</f>
        <v>-7.7666666666666702</v>
      </c>
      <c r="N3" s="53">
        <f>N6</f>
        <v>0</v>
      </c>
    </row>
    <row r="4" spans="1:21">
      <c r="D4" s="100" t="s">
        <v>43</v>
      </c>
      <c r="E4" s="100" t="s">
        <v>44</v>
      </c>
      <c r="F4" s="100" t="s">
        <v>46</v>
      </c>
      <c r="G4" s="72"/>
      <c r="H4" s="72"/>
      <c r="I4" s="73" t="s">
        <v>33</v>
      </c>
      <c r="J4" s="73" t="s">
        <v>25</v>
      </c>
      <c r="K4" s="73"/>
      <c r="L4" s="73" t="s">
        <v>12</v>
      </c>
      <c r="M4" s="73" t="s">
        <v>12</v>
      </c>
      <c r="N4" s="73" t="s">
        <v>12</v>
      </c>
      <c r="P4" s="461" t="s">
        <v>23</v>
      </c>
      <c r="Q4" s="9" t="s">
        <v>30</v>
      </c>
      <c r="R4" s="15" t="s">
        <v>25</v>
      </c>
      <c r="S4" s="48" t="s">
        <v>31</v>
      </c>
      <c r="T4" s="49">
        <f>I6+J6</f>
        <v>184</v>
      </c>
    </row>
    <row r="5" spans="1:21">
      <c r="D5" s="86">
        <v>12.5</v>
      </c>
      <c r="E5" s="86">
        <v>0</v>
      </c>
      <c r="F5" s="642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628" t="s">
        <v>166</v>
      </c>
      <c r="P5" s="9" t="s">
        <v>40</v>
      </c>
      <c r="R5" s="57">
        <f>(L6+M6+N6)/160</f>
        <v>2.9583333333333312E-2</v>
      </c>
    </row>
    <row r="6" spans="1:21">
      <c r="A6" s="143" t="s">
        <v>0</v>
      </c>
      <c r="B6" s="143" t="s">
        <v>1</v>
      </c>
      <c r="C6" s="155" t="s">
        <v>2</v>
      </c>
      <c r="D6" s="100" t="s">
        <v>3</v>
      </c>
      <c r="E6" s="100" t="s">
        <v>4</v>
      </c>
      <c r="F6" s="99"/>
      <c r="G6" s="72"/>
      <c r="H6" s="100" t="s">
        <v>22</v>
      </c>
      <c r="I6" s="470">
        <f>SUM(I7:I196)</f>
        <v>163.5</v>
      </c>
      <c r="J6" s="470">
        <f t="shared" ref="J6:N6" si="0">SUM(J7:J196)</f>
        <v>20.5</v>
      </c>
      <c r="K6" s="470">
        <f t="shared" si="0"/>
        <v>4.7333333333333298</v>
      </c>
      <c r="L6" s="470">
        <f t="shared" si="0"/>
        <v>0</v>
      </c>
      <c r="M6" s="470">
        <f t="shared" si="0"/>
        <v>4.7333333333333298</v>
      </c>
      <c r="N6" s="470">
        <f t="shared" si="0"/>
        <v>0</v>
      </c>
      <c r="O6" s="628">
        <f>Willy!O7+Willy!O9</f>
        <v>0</v>
      </c>
      <c r="P6" s="47"/>
      <c r="U6" s="503">
        <f>U7+U9</f>
        <v>0</v>
      </c>
    </row>
    <row r="7" spans="1:21" s="444" customFormat="1">
      <c r="A7" s="632">
        <v>13456</v>
      </c>
      <c r="B7" s="632" t="s">
        <v>120</v>
      </c>
      <c r="C7" s="632" t="s">
        <v>120</v>
      </c>
      <c r="D7" s="632" t="s">
        <v>125</v>
      </c>
      <c r="E7" s="633">
        <v>43374.351875</v>
      </c>
      <c r="F7" s="638">
        <v>43374.351875</v>
      </c>
      <c r="G7" s="634">
        <v>0.35138888888888892</v>
      </c>
      <c r="H7" s="635">
        <v>10.066666666666668</v>
      </c>
      <c r="I7" s="635">
        <v>8</v>
      </c>
      <c r="J7" s="635" t="s">
        <v>115</v>
      </c>
      <c r="K7" s="635"/>
      <c r="L7" s="635"/>
      <c r="M7" s="635"/>
      <c r="N7" s="635"/>
      <c r="O7" s="628"/>
      <c r="U7" s="502">
        <f>Willy!M7+Willy!N7</f>
        <v>0</v>
      </c>
    </row>
    <row r="8" spans="1:21" s="444" customFormat="1">
      <c r="A8" s="632">
        <v>13476</v>
      </c>
      <c r="B8" s="632" t="s">
        <v>121</v>
      </c>
      <c r="C8" s="632" t="s">
        <v>120</v>
      </c>
      <c r="D8" s="632" t="s">
        <v>126</v>
      </c>
      <c r="E8" s="633">
        <v>43374.770925925928</v>
      </c>
      <c r="F8" s="638">
        <v>43374.770925925928</v>
      </c>
      <c r="G8" s="634">
        <v>0.77083333333333337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628"/>
      <c r="U8" s="502"/>
    </row>
    <row r="9" spans="1:21" s="444" customFormat="1">
      <c r="A9" s="632">
        <v>13477</v>
      </c>
      <c r="B9" s="632" t="s">
        <v>121</v>
      </c>
      <c r="C9" s="632" t="s">
        <v>120</v>
      </c>
      <c r="D9" s="632" t="s">
        <v>127</v>
      </c>
      <c r="E9" s="633">
        <v>43374.770972222221</v>
      </c>
      <c r="F9" s="638">
        <v>43374.770972222221</v>
      </c>
      <c r="G9" s="634">
        <v>0.77083333333333337</v>
      </c>
      <c r="H9" s="635" t="s">
        <v>115</v>
      </c>
      <c r="I9" s="635" t="s">
        <v>115</v>
      </c>
      <c r="J9" s="635" t="s">
        <v>115</v>
      </c>
      <c r="K9" s="635">
        <v>0.16666666666666607</v>
      </c>
      <c r="L9" s="635"/>
      <c r="M9" s="635">
        <v>0.16666666666666607</v>
      </c>
      <c r="N9" s="635">
        <v>0</v>
      </c>
      <c r="O9" s="628"/>
      <c r="U9" s="502">
        <f>Willy!M9+Willy!N9</f>
        <v>0</v>
      </c>
    </row>
    <row r="10" spans="1:21" s="444" customFormat="1">
      <c r="A10" s="632">
        <v>13482</v>
      </c>
      <c r="B10" s="632" t="s">
        <v>121</v>
      </c>
      <c r="C10" s="632" t="s">
        <v>120</v>
      </c>
      <c r="D10" s="632" t="s">
        <v>128</v>
      </c>
      <c r="E10" s="633">
        <v>43374.778020833335</v>
      </c>
      <c r="F10" s="638">
        <v>43374.778020833335</v>
      </c>
      <c r="G10" s="634">
        <v>0.77777777777777779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628"/>
    </row>
    <row r="11" spans="1:21">
      <c r="A11" s="632">
        <v>13494</v>
      </c>
      <c r="B11" s="632" t="s">
        <v>121</v>
      </c>
      <c r="C11" s="632" t="s">
        <v>120</v>
      </c>
      <c r="D11" s="632" t="s">
        <v>125</v>
      </c>
      <c r="E11" s="633">
        <v>43375.351261574076</v>
      </c>
      <c r="F11" s="638">
        <v>43375.351261574076</v>
      </c>
      <c r="G11" s="634">
        <v>0.35069444444444442</v>
      </c>
      <c r="H11" s="635">
        <v>9.9666666666666686</v>
      </c>
      <c r="I11" s="635">
        <v>8</v>
      </c>
      <c r="J11" s="635" t="s">
        <v>115</v>
      </c>
      <c r="K11" s="635"/>
      <c r="L11" s="635"/>
      <c r="M11" s="635"/>
      <c r="N11" s="635"/>
    </row>
    <row r="12" spans="1:21">
      <c r="A12" s="632">
        <v>13513</v>
      </c>
      <c r="B12" s="632" t="s">
        <v>121</v>
      </c>
      <c r="C12" s="632" t="s">
        <v>120</v>
      </c>
      <c r="D12" s="632" t="s">
        <v>126</v>
      </c>
      <c r="E12" s="633">
        <v>43375.766388888886</v>
      </c>
      <c r="F12" s="638">
        <v>43375.766388888886</v>
      </c>
      <c r="G12" s="634">
        <v>0.76597222222222217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13523</v>
      </c>
      <c r="B13" s="632" t="s">
        <v>121</v>
      </c>
      <c r="C13" s="632" t="s">
        <v>120</v>
      </c>
      <c r="D13" s="632" t="s">
        <v>125</v>
      </c>
      <c r="E13" s="633">
        <v>43376.351967592593</v>
      </c>
      <c r="F13" s="638">
        <v>43376.351967592593</v>
      </c>
      <c r="G13" s="634">
        <v>0.35138888888888892</v>
      </c>
      <c r="H13" s="635">
        <v>10.050000000000001</v>
      </c>
      <c r="I13" s="635">
        <v>8</v>
      </c>
      <c r="J13" s="635" t="s">
        <v>115</v>
      </c>
      <c r="K13" s="635"/>
      <c r="L13" s="635"/>
      <c r="M13" s="635"/>
      <c r="N13" s="635"/>
    </row>
    <row r="14" spans="1:21">
      <c r="A14" s="632">
        <v>13536</v>
      </c>
      <c r="B14" s="632" t="s">
        <v>121</v>
      </c>
      <c r="C14" s="632" t="s">
        <v>120</v>
      </c>
      <c r="D14" s="632" t="s">
        <v>126</v>
      </c>
      <c r="E14" s="633">
        <v>43376.770358796297</v>
      </c>
      <c r="F14" s="638">
        <v>43376.770358796297</v>
      </c>
      <c r="G14" s="634">
        <v>0.77013888888888893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13552</v>
      </c>
      <c r="B15" s="632" t="s">
        <v>120</v>
      </c>
      <c r="C15" s="632" t="s">
        <v>120</v>
      </c>
      <c r="D15" s="632" t="s">
        <v>125</v>
      </c>
      <c r="E15" s="633">
        <v>43377.348703703705</v>
      </c>
      <c r="F15" s="638">
        <v>43377.348703703705</v>
      </c>
      <c r="G15" s="634">
        <v>0.34861111111111115</v>
      </c>
      <c r="H15" s="635">
        <v>10.050000000000001</v>
      </c>
      <c r="I15" s="635">
        <v>8</v>
      </c>
      <c r="J15" s="635" t="s">
        <v>115</v>
      </c>
      <c r="K15" s="635"/>
      <c r="L15" s="635"/>
      <c r="M15" s="635"/>
      <c r="N15" s="635"/>
    </row>
    <row r="16" spans="1:21">
      <c r="A16" s="632">
        <v>13564</v>
      </c>
      <c r="B16" s="632" t="s">
        <v>121</v>
      </c>
      <c r="C16" s="632" t="s">
        <v>120</v>
      </c>
      <c r="D16" s="632" t="s">
        <v>126</v>
      </c>
      <c r="E16" s="633">
        <v>43377.76761574074</v>
      </c>
      <c r="F16" s="638">
        <v>43377.76761574074</v>
      </c>
      <c r="G16" s="634">
        <v>0.76736111111111116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25">
      <c r="A17" s="632">
        <v>13582</v>
      </c>
      <c r="B17" s="632" t="s">
        <v>120</v>
      </c>
      <c r="C17" s="632" t="s">
        <v>120</v>
      </c>
      <c r="D17" s="632" t="s">
        <v>125</v>
      </c>
      <c r="E17" s="633">
        <v>43378.349120370367</v>
      </c>
      <c r="F17" s="638">
        <v>43378.349120370367</v>
      </c>
      <c r="G17" s="634">
        <v>0.34861111111111115</v>
      </c>
      <c r="H17" s="635">
        <v>10.166666666666668</v>
      </c>
      <c r="I17" s="635">
        <v>8</v>
      </c>
      <c r="J17" s="635" t="s">
        <v>115</v>
      </c>
      <c r="K17" s="635"/>
      <c r="L17" s="635"/>
      <c r="M17" s="635"/>
      <c r="N17" s="635"/>
    </row>
    <row r="18" spans="1:25">
      <c r="A18" s="632">
        <v>13606</v>
      </c>
      <c r="B18" s="632" t="s">
        <v>120</v>
      </c>
      <c r="C18" s="632" t="s">
        <v>120</v>
      </c>
      <c r="D18" s="632" t="s">
        <v>126</v>
      </c>
      <c r="E18" s="633">
        <v>43378.772604166668</v>
      </c>
      <c r="F18" s="638">
        <v>43378.772604166668</v>
      </c>
      <c r="G18" s="634">
        <v>0.77222222222222225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25" s="398" customFormat="1">
      <c r="A19" s="632">
        <v>13613</v>
      </c>
      <c r="B19" s="632" t="s">
        <v>120</v>
      </c>
      <c r="C19" s="632" t="s">
        <v>120</v>
      </c>
      <c r="D19" s="632" t="s">
        <v>125</v>
      </c>
      <c r="E19" s="633">
        <v>43381.348229166666</v>
      </c>
      <c r="F19" s="638">
        <v>43381.348229166666</v>
      </c>
      <c r="G19" s="634">
        <v>0.34791666666666665</v>
      </c>
      <c r="H19" s="635">
        <v>10.100000000000001</v>
      </c>
      <c r="I19" s="635">
        <v>8</v>
      </c>
      <c r="J19" s="635" t="s">
        <v>115</v>
      </c>
      <c r="K19" s="635"/>
      <c r="L19" s="635"/>
      <c r="M19" s="635"/>
      <c r="N19" s="635"/>
      <c r="O19" s="628"/>
      <c r="P19" s="444"/>
      <c r="Q19" s="444"/>
      <c r="R19" s="444"/>
    </row>
    <row r="20" spans="1:25" s="398" customFormat="1">
      <c r="A20" s="632">
        <v>13628</v>
      </c>
      <c r="B20" s="632" t="s">
        <v>120</v>
      </c>
      <c r="C20" s="632" t="s">
        <v>120</v>
      </c>
      <c r="D20" s="632" t="s">
        <v>126</v>
      </c>
      <c r="E20" s="633">
        <v>43381.769097222219</v>
      </c>
      <c r="F20" s="638">
        <v>43381.769097222219</v>
      </c>
      <c r="G20" s="634">
        <v>0.76874999999999993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  <c r="O20" s="628"/>
      <c r="P20" s="444"/>
      <c r="Q20" s="444"/>
      <c r="R20" s="444"/>
    </row>
    <row r="21" spans="1:25">
      <c r="A21" s="632">
        <v>13641</v>
      </c>
      <c r="B21" s="632" t="s">
        <v>120</v>
      </c>
      <c r="C21" s="632" t="s">
        <v>120</v>
      </c>
      <c r="D21" s="632" t="s">
        <v>125</v>
      </c>
      <c r="E21" s="633">
        <v>43382.349537037036</v>
      </c>
      <c r="F21" s="638">
        <v>43382.349537037036</v>
      </c>
      <c r="G21" s="634">
        <v>0.34930555555555554</v>
      </c>
      <c r="H21" s="635">
        <v>4.1500000000000012</v>
      </c>
      <c r="I21" s="635">
        <v>3.5</v>
      </c>
      <c r="J21" s="635">
        <v>4.5</v>
      </c>
      <c r="K21" s="635"/>
      <c r="L21" s="635"/>
      <c r="M21" s="635"/>
      <c r="N21" s="635"/>
      <c r="O21" s="628" t="s">
        <v>161</v>
      </c>
    </row>
    <row r="22" spans="1:25">
      <c r="A22" s="632">
        <v>13652</v>
      </c>
      <c r="B22" s="632" t="s">
        <v>121</v>
      </c>
      <c r="C22" s="632" t="s">
        <v>120</v>
      </c>
      <c r="D22" s="632" t="s">
        <v>126</v>
      </c>
      <c r="E22" s="633">
        <v>43382.522685185184</v>
      </c>
      <c r="F22" s="638">
        <v>43382.522685185184</v>
      </c>
      <c r="G22" s="634">
        <v>0.52222222222222225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25" s="63" customFormat="1">
      <c r="A23" s="632"/>
      <c r="B23" s="632"/>
      <c r="C23" s="632"/>
      <c r="D23" s="632" t="s">
        <v>125</v>
      </c>
      <c r="E23" s="633">
        <v>43383.354409722226</v>
      </c>
      <c r="F23" s="638">
        <v>43383.354409722226</v>
      </c>
      <c r="G23" s="634">
        <v>0.35416666666666669</v>
      </c>
      <c r="H23" s="635"/>
      <c r="I23" s="635">
        <v>0</v>
      </c>
      <c r="J23" s="635">
        <v>8</v>
      </c>
      <c r="K23" s="635"/>
      <c r="L23" s="635"/>
      <c r="M23" s="635"/>
      <c r="N23" s="635"/>
      <c r="O23" s="628" t="s">
        <v>157</v>
      </c>
      <c r="P23" s="627"/>
      <c r="Q23" s="345"/>
      <c r="R23" s="372"/>
      <c r="S23" s="372"/>
      <c r="T23" s="373"/>
      <c r="U23" s="373"/>
      <c r="V23" s="373"/>
    </row>
    <row r="24" spans="1:25" s="63" customFormat="1">
      <c r="A24" s="632"/>
      <c r="B24" s="632"/>
      <c r="C24" s="632"/>
      <c r="D24" s="632" t="s">
        <v>126</v>
      </c>
      <c r="E24" s="633">
        <v>43383.75</v>
      </c>
      <c r="F24" s="638">
        <v>43383.771435185183</v>
      </c>
      <c r="G24" s="634">
        <v>0.75</v>
      </c>
      <c r="H24" s="635"/>
      <c r="I24" s="635"/>
      <c r="J24" s="635"/>
      <c r="K24" s="635"/>
      <c r="L24" s="635"/>
      <c r="M24" s="635"/>
      <c r="N24" s="635"/>
      <c r="O24" s="628"/>
      <c r="P24" s="627"/>
      <c r="Q24" s="345"/>
      <c r="R24" s="372"/>
      <c r="S24" s="372"/>
      <c r="T24" s="373"/>
      <c r="U24" s="373"/>
      <c r="V24" s="373"/>
    </row>
    <row r="25" spans="1:25">
      <c r="A25" s="632">
        <v>13660</v>
      </c>
      <c r="B25" s="632" t="s">
        <v>120</v>
      </c>
      <c r="C25" s="632" t="s">
        <v>120</v>
      </c>
      <c r="D25" s="632" t="s">
        <v>125</v>
      </c>
      <c r="E25" s="633">
        <v>43384.347731481481</v>
      </c>
      <c r="F25" s="638">
        <v>43384.347731481481</v>
      </c>
      <c r="G25" s="634">
        <v>0.34722222222222227</v>
      </c>
      <c r="H25" s="635">
        <v>10.183333333333334</v>
      </c>
      <c r="I25" s="635">
        <v>8</v>
      </c>
      <c r="J25" s="635" t="s">
        <v>115</v>
      </c>
      <c r="K25" s="635"/>
      <c r="L25" s="635"/>
      <c r="M25" s="635"/>
      <c r="N25" s="635"/>
    </row>
    <row r="26" spans="1:25">
      <c r="A26" s="632">
        <v>13677</v>
      </c>
      <c r="B26" s="632" t="s">
        <v>121</v>
      </c>
      <c r="C26" s="632" t="s">
        <v>120</v>
      </c>
      <c r="D26" s="632" t="s">
        <v>126</v>
      </c>
      <c r="E26" s="633">
        <v>43384.772060185183</v>
      </c>
      <c r="F26" s="638">
        <v>43384.772060185183</v>
      </c>
      <c r="G26" s="634">
        <v>0.7715277777777777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25">
      <c r="A27" s="632">
        <v>13678</v>
      </c>
      <c r="B27" s="632" t="s">
        <v>121</v>
      </c>
      <c r="C27" s="632" t="s">
        <v>120</v>
      </c>
      <c r="D27" s="632" t="s">
        <v>127</v>
      </c>
      <c r="E27" s="633">
        <v>43384.772094907406</v>
      </c>
      <c r="F27" s="638">
        <v>43384.772094907406</v>
      </c>
      <c r="G27" s="634">
        <v>0.7715277777777777</v>
      </c>
      <c r="H27" s="635" t="s">
        <v>115</v>
      </c>
      <c r="I27" s="635" t="s">
        <v>115</v>
      </c>
      <c r="J27" s="635" t="s">
        <v>115</v>
      </c>
      <c r="K27" s="635">
        <v>0.68333333333333357</v>
      </c>
      <c r="L27" s="635"/>
      <c r="M27" s="635">
        <v>0.68333333333333357</v>
      </c>
      <c r="N27" s="635">
        <v>0</v>
      </c>
    </row>
    <row r="28" spans="1:25">
      <c r="A28" s="632">
        <v>13686</v>
      </c>
      <c r="B28" s="632" t="s">
        <v>120</v>
      </c>
      <c r="C28" s="632" t="s">
        <v>120</v>
      </c>
      <c r="D28" s="632" t="s">
        <v>128</v>
      </c>
      <c r="E28" s="633">
        <v>43384.800335648149</v>
      </c>
      <c r="F28" s="638">
        <v>43384.800335648149</v>
      </c>
      <c r="G28" s="634">
        <v>0.79999999999999993</v>
      </c>
      <c r="H28" s="635" t="s">
        <v>115</v>
      </c>
      <c r="I28" s="635" t="s">
        <v>115</v>
      </c>
      <c r="J28" s="635" t="s">
        <v>115</v>
      </c>
      <c r="K28" s="635"/>
      <c r="L28" s="635"/>
      <c r="M28" s="635"/>
      <c r="N28" s="635"/>
      <c r="U28" s="626"/>
      <c r="V28" s="626"/>
      <c r="W28" s="626"/>
      <c r="X28" s="626"/>
      <c r="Y28" s="639"/>
    </row>
    <row r="29" spans="1:25">
      <c r="A29" s="632">
        <v>13692</v>
      </c>
      <c r="B29" s="632" t="s">
        <v>120</v>
      </c>
      <c r="C29" s="632" t="s">
        <v>120</v>
      </c>
      <c r="D29" s="632" t="s">
        <v>125</v>
      </c>
      <c r="E29" s="633">
        <v>43385.348090277781</v>
      </c>
      <c r="F29" s="638">
        <v>43385.348090277781</v>
      </c>
      <c r="G29" s="634">
        <v>0.34791666666666665</v>
      </c>
      <c r="H29" s="635">
        <v>10.583333333333332</v>
      </c>
      <c r="I29" s="635">
        <v>8</v>
      </c>
      <c r="J29" s="635" t="s">
        <v>115</v>
      </c>
      <c r="K29" s="635"/>
      <c r="L29" s="635"/>
      <c r="M29" s="635"/>
      <c r="N29" s="635"/>
    </row>
    <row r="30" spans="1:25">
      <c r="A30" s="632">
        <v>13714</v>
      </c>
      <c r="B30" s="632" t="s">
        <v>120</v>
      </c>
      <c r="C30" s="632" t="s">
        <v>120</v>
      </c>
      <c r="D30" s="632" t="s">
        <v>126</v>
      </c>
      <c r="E30" s="633">
        <v>43385.789444444446</v>
      </c>
      <c r="F30" s="638">
        <v>43385.789444444446</v>
      </c>
      <c r="G30" s="634">
        <v>0.78888888888888886</v>
      </c>
      <c r="H30" s="635" t="s">
        <v>115</v>
      </c>
      <c r="I30" s="635" t="s">
        <v>115</v>
      </c>
      <c r="J30" s="635" t="s">
        <v>115</v>
      </c>
      <c r="K30" s="635"/>
      <c r="L30" s="635"/>
      <c r="M30" s="635"/>
      <c r="N30" s="635"/>
    </row>
    <row r="31" spans="1:25">
      <c r="A31" s="632">
        <v>13719</v>
      </c>
      <c r="B31" s="632" t="s">
        <v>121</v>
      </c>
      <c r="C31" s="632" t="s">
        <v>120</v>
      </c>
      <c r="D31" s="632" t="s">
        <v>125</v>
      </c>
      <c r="E31" s="633">
        <v>43388.349849537037</v>
      </c>
      <c r="F31" s="638">
        <v>43388.349849537037</v>
      </c>
      <c r="G31" s="634">
        <v>0.34930555555555554</v>
      </c>
      <c r="H31" s="635">
        <v>9.8999999999999986</v>
      </c>
      <c r="I31" s="635">
        <v>8</v>
      </c>
      <c r="J31" s="635" t="s">
        <v>115</v>
      </c>
      <c r="K31" s="635"/>
      <c r="L31" s="635"/>
      <c r="M31" s="635"/>
      <c r="N31" s="635"/>
    </row>
    <row r="32" spans="1:25">
      <c r="A32" s="632">
        <v>13733</v>
      </c>
      <c r="B32" s="632" t="s">
        <v>121</v>
      </c>
      <c r="C32" s="632" t="s">
        <v>120</v>
      </c>
      <c r="D32" s="632" t="s">
        <v>126</v>
      </c>
      <c r="E32" s="633">
        <v>43388.762048611112</v>
      </c>
      <c r="F32" s="638">
        <v>43388.762048611112</v>
      </c>
      <c r="G32" s="634">
        <v>0.76180555555555562</v>
      </c>
      <c r="H32" s="635" t="s">
        <v>115</v>
      </c>
      <c r="I32" s="635" t="s">
        <v>115</v>
      </c>
      <c r="J32" s="635" t="s">
        <v>115</v>
      </c>
      <c r="K32" s="635"/>
      <c r="L32" s="635"/>
      <c r="M32" s="635"/>
      <c r="N32" s="635"/>
    </row>
    <row r="33" spans="1:18" s="444" customFormat="1">
      <c r="A33" s="632">
        <v>13737</v>
      </c>
      <c r="B33" s="632" t="s">
        <v>121</v>
      </c>
      <c r="C33" s="632" t="s">
        <v>120</v>
      </c>
      <c r="D33" s="632" t="s">
        <v>127</v>
      </c>
      <c r="E33" s="633">
        <v>43388.771018518521</v>
      </c>
      <c r="F33" s="638">
        <v>43388.771018518521</v>
      </c>
      <c r="G33" s="634">
        <v>0.77083333333333337</v>
      </c>
      <c r="H33" s="635" t="s">
        <v>115</v>
      </c>
      <c r="I33" s="635" t="s">
        <v>115</v>
      </c>
      <c r="J33" s="635" t="s">
        <v>115</v>
      </c>
      <c r="K33" s="635">
        <v>1.7499999999999991</v>
      </c>
      <c r="L33" s="635"/>
      <c r="M33" s="635">
        <v>1.7499999999999991</v>
      </c>
      <c r="N33" s="635">
        <v>0</v>
      </c>
      <c r="O33" s="628"/>
    </row>
    <row r="34" spans="1:18" s="444" customFormat="1">
      <c r="A34" s="632">
        <v>13686</v>
      </c>
      <c r="B34" s="636" t="s">
        <v>120</v>
      </c>
      <c r="C34" s="636" t="s">
        <v>120</v>
      </c>
      <c r="D34" s="636" t="s">
        <v>148</v>
      </c>
      <c r="E34" s="637">
        <v>43388.844085648147</v>
      </c>
      <c r="F34" s="638">
        <v>43388.844085648147</v>
      </c>
      <c r="G34" s="634">
        <v>0.84375</v>
      </c>
      <c r="H34" s="635" t="s">
        <v>115</v>
      </c>
      <c r="I34" s="635" t="s">
        <v>115</v>
      </c>
      <c r="J34" s="635" t="s">
        <v>115</v>
      </c>
      <c r="K34" s="635"/>
      <c r="L34" s="635"/>
      <c r="M34" s="635"/>
      <c r="N34" s="635"/>
      <c r="O34" s="628"/>
    </row>
    <row r="35" spans="1:18" s="444" customFormat="1">
      <c r="A35" s="632">
        <v>13745</v>
      </c>
      <c r="B35" s="632" t="s">
        <v>120</v>
      </c>
      <c r="C35" s="632" t="s">
        <v>120</v>
      </c>
      <c r="D35" s="632" t="s">
        <v>125</v>
      </c>
      <c r="E35" s="633">
        <v>43389.345219907409</v>
      </c>
      <c r="F35" s="638">
        <v>43389.345219907409</v>
      </c>
      <c r="G35" s="634">
        <v>0.34513888888888888</v>
      </c>
      <c r="H35" s="635">
        <v>10.100000000000001</v>
      </c>
      <c r="I35" s="635">
        <v>8</v>
      </c>
      <c r="J35" s="635" t="s">
        <v>115</v>
      </c>
      <c r="K35" s="635"/>
      <c r="L35" s="635"/>
      <c r="M35" s="635"/>
      <c r="N35" s="635"/>
      <c r="O35" s="628"/>
    </row>
    <row r="36" spans="1:18" s="631" customFormat="1">
      <c r="A36" s="632">
        <v>13761</v>
      </c>
      <c r="B36" s="632" t="s">
        <v>120</v>
      </c>
      <c r="C36" s="632" t="s">
        <v>120</v>
      </c>
      <c r="D36" s="632" t="s">
        <v>126</v>
      </c>
      <c r="E36" s="633">
        <v>43389.766574074078</v>
      </c>
      <c r="F36" s="638">
        <v>43389.766574074078</v>
      </c>
      <c r="G36" s="634">
        <v>0.76597222222222217</v>
      </c>
      <c r="H36" s="635" t="s">
        <v>115</v>
      </c>
      <c r="I36" s="635" t="s">
        <v>115</v>
      </c>
      <c r="J36" s="635" t="s">
        <v>115</v>
      </c>
      <c r="K36" s="635"/>
      <c r="L36" s="635"/>
      <c r="M36" s="635"/>
      <c r="N36" s="635"/>
      <c r="O36" s="628"/>
      <c r="P36" s="444"/>
      <c r="Q36" s="444"/>
      <c r="R36" s="444"/>
    </row>
    <row r="37" spans="1:18" s="631" customFormat="1">
      <c r="A37" s="632">
        <v>13775</v>
      </c>
      <c r="B37" s="632" t="s">
        <v>120</v>
      </c>
      <c r="C37" s="632" t="s">
        <v>120</v>
      </c>
      <c r="D37" s="632" t="s">
        <v>125</v>
      </c>
      <c r="E37" s="633">
        <v>43390.345706018517</v>
      </c>
      <c r="F37" s="638">
        <v>43390.345706018517</v>
      </c>
      <c r="G37" s="634">
        <v>0.34513888888888888</v>
      </c>
      <c r="H37" s="635">
        <v>10.133333333333335</v>
      </c>
      <c r="I37" s="635">
        <v>8</v>
      </c>
      <c r="J37" s="635" t="s">
        <v>115</v>
      </c>
      <c r="K37" s="635"/>
      <c r="L37" s="635"/>
      <c r="M37" s="635"/>
      <c r="N37" s="635"/>
      <c r="O37" s="628"/>
      <c r="P37" s="444"/>
      <c r="Q37" s="444"/>
      <c r="R37" s="444"/>
    </row>
    <row r="38" spans="1:18">
      <c r="A38" s="632">
        <v>13786</v>
      </c>
      <c r="B38" s="632" t="s">
        <v>121</v>
      </c>
      <c r="C38" s="632" t="s">
        <v>120</v>
      </c>
      <c r="D38" s="632" t="s">
        <v>126</v>
      </c>
      <c r="E38" s="633">
        <v>43390.767430555556</v>
      </c>
      <c r="F38" s="638">
        <v>43390.767430555556</v>
      </c>
      <c r="G38" s="634">
        <v>0.76736111111111116</v>
      </c>
      <c r="H38" s="635" t="s">
        <v>115</v>
      </c>
      <c r="I38" s="635" t="s">
        <v>115</v>
      </c>
      <c r="J38" s="635" t="s">
        <v>115</v>
      </c>
      <c r="K38" s="635"/>
      <c r="L38" s="635"/>
      <c r="M38" s="635"/>
      <c r="N38" s="635"/>
    </row>
    <row r="39" spans="1:18" s="625" customFormat="1">
      <c r="A39" s="632">
        <v>13805</v>
      </c>
      <c r="B39" s="632" t="s">
        <v>120</v>
      </c>
      <c r="C39" s="632" t="s">
        <v>120</v>
      </c>
      <c r="D39" s="632" t="s">
        <v>125</v>
      </c>
      <c r="E39" s="633">
        <v>43391.347824074073</v>
      </c>
      <c r="F39" s="638">
        <v>43391.347824074073</v>
      </c>
      <c r="G39" s="634">
        <v>0.34722222222222227</v>
      </c>
      <c r="H39" s="635">
        <v>10.183333333333334</v>
      </c>
      <c r="I39" s="635">
        <v>8</v>
      </c>
      <c r="J39" s="635" t="s">
        <v>115</v>
      </c>
      <c r="K39" s="635"/>
      <c r="L39" s="635"/>
      <c r="M39" s="635"/>
      <c r="N39" s="635"/>
      <c r="O39" s="628"/>
      <c r="P39" s="627"/>
      <c r="Q39" s="627"/>
      <c r="R39" s="627"/>
    </row>
    <row r="40" spans="1:18" s="625" customFormat="1">
      <c r="A40" s="632">
        <v>13822</v>
      </c>
      <c r="B40" s="632" t="s">
        <v>121</v>
      </c>
      <c r="C40" s="632" t="s">
        <v>120</v>
      </c>
      <c r="D40" s="632" t="s">
        <v>126</v>
      </c>
      <c r="E40" s="633">
        <v>43391.772013888891</v>
      </c>
      <c r="F40" s="638">
        <v>43391.772013888891</v>
      </c>
      <c r="G40" s="634">
        <v>0.7715277777777777</v>
      </c>
      <c r="H40" s="635" t="s">
        <v>115</v>
      </c>
      <c r="I40" s="635" t="s">
        <v>115</v>
      </c>
      <c r="J40" s="635" t="s">
        <v>115</v>
      </c>
      <c r="K40" s="635"/>
      <c r="L40" s="635"/>
      <c r="M40" s="635"/>
      <c r="N40" s="635"/>
      <c r="O40" s="628"/>
      <c r="P40" s="627"/>
      <c r="Q40" s="627"/>
      <c r="R40" s="627"/>
    </row>
    <row r="41" spans="1:18">
      <c r="A41" s="632">
        <v>13825</v>
      </c>
      <c r="B41" s="632" t="s">
        <v>120</v>
      </c>
      <c r="C41" s="632" t="s">
        <v>120</v>
      </c>
      <c r="D41" s="632" t="s">
        <v>125</v>
      </c>
      <c r="E41" s="633">
        <v>43392.348599537036</v>
      </c>
      <c r="F41" s="638">
        <v>43392.348599537036</v>
      </c>
      <c r="G41" s="634">
        <v>0.34791666666666665</v>
      </c>
      <c r="H41" s="635">
        <v>9.7666666666666657</v>
      </c>
      <c r="I41" s="635">
        <v>8</v>
      </c>
      <c r="J41" s="635" t="s">
        <v>115</v>
      </c>
      <c r="K41" s="635"/>
      <c r="L41" s="635"/>
      <c r="M41" s="635"/>
      <c r="N41" s="635"/>
    </row>
    <row r="42" spans="1:18" s="398" customFormat="1">
      <c r="A42" s="632">
        <v>13838</v>
      </c>
      <c r="B42" s="632" t="s">
        <v>121</v>
      </c>
      <c r="C42" s="632" t="s">
        <v>120</v>
      </c>
      <c r="D42" s="632" t="s">
        <v>126</v>
      </c>
      <c r="E42" s="633">
        <v>43392.755208333336</v>
      </c>
      <c r="F42" s="638">
        <v>43392.755208333336</v>
      </c>
      <c r="G42" s="634">
        <v>0.75486111111111109</v>
      </c>
      <c r="H42" s="635" t="s">
        <v>115</v>
      </c>
      <c r="I42" s="635" t="s">
        <v>115</v>
      </c>
      <c r="J42" s="635" t="s">
        <v>115</v>
      </c>
      <c r="K42" s="635"/>
      <c r="L42" s="635"/>
      <c r="M42" s="635"/>
      <c r="N42" s="635"/>
      <c r="O42" s="628"/>
      <c r="P42" s="444"/>
      <c r="Q42" s="444"/>
      <c r="R42" s="444"/>
    </row>
    <row r="43" spans="1:18" s="398" customFormat="1">
      <c r="A43" s="632">
        <v>13844</v>
      </c>
      <c r="B43" s="632" t="s">
        <v>120</v>
      </c>
      <c r="C43" s="632" t="s">
        <v>120</v>
      </c>
      <c r="D43" s="632" t="s">
        <v>125</v>
      </c>
      <c r="E43" s="633">
        <v>43395.347627314812</v>
      </c>
      <c r="F43" s="638">
        <v>43395.347627314812</v>
      </c>
      <c r="G43" s="634">
        <v>0.34722222222222227</v>
      </c>
      <c r="H43" s="635">
        <v>10.166666666666668</v>
      </c>
      <c r="I43" s="635">
        <v>8</v>
      </c>
      <c r="J43" s="635" t="s">
        <v>115</v>
      </c>
      <c r="K43" s="635"/>
      <c r="L43" s="635"/>
      <c r="M43" s="635"/>
      <c r="N43" s="635"/>
      <c r="O43" s="628"/>
      <c r="P43" s="444"/>
      <c r="Q43" s="444"/>
      <c r="R43" s="444"/>
    </row>
    <row r="44" spans="1:18">
      <c r="A44" s="632">
        <v>13857</v>
      </c>
      <c r="B44" s="632" t="s">
        <v>121</v>
      </c>
      <c r="C44" s="632" t="s">
        <v>120</v>
      </c>
      <c r="D44" s="632" t="s">
        <v>126</v>
      </c>
      <c r="E44" s="633">
        <v>43395.771354166667</v>
      </c>
      <c r="F44" s="638">
        <v>43395.771354166667</v>
      </c>
      <c r="G44" s="634">
        <v>0.77083333333333337</v>
      </c>
      <c r="H44" s="635" t="s">
        <v>115</v>
      </c>
      <c r="I44" s="635" t="s">
        <v>115</v>
      </c>
      <c r="J44" s="635" t="s">
        <v>115</v>
      </c>
      <c r="K44" s="635"/>
      <c r="L44" s="635"/>
      <c r="M44" s="635"/>
      <c r="N44" s="635"/>
    </row>
    <row r="45" spans="1:18">
      <c r="A45" s="632">
        <v>13858</v>
      </c>
      <c r="B45" s="632" t="s">
        <v>121</v>
      </c>
      <c r="C45" s="632" t="s">
        <v>120</v>
      </c>
      <c r="D45" s="632" t="s">
        <v>127</v>
      </c>
      <c r="E45" s="633">
        <v>43395.771423611113</v>
      </c>
      <c r="F45" s="638">
        <v>43395.771423611113</v>
      </c>
      <c r="G45" s="634">
        <v>0.77083333333333337</v>
      </c>
      <c r="H45" s="635" t="s">
        <v>115</v>
      </c>
      <c r="I45" s="635" t="s">
        <v>115</v>
      </c>
      <c r="J45" s="635" t="s">
        <v>115</v>
      </c>
      <c r="K45" s="635">
        <v>0.88333333333333286</v>
      </c>
      <c r="L45" s="635"/>
      <c r="M45" s="635">
        <v>0.88333333333333286</v>
      </c>
      <c r="N45" s="635">
        <v>0</v>
      </c>
    </row>
    <row r="46" spans="1:18">
      <c r="A46" s="632">
        <v>13871</v>
      </c>
      <c r="B46" s="632" t="s">
        <v>121</v>
      </c>
      <c r="C46" s="632" t="s">
        <v>120</v>
      </c>
      <c r="D46" s="632" t="s">
        <v>128</v>
      </c>
      <c r="E46" s="633">
        <v>43395.808032407411</v>
      </c>
      <c r="F46" s="638">
        <v>43395.808032407411</v>
      </c>
      <c r="G46" s="634">
        <v>0.80763888888888891</v>
      </c>
      <c r="H46" s="635" t="s">
        <v>115</v>
      </c>
      <c r="I46" s="635" t="s">
        <v>115</v>
      </c>
      <c r="J46" s="635" t="s">
        <v>115</v>
      </c>
      <c r="K46" s="635"/>
      <c r="L46" s="635"/>
      <c r="M46" s="635"/>
      <c r="N46" s="635"/>
    </row>
    <row r="47" spans="1:18">
      <c r="A47" s="632">
        <v>13876</v>
      </c>
      <c r="B47" s="632" t="s">
        <v>120</v>
      </c>
      <c r="C47" s="632" t="s">
        <v>120</v>
      </c>
      <c r="D47" s="632" t="s">
        <v>125</v>
      </c>
      <c r="E47" s="633">
        <v>43396.34747685185</v>
      </c>
      <c r="F47" s="638">
        <v>43396.34747685185</v>
      </c>
      <c r="G47" s="634">
        <v>0.34722222222222227</v>
      </c>
      <c r="H47" s="635">
        <v>10.166666666666668</v>
      </c>
      <c r="I47" s="635">
        <v>8</v>
      </c>
      <c r="J47" s="635" t="s">
        <v>115</v>
      </c>
      <c r="K47" s="635"/>
      <c r="L47" s="635"/>
      <c r="M47" s="635"/>
      <c r="N47" s="635"/>
    </row>
    <row r="48" spans="1:18">
      <c r="A48" s="632">
        <v>13897</v>
      </c>
      <c r="B48" s="632" t="s">
        <v>121</v>
      </c>
      <c r="C48" s="632" t="s">
        <v>120</v>
      </c>
      <c r="D48" s="632" t="s">
        <v>126</v>
      </c>
      <c r="E48" s="633">
        <v>43396.771053240744</v>
      </c>
      <c r="F48" s="638">
        <v>43396.771053240744</v>
      </c>
      <c r="G48" s="634">
        <v>0.77083333333333337</v>
      </c>
      <c r="H48" s="635" t="s">
        <v>115</v>
      </c>
      <c r="I48" s="635" t="s">
        <v>115</v>
      </c>
      <c r="J48" s="635" t="s">
        <v>115</v>
      </c>
      <c r="K48" s="635"/>
      <c r="L48" s="635"/>
      <c r="M48" s="635"/>
      <c r="N48" s="635"/>
    </row>
    <row r="49" spans="1:22">
      <c r="A49" s="632">
        <v>13898</v>
      </c>
      <c r="B49" s="632" t="s">
        <v>121</v>
      </c>
      <c r="C49" s="632" t="s">
        <v>120</v>
      </c>
      <c r="D49" s="632" t="s">
        <v>127</v>
      </c>
      <c r="E49" s="633">
        <v>43396.771099537036</v>
      </c>
      <c r="F49" s="638">
        <v>43396.771099537036</v>
      </c>
      <c r="G49" s="634">
        <v>0.77083333333333337</v>
      </c>
      <c r="H49" s="635" t="s">
        <v>115</v>
      </c>
      <c r="I49" s="635" t="s">
        <v>115</v>
      </c>
      <c r="J49" s="635" t="s">
        <v>115</v>
      </c>
      <c r="K49" s="635">
        <v>0.70000000000000018</v>
      </c>
      <c r="L49" s="635"/>
      <c r="M49" s="635">
        <v>0.70000000000000018</v>
      </c>
      <c r="N49" s="635">
        <v>0</v>
      </c>
    </row>
    <row r="50" spans="1:22">
      <c r="A50" s="632">
        <v>13904</v>
      </c>
      <c r="B50" s="632" t="s">
        <v>121</v>
      </c>
      <c r="C50" s="632" t="s">
        <v>120</v>
      </c>
      <c r="D50" s="632" t="s">
        <v>128</v>
      </c>
      <c r="E50" s="633">
        <v>43396.800671296296</v>
      </c>
      <c r="F50" s="638">
        <v>43396.800671296296</v>
      </c>
      <c r="G50" s="634">
        <v>0.79999999999999993</v>
      </c>
      <c r="H50" s="635" t="s">
        <v>115</v>
      </c>
      <c r="I50" s="635" t="s">
        <v>115</v>
      </c>
      <c r="J50" s="635" t="s">
        <v>115</v>
      </c>
      <c r="K50" s="635"/>
      <c r="L50" s="635"/>
      <c r="M50" s="635"/>
      <c r="N50" s="635"/>
    </row>
    <row r="51" spans="1:22">
      <c r="A51" s="632">
        <v>13911</v>
      </c>
      <c r="B51" s="632" t="s">
        <v>120</v>
      </c>
      <c r="C51" s="632" t="s">
        <v>120</v>
      </c>
      <c r="D51" s="632" t="s">
        <v>125</v>
      </c>
      <c r="E51" s="633">
        <v>43397.347870370373</v>
      </c>
      <c r="F51" s="638">
        <v>43397.347870370373</v>
      </c>
      <c r="G51" s="634">
        <v>0.34722222222222227</v>
      </c>
      <c r="H51" s="635">
        <v>10</v>
      </c>
      <c r="I51" s="635">
        <v>8</v>
      </c>
      <c r="J51" s="635" t="s">
        <v>115</v>
      </c>
      <c r="K51" s="635"/>
      <c r="L51" s="635"/>
      <c r="M51" s="635"/>
      <c r="N51" s="635"/>
    </row>
    <row r="52" spans="1:22">
      <c r="A52" s="632">
        <v>13921</v>
      </c>
      <c r="B52" s="632" t="s">
        <v>121</v>
      </c>
      <c r="C52" s="632" t="s">
        <v>120</v>
      </c>
      <c r="D52" s="632" t="s">
        <v>126</v>
      </c>
      <c r="E52" s="633">
        <v>43397.764305555553</v>
      </c>
      <c r="F52" s="638">
        <v>43397.764305555553</v>
      </c>
      <c r="G52" s="634">
        <v>0.76388888888888884</v>
      </c>
      <c r="H52" s="635" t="s">
        <v>115</v>
      </c>
      <c r="I52" s="635" t="s">
        <v>115</v>
      </c>
      <c r="J52" s="635" t="s">
        <v>115</v>
      </c>
      <c r="K52" s="635"/>
      <c r="L52" s="635"/>
      <c r="M52" s="635"/>
      <c r="N52" s="635"/>
    </row>
    <row r="53" spans="1:22">
      <c r="A53" s="632">
        <v>13933</v>
      </c>
      <c r="B53" s="632" t="s">
        <v>120</v>
      </c>
      <c r="C53" s="632" t="s">
        <v>120</v>
      </c>
      <c r="D53" s="632" t="s">
        <v>125</v>
      </c>
      <c r="E53" s="633">
        <v>43398.348182870373</v>
      </c>
      <c r="F53" s="638">
        <v>43398.348182870373</v>
      </c>
      <c r="G53" s="634">
        <v>0.34791666666666665</v>
      </c>
      <c r="H53" s="635">
        <v>10.3</v>
      </c>
      <c r="I53" s="635">
        <v>8</v>
      </c>
      <c r="J53" s="635" t="s">
        <v>115</v>
      </c>
      <c r="K53" s="635"/>
      <c r="L53" s="635"/>
      <c r="M53" s="635"/>
      <c r="N53" s="635"/>
    </row>
    <row r="54" spans="1:22">
      <c r="A54" s="632">
        <v>13953</v>
      </c>
      <c r="B54" s="632" t="s">
        <v>121</v>
      </c>
      <c r="C54" s="632" t="s">
        <v>120</v>
      </c>
      <c r="D54" s="632" t="s">
        <v>126</v>
      </c>
      <c r="E54" s="633">
        <v>43398.777175925927</v>
      </c>
      <c r="F54" s="638">
        <v>43398.777175925927</v>
      </c>
      <c r="G54" s="634">
        <v>0.77708333333333324</v>
      </c>
      <c r="H54" s="635" t="s">
        <v>115</v>
      </c>
      <c r="I54" s="635" t="s">
        <v>115</v>
      </c>
      <c r="J54" s="635" t="s">
        <v>115</v>
      </c>
      <c r="K54" s="635"/>
      <c r="L54" s="635"/>
      <c r="M54" s="635"/>
      <c r="N54" s="635"/>
    </row>
    <row r="55" spans="1:22">
      <c r="A55" s="632">
        <v>13958</v>
      </c>
      <c r="B55" s="632" t="s">
        <v>120</v>
      </c>
      <c r="C55" s="632" t="s">
        <v>120</v>
      </c>
      <c r="D55" s="632" t="s">
        <v>125</v>
      </c>
      <c r="E55" s="633">
        <v>43399.348958333336</v>
      </c>
      <c r="F55" s="638">
        <v>43399.348958333336</v>
      </c>
      <c r="G55" s="634">
        <v>0.34861111111111115</v>
      </c>
      <c r="H55" s="635">
        <v>10.016666666666669</v>
      </c>
      <c r="I55" s="635">
        <v>8</v>
      </c>
      <c r="J55" s="635" t="s">
        <v>115</v>
      </c>
      <c r="K55" s="635"/>
      <c r="L55" s="635"/>
      <c r="M55" s="635"/>
      <c r="N55" s="635"/>
    </row>
    <row r="56" spans="1:22">
      <c r="A56" s="632">
        <v>13966</v>
      </c>
      <c r="B56" s="632" t="s">
        <v>121</v>
      </c>
      <c r="C56" s="632" t="s">
        <v>120</v>
      </c>
      <c r="D56" s="632" t="s">
        <v>126</v>
      </c>
      <c r="E56" s="633">
        <v>43399.76599537037</v>
      </c>
      <c r="F56" s="638">
        <v>43399.76599537037</v>
      </c>
      <c r="G56" s="634">
        <v>0.76597222222222217</v>
      </c>
      <c r="H56" s="635" t="s">
        <v>115</v>
      </c>
      <c r="I56" s="635" t="s">
        <v>115</v>
      </c>
      <c r="J56" s="635" t="s">
        <v>115</v>
      </c>
      <c r="K56" s="635"/>
      <c r="L56" s="635"/>
      <c r="M56" s="635"/>
      <c r="N56" s="635"/>
    </row>
    <row r="57" spans="1:22">
      <c r="A57" s="632">
        <v>13976</v>
      </c>
      <c r="B57" s="632" t="s">
        <v>120</v>
      </c>
      <c r="C57" s="632" t="s">
        <v>120</v>
      </c>
      <c r="D57" s="632" t="s">
        <v>125</v>
      </c>
      <c r="E57" s="633">
        <v>43402.345694444448</v>
      </c>
      <c r="F57" s="638">
        <v>43402.345694444448</v>
      </c>
      <c r="G57" s="634">
        <v>0.34513888888888888</v>
      </c>
      <c r="H57" s="635">
        <v>10.200000000000001</v>
      </c>
      <c r="I57" s="635">
        <v>8</v>
      </c>
      <c r="J57" s="635" t="s">
        <v>115</v>
      </c>
      <c r="K57" s="635"/>
      <c r="L57" s="635"/>
      <c r="M57" s="635"/>
      <c r="N57" s="635"/>
    </row>
    <row r="58" spans="1:22">
      <c r="A58" s="632">
        <v>13993</v>
      </c>
      <c r="B58" s="632" t="s">
        <v>121</v>
      </c>
      <c r="C58" s="632" t="s">
        <v>120</v>
      </c>
      <c r="D58" s="632" t="s">
        <v>126</v>
      </c>
      <c r="E58" s="633">
        <v>43402.770138888889</v>
      </c>
      <c r="F58" s="638">
        <v>43402.770138888889</v>
      </c>
      <c r="G58" s="634">
        <v>0.77013888888888893</v>
      </c>
      <c r="H58" s="635" t="s">
        <v>115</v>
      </c>
      <c r="I58" s="635" t="s">
        <v>115</v>
      </c>
      <c r="J58" s="635" t="s">
        <v>115</v>
      </c>
      <c r="K58" s="635"/>
      <c r="L58" s="635"/>
      <c r="M58" s="635"/>
      <c r="N58" s="635"/>
    </row>
    <row r="59" spans="1:22" s="63" customFormat="1">
      <c r="A59" s="632"/>
      <c r="B59" s="632"/>
      <c r="C59" s="632"/>
      <c r="D59" s="632" t="s">
        <v>125</v>
      </c>
      <c r="E59" s="633">
        <v>43403.354409722226</v>
      </c>
      <c r="F59" s="638">
        <v>43383.354409722226</v>
      </c>
      <c r="G59" s="634">
        <v>0.35416666666666669</v>
      </c>
      <c r="H59" s="635"/>
      <c r="I59" s="635">
        <v>0</v>
      </c>
      <c r="J59" s="635">
        <v>8</v>
      </c>
      <c r="K59" s="635"/>
      <c r="L59" s="635"/>
      <c r="M59" s="635"/>
      <c r="N59" s="635"/>
      <c r="O59" s="628" t="s">
        <v>161</v>
      </c>
      <c r="P59" s="627"/>
      <c r="Q59" s="345"/>
      <c r="R59" s="372"/>
      <c r="S59" s="372"/>
      <c r="T59" s="373"/>
      <c r="U59" s="373"/>
      <c r="V59" s="373"/>
    </row>
    <row r="60" spans="1:22" s="63" customFormat="1">
      <c r="A60" s="632"/>
      <c r="B60" s="632"/>
      <c r="C60" s="632"/>
      <c r="D60" s="632" t="s">
        <v>126</v>
      </c>
      <c r="E60" s="633">
        <v>43403.75</v>
      </c>
      <c r="F60" s="638">
        <v>43383.771435185183</v>
      </c>
      <c r="G60" s="634">
        <v>0.75</v>
      </c>
      <c r="H60" s="635"/>
      <c r="I60" s="635"/>
      <c r="J60" s="635"/>
      <c r="K60" s="635"/>
      <c r="L60" s="635"/>
      <c r="M60" s="635"/>
      <c r="N60" s="635"/>
      <c r="O60" s="628"/>
      <c r="P60" s="627"/>
      <c r="Q60" s="345"/>
      <c r="R60" s="372"/>
      <c r="S60" s="372"/>
      <c r="T60" s="373"/>
      <c r="U60" s="373"/>
      <c r="V60" s="373"/>
    </row>
    <row r="61" spans="1:22">
      <c r="A61" s="632">
        <v>14031</v>
      </c>
      <c r="B61" s="632" t="s">
        <v>120</v>
      </c>
      <c r="C61" s="632" t="s">
        <v>120</v>
      </c>
      <c r="D61" s="632" t="s">
        <v>125</v>
      </c>
      <c r="E61" s="633">
        <v>43404.347719907404</v>
      </c>
      <c r="F61" s="638">
        <v>43404.347719907404</v>
      </c>
      <c r="G61" s="634">
        <v>0.34722222222222227</v>
      </c>
      <c r="H61" s="635">
        <v>10.166666666666668</v>
      </c>
      <c r="I61" s="635">
        <v>8</v>
      </c>
      <c r="J61" s="635" t="s">
        <v>115</v>
      </c>
      <c r="K61" s="635"/>
      <c r="L61" s="635"/>
      <c r="M61" s="635"/>
      <c r="N61" s="635"/>
    </row>
    <row r="62" spans="1:22">
      <c r="A62" s="632">
        <v>14044</v>
      </c>
      <c r="B62" s="632" t="s">
        <v>121</v>
      </c>
      <c r="C62" s="632" t="s">
        <v>120</v>
      </c>
      <c r="D62" s="632" t="s">
        <v>126</v>
      </c>
      <c r="E62" s="633">
        <v>43404.770983796298</v>
      </c>
      <c r="F62" s="638">
        <v>43404.770983796298</v>
      </c>
      <c r="G62" s="634">
        <v>0.77083333333333337</v>
      </c>
      <c r="H62" s="635" t="s">
        <v>115</v>
      </c>
      <c r="I62" s="635" t="s">
        <v>115</v>
      </c>
      <c r="J62" s="635" t="s">
        <v>115</v>
      </c>
      <c r="K62" s="635"/>
      <c r="L62" s="635"/>
      <c r="M62" s="635"/>
      <c r="N62" s="635"/>
    </row>
    <row r="63" spans="1:22">
      <c r="A63" s="632">
        <v>14045</v>
      </c>
      <c r="B63" s="632" t="s">
        <v>121</v>
      </c>
      <c r="C63" s="632" t="s">
        <v>120</v>
      </c>
      <c r="D63" s="632" t="s">
        <v>127</v>
      </c>
      <c r="E63" s="633">
        <v>43404.77103009259</v>
      </c>
      <c r="F63" s="638">
        <v>43404.77103009259</v>
      </c>
      <c r="G63" s="634">
        <v>0.77083333333333337</v>
      </c>
      <c r="H63" s="635" t="s">
        <v>115</v>
      </c>
      <c r="I63" s="635" t="s">
        <v>115</v>
      </c>
      <c r="J63" s="635" t="s">
        <v>115</v>
      </c>
      <c r="K63" s="635">
        <v>0.54999999999999805</v>
      </c>
      <c r="L63" s="635"/>
      <c r="M63" s="635">
        <v>0.54999999999999805</v>
      </c>
      <c r="N63" s="635">
        <v>0</v>
      </c>
    </row>
    <row r="64" spans="1:22">
      <c r="A64" s="632">
        <v>14051</v>
      </c>
      <c r="B64" s="632" t="s">
        <v>121</v>
      </c>
      <c r="C64" s="632" t="s">
        <v>120</v>
      </c>
      <c r="D64" s="632" t="s">
        <v>128</v>
      </c>
      <c r="E64" s="633">
        <v>43404.794004629628</v>
      </c>
      <c r="F64" s="638">
        <v>43404.794004629628</v>
      </c>
      <c r="G64" s="634">
        <v>0.79375000000000007</v>
      </c>
      <c r="H64" s="635"/>
      <c r="I64" s="635"/>
      <c r="J64" s="635"/>
      <c r="K64" s="635"/>
      <c r="L64" s="635"/>
      <c r="M64" s="635"/>
      <c r="N64" s="635"/>
    </row>
    <row r="65" spans="2:14">
      <c r="B65" s="629"/>
      <c r="C65" s="490"/>
      <c r="D65" s="152"/>
      <c r="E65" s="152"/>
      <c r="F65" s="475"/>
      <c r="G65" s="476"/>
      <c r="H65" s="477"/>
      <c r="I65" s="478"/>
      <c r="J65" s="478"/>
      <c r="K65" s="479"/>
      <c r="L65" s="479"/>
      <c r="M65" s="479"/>
      <c r="N65" s="479"/>
    </row>
    <row r="66" spans="2:14">
      <c r="C66" s="474"/>
      <c r="D66" s="9" t="s">
        <v>36</v>
      </c>
      <c r="E66" s="3"/>
      <c r="F66" s="16"/>
      <c r="G66" s="17"/>
      <c r="H66" s="51"/>
      <c r="I66" s="21"/>
      <c r="J66" s="21"/>
      <c r="K66" s="22"/>
      <c r="L66" s="22"/>
      <c r="M66" s="22"/>
      <c r="N66" s="22"/>
    </row>
    <row r="67" spans="2:14">
      <c r="C67" s="474"/>
      <c r="D67" s="9" t="s">
        <v>35</v>
      </c>
      <c r="E67" s="3"/>
      <c r="F67" s="16"/>
      <c r="G67" s="17"/>
      <c r="H67" s="51"/>
      <c r="I67" s="21"/>
      <c r="J67" s="21"/>
      <c r="K67" s="22"/>
      <c r="L67" s="22"/>
      <c r="M67" s="22"/>
      <c r="N67" s="22"/>
    </row>
    <row r="68" spans="2:14">
      <c r="C68" s="474"/>
      <c r="D68" s="172" t="s">
        <v>63</v>
      </c>
      <c r="E68" s="3"/>
      <c r="F68" s="16"/>
      <c r="G68" s="17"/>
      <c r="H68" s="51"/>
      <c r="I68" s="21"/>
      <c r="J68" s="21"/>
      <c r="K68" s="22"/>
      <c r="L68" s="22"/>
      <c r="M68" s="22"/>
      <c r="N68" s="22"/>
    </row>
    <row r="69" spans="2:14">
      <c r="C69" s="474"/>
      <c r="D69" s="458" t="s">
        <v>66</v>
      </c>
      <c r="E69" s="3"/>
      <c r="F69" s="16"/>
      <c r="G69" s="17"/>
      <c r="H69" s="51"/>
      <c r="I69" s="21"/>
      <c r="J69" s="21"/>
      <c r="K69" s="22"/>
      <c r="L69" s="22"/>
      <c r="M69" s="22"/>
      <c r="N69" s="22"/>
    </row>
    <row r="70" spans="2:14">
      <c r="C70" s="474"/>
      <c r="D70" s="458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</row>
    <row r="71" spans="2:14">
      <c r="C71" s="474"/>
      <c r="D71" s="458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</row>
    <row r="72" spans="2:14">
      <c r="C72" s="474"/>
      <c r="D72" s="458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</row>
    <row r="73" spans="2:14">
      <c r="C73" s="474"/>
      <c r="D73" s="458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</row>
    <row r="74" spans="2:14">
      <c r="C74" s="474"/>
      <c r="D74" s="458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</row>
    <row r="75" spans="2:14">
      <c r="C75" s="474"/>
      <c r="D75" s="152"/>
      <c r="E75" s="152"/>
      <c r="F75" s="475"/>
      <c r="G75" s="476"/>
      <c r="H75" s="477"/>
      <c r="I75" s="478"/>
      <c r="J75" s="478"/>
      <c r="K75" s="479"/>
      <c r="L75" s="479"/>
      <c r="M75" s="479"/>
      <c r="N75" s="479"/>
    </row>
    <row r="76" spans="2:14">
      <c r="C76" s="474"/>
      <c r="D76" s="152"/>
      <c r="E76" s="152"/>
      <c r="F76" s="475"/>
      <c r="G76" s="476"/>
      <c r="H76" s="477"/>
      <c r="I76" s="478"/>
      <c r="J76" s="478"/>
      <c r="K76" s="479"/>
      <c r="L76" s="479"/>
      <c r="M76" s="479"/>
      <c r="N76" s="479"/>
    </row>
    <row r="77" spans="2:14">
      <c r="C77" s="474"/>
      <c r="D77" s="152"/>
      <c r="E77" s="152"/>
      <c r="F77" s="475"/>
      <c r="G77" s="476"/>
      <c r="H77" s="477"/>
      <c r="I77" s="478"/>
      <c r="J77" s="478"/>
      <c r="K77" s="479"/>
      <c r="L77" s="479"/>
      <c r="M77" s="479"/>
      <c r="N77" s="479"/>
    </row>
    <row r="78" spans="2:14">
      <c r="C78" s="474"/>
      <c r="D78" s="152"/>
      <c r="E78" s="152"/>
      <c r="F78" s="475"/>
      <c r="G78" s="476"/>
      <c r="H78" s="477"/>
      <c r="I78" s="478"/>
      <c r="J78" s="478"/>
      <c r="K78" s="479"/>
      <c r="L78" s="479"/>
      <c r="M78" s="479"/>
      <c r="N78" s="479"/>
    </row>
    <row r="79" spans="2:14">
      <c r="C79" s="474"/>
      <c r="D79" s="152"/>
      <c r="E79" s="152"/>
      <c r="F79" s="475"/>
      <c r="G79" s="476"/>
      <c r="H79" s="477"/>
      <c r="I79" s="478"/>
      <c r="J79" s="478"/>
      <c r="K79" s="479"/>
      <c r="L79" s="479"/>
      <c r="M79" s="479"/>
      <c r="N79" s="479"/>
    </row>
    <row r="80" spans="2:14">
      <c r="C80" s="474"/>
      <c r="D80" s="152"/>
      <c r="E80" s="152"/>
      <c r="F80" s="475"/>
      <c r="G80" s="476"/>
      <c r="H80" s="477"/>
      <c r="I80" s="478"/>
      <c r="J80" s="478"/>
      <c r="K80" s="479"/>
      <c r="L80" s="479"/>
      <c r="M80" s="479"/>
      <c r="N80" s="479"/>
    </row>
    <row r="81" spans="3:14">
      <c r="C81" s="474"/>
      <c r="D81" s="152"/>
      <c r="E81" s="152"/>
      <c r="F81" s="475"/>
      <c r="G81" s="476"/>
      <c r="H81" s="477"/>
      <c r="I81" s="478"/>
      <c r="J81" s="478"/>
      <c r="K81" s="479"/>
      <c r="L81" s="479"/>
      <c r="M81" s="479"/>
      <c r="N81" s="479"/>
    </row>
    <row r="82" spans="3:14">
      <c r="C82" s="474"/>
      <c r="D82" s="152"/>
      <c r="E82" s="152"/>
      <c r="F82" s="475"/>
      <c r="G82" s="476"/>
      <c r="H82" s="477"/>
      <c r="I82" s="478"/>
      <c r="J82" s="478"/>
      <c r="K82" s="479"/>
      <c r="L82" s="479"/>
      <c r="M82" s="479"/>
      <c r="N82" s="479"/>
    </row>
    <row r="83" spans="3:14">
      <c r="C83" s="474"/>
      <c r="D83" s="152"/>
      <c r="E83" s="152"/>
      <c r="F83" s="475"/>
      <c r="G83" s="476"/>
      <c r="H83" s="477"/>
      <c r="I83" s="478"/>
      <c r="J83" s="478"/>
      <c r="K83" s="479"/>
      <c r="L83" s="479"/>
      <c r="M83" s="479"/>
      <c r="N83" s="479"/>
    </row>
    <row r="84" spans="3:14">
      <c r="C84" s="474"/>
      <c r="D84" s="152"/>
      <c r="E84" s="152"/>
      <c r="F84" s="475"/>
      <c r="G84" s="476"/>
      <c r="H84" s="477"/>
      <c r="I84" s="478"/>
      <c r="J84" s="478"/>
      <c r="K84" s="479"/>
      <c r="L84" s="479"/>
      <c r="M84" s="479"/>
      <c r="N84" s="479"/>
    </row>
    <row r="85" spans="3:14">
      <c r="C85" s="474"/>
      <c r="D85" s="152"/>
      <c r="E85" s="152"/>
      <c r="F85" s="475"/>
      <c r="G85" s="476"/>
      <c r="H85" s="477"/>
      <c r="I85" s="478"/>
      <c r="J85" s="478"/>
      <c r="K85" s="479"/>
      <c r="L85" s="479"/>
      <c r="M85" s="479"/>
      <c r="N85" s="479"/>
    </row>
    <row r="86" spans="3:14">
      <c r="C86" s="474"/>
      <c r="D86" s="152"/>
      <c r="E86" s="152"/>
      <c r="F86" s="475"/>
      <c r="G86" s="476"/>
      <c r="H86" s="477"/>
      <c r="I86" s="478"/>
      <c r="J86" s="478"/>
      <c r="K86" s="479"/>
      <c r="L86" s="479"/>
      <c r="M86" s="479"/>
      <c r="N86" s="479"/>
    </row>
    <row r="87" spans="3:14">
      <c r="C87" s="474"/>
      <c r="D87" s="152"/>
      <c r="E87" s="152"/>
      <c r="F87" s="475"/>
      <c r="G87" s="476"/>
      <c r="H87" s="477"/>
      <c r="I87" s="478"/>
      <c r="J87" s="478"/>
      <c r="K87" s="479"/>
      <c r="L87" s="479"/>
      <c r="M87" s="479"/>
      <c r="N87" s="479"/>
    </row>
    <row r="88" spans="3:14">
      <c r="C88" s="474"/>
      <c r="D88" s="152"/>
      <c r="E88" s="152"/>
      <c r="F88" s="475"/>
      <c r="G88" s="476"/>
      <c r="H88" s="477"/>
      <c r="I88" s="478"/>
      <c r="J88" s="478"/>
      <c r="K88" s="479"/>
      <c r="L88" s="479"/>
      <c r="M88" s="479"/>
      <c r="N88" s="479"/>
    </row>
    <row r="89" spans="3:14">
      <c r="C89" s="474"/>
      <c r="D89" s="152"/>
      <c r="E89" s="152"/>
      <c r="F89" s="475"/>
      <c r="G89" s="476"/>
      <c r="H89" s="477"/>
      <c r="I89" s="478"/>
      <c r="J89" s="478"/>
      <c r="K89" s="479"/>
      <c r="L89" s="479"/>
      <c r="M89" s="479"/>
      <c r="N89" s="479"/>
    </row>
  </sheetData>
  <phoneticPr fontId="18" type="noConversion"/>
  <conditionalFormatting sqref="I7:I22 I25:I58 I61:I64">
    <cfRule type="cellIs" dxfId="12" priority="3" operator="lessThan">
      <formula>4</formula>
    </cfRule>
  </conditionalFormatting>
  <conditionalFormatting sqref="I23:I24">
    <cfRule type="cellIs" dxfId="11" priority="2" operator="lessThan">
      <formula>4</formula>
    </cfRule>
  </conditionalFormatting>
  <conditionalFormatting sqref="I59:I60">
    <cfRule type="cellIs" dxfId="10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13"/>
  <dimension ref="A1"/>
  <sheetViews>
    <sheetView workbookViewId="0">
      <selection activeCell="P32" sqref="P32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14">
    <tabColor theme="4"/>
  </sheetPr>
  <dimension ref="A1:U32"/>
  <sheetViews>
    <sheetView view="pageBreakPreview" zoomScaleNormal="100" zoomScaleSheetLayoutView="100" workbookViewId="0">
      <selection activeCell="I3" sqref="I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25" style="3" customWidth="1"/>
    <col min="5" max="5" width="16.875" style="3" customWidth="1"/>
    <col min="6" max="6" width="5.7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2.625" style="21" customWidth="1"/>
    <col min="11" max="11" width="8.375" style="22" customWidth="1" outlineLevel="1"/>
    <col min="12" max="12" width="12.5" style="22" customWidth="1"/>
    <col min="13" max="13" width="6.25" style="22" customWidth="1"/>
    <col min="14" max="14" width="16.5" style="28" customWidth="1"/>
    <col min="15" max="15" width="9" style="9"/>
    <col min="21" max="21" width="22.62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B9</f>
        <v>paul</v>
      </c>
      <c r="J1" s="46" t="s">
        <v>29</v>
      </c>
      <c r="K1" s="14"/>
      <c r="L1" s="14"/>
      <c r="M1" s="14"/>
      <c r="N1" s="27"/>
      <c r="O1" s="19"/>
    </row>
    <row r="2" spans="1:21">
      <c r="D2" s="23"/>
      <c r="E2" s="29"/>
      <c r="F2" s="105" t="s">
        <v>28</v>
      </c>
      <c r="G2" s="106"/>
      <c r="H2" s="106"/>
      <c r="I2" s="107" t="s">
        <v>24</v>
      </c>
      <c r="J2" s="107" t="s">
        <v>84</v>
      </c>
      <c r="K2" s="108"/>
      <c r="L2" s="29" t="s">
        <v>85</v>
      </c>
      <c r="M2" s="110"/>
      <c r="N2" s="111" t="s">
        <v>27</v>
      </c>
    </row>
    <row r="3" spans="1:21" ht="17.25" thickBot="1">
      <c r="D3" s="24"/>
      <c r="E3" s="30"/>
      <c r="F3" s="25"/>
      <c r="G3" s="26"/>
      <c r="H3" s="26"/>
      <c r="I3" s="52">
        <f>L3+J3</f>
        <v>78.833333333333329</v>
      </c>
      <c r="J3" s="54">
        <f>I6+J6</f>
        <v>78.833333333333329</v>
      </c>
      <c r="K3" s="53"/>
      <c r="L3" s="189">
        <f>L6</f>
        <v>0</v>
      </c>
      <c r="M3" s="53"/>
      <c r="N3" s="50"/>
    </row>
    <row r="4" spans="1:21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5"/>
    </row>
    <row r="5" spans="1:21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 t="s">
        <v>83</v>
      </c>
      <c r="M5" s="119"/>
      <c r="N5" s="120"/>
    </row>
    <row r="6" spans="1:21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SUM(I7:I54)</f>
        <v>68.98333333333332</v>
      </c>
      <c r="J6" s="124">
        <f>SUM(J9:J54)</f>
        <v>9.8500000000000032</v>
      </c>
      <c r="K6" s="124"/>
      <c r="L6" s="124">
        <f>SUM(L7:L54)</f>
        <v>0</v>
      </c>
      <c r="M6" s="124">
        <f>SUM(M11:M27)</f>
        <v>0</v>
      </c>
      <c r="N6" s="45"/>
    </row>
    <row r="7" spans="1:21" s="446" customFormat="1">
      <c r="A7" s="632">
        <v>13468</v>
      </c>
      <c r="B7" s="632" t="s">
        <v>11</v>
      </c>
      <c r="C7" s="632" t="s">
        <v>11</v>
      </c>
      <c r="D7" s="632" t="s">
        <v>125</v>
      </c>
      <c r="E7" s="633">
        <v>43374.378923611112</v>
      </c>
      <c r="F7" s="638">
        <v>43374.378923611112</v>
      </c>
      <c r="G7" s="634">
        <v>0.37847222222222227</v>
      </c>
      <c r="H7" s="635">
        <v>8.3333333333333321</v>
      </c>
      <c r="I7" s="635">
        <v>6.8333333333333321</v>
      </c>
      <c r="J7" s="635">
        <v>1.1666666666666679</v>
      </c>
      <c r="K7" s="635"/>
      <c r="L7" s="635"/>
      <c r="M7" s="635"/>
      <c r="N7" s="635"/>
      <c r="O7" s="396"/>
      <c r="Q7" s="446">
        <v>7550</v>
      </c>
      <c r="R7" s="446" t="s">
        <v>11</v>
      </c>
      <c r="S7" s="446" t="s">
        <v>11</v>
      </c>
      <c r="T7" s="446" t="s">
        <v>6</v>
      </c>
      <c r="U7" s="447">
        <v>43112.591782407406</v>
      </c>
    </row>
    <row r="8" spans="1:21" s="446" customFormat="1">
      <c r="A8" s="632">
        <v>13470</v>
      </c>
      <c r="B8" s="632" t="s">
        <v>11</v>
      </c>
      <c r="C8" s="632" t="s">
        <v>11</v>
      </c>
      <c r="D8" s="632" t="s">
        <v>126</v>
      </c>
      <c r="E8" s="633">
        <v>43374.725740740738</v>
      </c>
      <c r="F8" s="638">
        <v>43374.725740740738</v>
      </c>
      <c r="G8" s="634">
        <v>0.72569444444444453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  <c r="O8" s="396"/>
      <c r="Q8" s="446">
        <v>7564</v>
      </c>
      <c r="R8" s="446" t="s">
        <v>11</v>
      </c>
      <c r="S8" s="446" t="s">
        <v>11</v>
      </c>
      <c r="T8" s="446" t="s">
        <v>5</v>
      </c>
      <c r="U8" s="447">
        <v>43112.792210648149</v>
      </c>
    </row>
    <row r="9" spans="1:21" s="16" customFormat="1">
      <c r="A9" s="632">
        <v>13496</v>
      </c>
      <c r="B9" s="632" t="s">
        <v>11</v>
      </c>
      <c r="C9" s="632" t="s">
        <v>11</v>
      </c>
      <c r="D9" s="632" t="s">
        <v>125</v>
      </c>
      <c r="E9" s="633">
        <v>43375.355520833335</v>
      </c>
      <c r="F9" s="638">
        <v>43375.355520833335</v>
      </c>
      <c r="G9" s="634">
        <v>0.35486111111111113</v>
      </c>
      <c r="H9" s="635">
        <v>7.5333333333333314</v>
      </c>
      <c r="I9" s="635">
        <v>6.0333333333333314</v>
      </c>
      <c r="J9" s="635">
        <v>1.9666666666666686</v>
      </c>
      <c r="K9" s="635"/>
      <c r="L9" s="635"/>
      <c r="M9" s="635"/>
      <c r="N9" s="635"/>
      <c r="O9" s="137"/>
      <c r="Q9" s="16">
        <v>7550</v>
      </c>
      <c r="R9" s="16" t="s">
        <v>11</v>
      </c>
      <c r="S9" s="16" t="s">
        <v>11</v>
      </c>
      <c r="T9" s="16" t="s">
        <v>6</v>
      </c>
      <c r="U9" s="385">
        <v>43112.591782407406</v>
      </c>
    </row>
    <row r="10" spans="1:21" s="16" customFormat="1">
      <c r="A10" s="632">
        <v>13506</v>
      </c>
      <c r="B10" s="632" t="s">
        <v>11</v>
      </c>
      <c r="C10" s="632" t="s">
        <v>11</v>
      </c>
      <c r="D10" s="632" t="s">
        <v>126</v>
      </c>
      <c r="E10" s="633">
        <v>43375.668819444443</v>
      </c>
      <c r="F10" s="638">
        <v>43375.668819444443</v>
      </c>
      <c r="G10" s="634">
        <v>0.66875000000000007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  <c r="O10" s="137"/>
      <c r="Q10" s="16">
        <v>7564</v>
      </c>
      <c r="R10" s="16" t="s">
        <v>11</v>
      </c>
      <c r="S10" s="16" t="s">
        <v>11</v>
      </c>
      <c r="T10" s="16" t="s">
        <v>5</v>
      </c>
      <c r="U10" s="385">
        <v>43112.792210648149</v>
      </c>
    </row>
    <row r="11" spans="1:21">
      <c r="A11" s="632">
        <v>13622</v>
      </c>
      <c r="B11" s="632" t="s">
        <v>11</v>
      </c>
      <c r="C11" s="632" t="s">
        <v>11</v>
      </c>
      <c r="D11" s="632" t="s">
        <v>125</v>
      </c>
      <c r="E11" s="633">
        <v>43381.384976851848</v>
      </c>
      <c r="F11" s="638">
        <v>43381.384976851848</v>
      </c>
      <c r="G11" s="634">
        <v>0.38472222222222219</v>
      </c>
      <c r="H11" s="635">
        <v>9.1166666666666654</v>
      </c>
      <c r="I11" s="635">
        <v>7.6166666666666654</v>
      </c>
      <c r="J11" s="635">
        <v>0.38333333333333464</v>
      </c>
      <c r="K11" s="635"/>
      <c r="L11" s="635"/>
      <c r="M11" s="635"/>
      <c r="N11" s="635"/>
    </row>
    <row r="12" spans="1:21">
      <c r="A12" s="632">
        <v>13626</v>
      </c>
      <c r="B12" s="632" t="s">
        <v>11</v>
      </c>
      <c r="C12" s="632" t="s">
        <v>11</v>
      </c>
      <c r="D12" s="632" t="s">
        <v>126</v>
      </c>
      <c r="E12" s="633">
        <v>43381.765023148146</v>
      </c>
      <c r="F12" s="638">
        <v>43381.765023148146</v>
      </c>
      <c r="G12" s="634">
        <v>0.76458333333333339</v>
      </c>
      <c r="H12" s="635" t="s">
        <v>115</v>
      </c>
      <c r="I12" s="635" t="s">
        <v>115</v>
      </c>
      <c r="J12" s="635" t="s">
        <v>115</v>
      </c>
      <c r="K12" s="635"/>
      <c r="L12" s="635"/>
      <c r="M12" s="635"/>
      <c r="N12" s="635"/>
    </row>
    <row r="13" spans="1:21">
      <c r="A13" s="632">
        <v>13648</v>
      </c>
      <c r="B13" s="632" t="s">
        <v>11</v>
      </c>
      <c r="C13" s="632" t="s">
        <v>11</v>
      </c>
      <c r="D13" s="632" t="s">
        <v>125</v>
      </c>
      <c r="E13" s="633">
        <v>43382.377442129633</v>
      </c>
      <c r="F13" s="638">
        <v>43382.377442129633</v>
      </c>
      <c r="G13" s="634">
        <v>0.37708333333333338</v>
      </c>
      <c r="H13" s="635">
        <v>7.8500000000000014</v>
      </c>
      <c r="I13" s="635">
        <v>6.3500000000000014</v>
      </c>
      <c r="J13" s="635">
        <v>1.6499999999999986</v>
      </c>
      <c r="K13" s="635"/>
      <c r="L13" s="635"/>
      <c r="M13" s="635"/>
      <c r="N13" s="635"/>
    </row>
    <row r="14" spans="1:21">
      <c r="A14" s="632">
        <v>13654</v>
      </c>
      <c r="B14" s="632" t="s">
        <v>11</v>
      </c>
      <c r="C14" s="632" t="s">
        <v>11</v>
      </c>
      <c r="D14" s="632" t="s">
        <v>126</v>
      </c>
      <c r="E14" s="633">
        <v>43382.704594907409</v>
      </c>
      <c r="F14" s="638">
        <v>43382.704594907409</v>
      </c>
      <c r="G14" s="634">
        <v>0.70416666666666661</v>
      </c>
      <c r="H14" s="635" t="s">
        <v>115</v>
      </c>
      <c r="I14" s="635" t="s">
        <v>115</v>
      </c>
      <c r="J14" s="635" t="s">
        <v>115</v>
      </c>
      <c r="K14" s="635"/>
      <c r="L14" s="635"/>
      <c r="M14" s="635"/>
      <c r="N14" s="635"/>
    </row>
    <row r="15" spans="1:21">
      <c r="A15" s="632">
        <v>13725</v>
      </c>
      <c r="B15" s="632" t="s">
        <v>11</v>
      </c>
      <c r="C15" s="632" t="s">
        <v>11</v>
      </c>
      <c r="D15" s="632" t="s">
        <v>125</v>
      </c>
      <c r="E15" s="633">
        <v>43388.371076388888</v>
      </c>
      <c r="F15" s="638">
        <v>43388.371076388888</v>
      </c>
      <c r="G15" s="634">
        <v>0.37083333333333335</v>
      </c>
      <c r="H15" s="635">
        <v>9.3333333333333321</v>
      </c>
      <c r="I15" s="635">
        <v>7.8333333333333321</v>
      </c>
      <c r="J15" s="635">
        <v>0.16666666666666785</v>
      </c>
      <c r="K15" s="635"/>
      <c r="L15" s="635"/>
      <c r="M15" s="635"/>
      <c r="N15" s="635"/>
    </row>
    <row r="16" spans="1:21">
      <c r="A16" s="632">
        <v>13731</v>
      </c>
      <c r="B16" s="632" t="s">
        <v>11</v>
      </c>
      <c r="C16" s="632" t="s">
        <v>11</v>
      </c>
      <c r="D16" s="632" t="s">
        <v>126</v>
      </c>
      <c r="E16" s="633">
        <v>43388.759733796294</v>
      </c>
      <c r="F16" s="638">
        <v>43388.759733796294</v>
      </c>
      <c r="G16" s="634">
        <v>0.7597222222222223</v>
      </c>
      <c r="H16" s="635" t="s">
        <v>115</v>
      </c>
      <c r="I16" s="635" t="s">
        <v>115</v>
      </c>
      <c r="J16" s="635" t="s">
        <v>115</v>
      </c>
      <c r="K16" s="635"/>
      <c r="L16" s="635"/>
      <c r="M16" s="635"/>
      <c r="N16" s="635"/>
    </row>
    <row r="17" spans="1:14">
      <c r="A17" s="632">
        <v>13754</v>
      </c>
      <c r="B17" s="632" t="s">
        <v>11</v>
      </c>
      <c r="C17" s="632" t="s">
        <v>11</v>
      </c>
      <c r="D17" s="632" t="s">
        <v>125</v>
      </c>
      <c r="E17" s="633">
        <v>43389.377615740741</v>
      </c>
      <c r="F17" s="638">
        <v>43389.377615740741</v>
      </c>
      <c r="G17" s="634">
        <v>0.37708333333333338</v>
      </c>
      <c r="H17" s="635">
        <v>9.0666666666666664</v>
      </c>
      <c r="I17" s="635">
        <v>7.5666666666666664</v>
      </c>
      <c r="J17" s="635">
        <v>0.43333333333333357</v>
      </c>
      <c r="K17" s="635"/>
      <c r="L17" s="635"/>
      <c r="M17" s="635"/>
      <c r="N17" s="635"/>
    </row>
    <row r="18" spans="1:14">
      <c r="A18" s="632">
        <v>13757</v>
      </c>
      <c r="B18" s="632" t="s">
        <v>11</v>
      </c>
      <c r="C18" s="632" t="s">
        <v>11</v>
      </c>
      <c r="D18" s="632" t="s">
        <v>126</v>
      </c>
      <c r="E18" s="633">
        <v>43389.755520833336</v>
      </c>
      <c r="F18" s="638">
        <v>43389.755520833336</v>
      </c>
      <c r="G18" s="634">
        <v>0.75486111111111109</v>
      </c>
      <c r="H18" s="635" t="s">
        <v>115</v>
      </c>
      <c r="I18" s="635" t="s">
        <v>115</v>
      </c>
      <c r="J18" s="635" t="s">
        <v>115</v>
      </c>
      <c r="K18" s="635"/>
      <c r="L18" s="635"/>
      <c r="M18" s="635"/>
      <c r="N18" s="635"/>
    </row>
    <row r="19" spans="1:14">
      <c r="A19" s="632">
        <v>13853</v>
      </c>
      <c r="B19" s="632" t="s">
        <v>11</v>
      </c>
      <c r="C19" s="632" t="s">
        <v>11</v>
      </c>
      <c r="D19" s="632" t="s">
        <v>125</v>
      </c>
      <c r="E19" s="633">
        <v>43395.380462962959</v>
      </c>
      <c r="F19" s="638">
        <v>43395.380462962959</v>
      </c>
      <c r="G19" s="634">
        <v>0.37986111111111115</v>
      </c>
      <c r="H19" s="635">
        <v>9.3666666666666671</v>
      </c>
      <c r="I19" s="635">
        <v>7.8666666666666671</v>
      </c>
      <c r="J19" s="635">
        <v>0.13333333333333286</v>
      </c>
      <c r="K19" s="635"/>
      <c r="L19" s="635"/>
      <c r="M19" s="635"/>
      <c r="N19" s="635"/>
    </row>
    <row r="20" spans="1:14">
      <c r="A20" s="632">
        <v>13856</v>
      </c>
      <c r="B20" s="632" t="s">
        <v>11</v>
      </c>
      <c r="C20" s="632" t="s">
        <v>11</v>
      </c>
      <c r="D20" s="632" t="s">
        <v>126</v>
      </c>
      <c r="E20" s="633">
        <v>43395.770462962966</v>
      </c>
      <c r="F20" s="638">
        <v>43395.770462962966</v>
      </c>
      <c r="G20" s="634">
        <v>0.77013888888888893</v>
      </c>
      <c r="H20" s="635" t="s">
        <v>115</v>
      </c>
      <c r="I20" s="635" t="s">
        <v>115</v>
      </c>
      <c r="J20" s="635" t="s">
        <v>115</v>
      </c>
      <c r="K20" s="635"/>
      <c r="L20" s="635"/>
      <c r="M20" s="635"/>
      <c r="N20" s="635"/>
    </row>
    <row r="21" spans="1:14">
      <c r="A21" s="632">
        <v>13886</v>
      </c>
      <c r="B21" s="632" t="s">
        <v>11</v>
      </c>
      <c r="C21" s="632" t="s">
        <v>11</v>
      </c>
      <c r="D21" s="632" t="s">
        <v>125</v>
      </c>
      <c r="E21" s="633">
        <v>43396.384641203702</v>
      </c>
      <c r="F21" s="638">
        <v>43396.384641203702</v>
      </c>
      <c r="G21" s="634">
        <v>0.3840277777777778</v>
      </c>
      <c r="H21" s="635">
        <v>7.2999999999999989</v>
      </c>
      <c r="I21" s="635">
        <v>5.7999999999999989</v>
      </c>
      <c r="J21" s="635">
        <v>2.2000000000000011</v>
      </c>
      <c r="K21" s="635"/>
      <c r="L21" s="635"/>
      <c r="M21" s="635"/>
      <c r="N21" s="635"/>
    </row>
    <row r="22" spans="1:14">
      <c r="A22" s="632">
        <v>13889</v>
      </c>
      <c r="B22" s="632" t="s">
        <v>11</v>
      </c>
      <c r="C22" s="632" t="s">
        <v>11</v>
      </c>
      <c r="D22" s="632" t="s">
        <v>126</v>
      </c>
      <c r="E22" s="633">
        <v>43396.688333333332</v>
      </c>
      <c r="F22" s="638">
        <v>43396.688333333332</v>
      </c>
      <c r="G22" s="634">
        <v>0.68819444444444444</v>
      </c>
      <c r="H22" s="635" t="s">
        <v>115</v>
      </c>
      <c r="I22" s="635" t="s">
        <v>115</v>
      </c>
      <c r="J22" s="635" t="s">
        <v>115</v>
      </c>
      <c r="K22" s="635"/>
      <c r="L22" s="635"/>
      <c r="M22" s="635"/>
      <c r="N22" s="635"/>
    </row>
    <row r="23" spans="1:14">
      <c r="A23" s="632">
        <v>13987</v>
      </c>
      <c r="B23" s="632" t="s">
        <v>11</v>
      </c>
      <c r="C23" s="632" t="s">
        <v>11</v>
      </c>
      <c r="D23" s="632" t="s">
        <v>125</v>
      </c>
      <c r="E23" s="633">
        <v>43402.392025462963</v>
      </c>
      <c r="F23" s="638">
        <v>43402.392025462963</v>
      </c>
      <c r="G23" s="634">
        <v>0.39166666666666666</v>
      </c>
      <c r="H23" s="635">
        <v>7.0166666666666675</v>
      </c>
      <c r="I23" s="635">
        <v>5.5166666666666675</v>
      </c>
      <c r="J23" s="635">
        <v>2.4833333333333325</v>
      </c>
      <c r="K23" s="635"/>
      <c r="L23" s="635"/>
      <c r="M23" s="635"/>
      <c r="N23" s="635"/>
    </row>
    <row r="24" spans="1:14">
      <c r="A24" s="632">
        <v>13989</v>
      </c>
      <c r="B24" s="632" t="s">
        <v>11</v>
      </c>
      <c r="C24" s="632" t="s">
        <v>11</v>
      </c>
      <c r="D24" s="632" t="s">
        <v>126</v>
      </c>
      <c r="E24" s="633">
        <v>43402.684328703705</v>
      </c>
      <c r="F24" s="638">
        <v>43402.684328703705</v>
      </c>
      <c r="G24" s="634">
        <v>0.68402777777777779</v>
      </c>
      <c r="H24" s="635" t="s">
        <v>115</v>
      </c>
      <c r="I24" s="635" t="s">
        <v>115</v>
      </c>
      <c r="J24" s="635" t="s">
        <v>115</v>
      </c>
      <c r="K24" s="635"/>
      <c r="L24" s="635"/>
      <c r="M24" s="635"/>
      <c r="N24" s="635"/>
    </row>
    <row r="25" spans="1:14">
      <c r="A25" s="632">
        <v>14011</v>
      </c>
      <c r="B25" s="632" t="s">
        <v>11</v>
      </c>
      <c r="C25" s="632" t="s">
        <v>11</v>
      </c>
      <c r="D25" s="632" t="s">
        <v>125</v>
      </c>
      <c r="E25" s="633">
        <v>43403.367615740739</v>
      </c>
      <c r="F25" s="638">
        <v>43403.367615740739</v>
      </c>
      <c r="G25" s="634">
        <v>0.36736111111111108</v>
      </c>
      <c r="H25" s="635">
        <v>9.0666666666666664</v>
      </c>
      <c r="I25" s="635">
        <v>7.5666666666666664</v>
      </c>
      <c r="J25" s="635">
        <v>0.43333333333333357</v>
      </c>
      <c r="K25" s="635"/>
      <c r="L25" s="635"/>
      <c r="M25" s="635"/>
      <c r="N25" s="635"/>
    </row>
    <row r="26" spans="1:14">
      <c r="A26" s="632">
        <v>14018</v>
      </c>
      <c r="B26" s="632" t="s">
        <v>11</v>
      </c>
      <c r="C26" s="632" t="s">
        <v>11</v>
      </c>
      <c r="D26" s="632" t="s">
        <v>126</v>
      </c>
      <c r="E26" s="633">
        <v>43403.745578703703</v>
      </c>
      <c r="F26" s="638">
        <v>43403.745578703703</v>
      </c>
      <c r="G26" s="634">
        <v>0.74513888888888891</v>
      </c>
      <c r="H26" s="635" t="s">
        <v>115</v>
      </c>
      <c r="I26" s="635" t="s">
        <v>115</v>
      </c>
      <c r="J26" s="635" t="s">
        <v>115</v>
      </c>
      <c r="K26" s="635"/>
      <c r="L26" s="635"/>
      <c r="M26" s="635"/>
      <c r="N26" s="635"/>
    </row>
    <row r="27" spans="1:14">
      <c r="A27" s="596"/>
      <c r="B27" s="596"/>
      <c r="C27" s="596"/>
      <c r="D27" s="596"/>
      <c r="E27" s="597"/>
      <c r="F27" s="600"/>
      <c r="G27" s="598"/>
      <c r="H27" s="599"/>
      <c r="I27" s="599"/>
      <c r="J27" s="599"/>
      <c r="K27" s="599"/>
      <c r="L27" s="599"/>
      <c r="M27" s="601"/>
      <c r="N27" s="601"/>
    </row>
    <row r="28" spans="1:14">
      <c r="A28" s="596"/>
      <c r="B28" s="596"/>
      <c r="C28" s="596"/>
      <c r="D28" s="596"/>
      <c r="E28" s="597"/>
      <c r="F28" s="600"/>
      <c r="G28" s="598"/>
      <c r="H28" s="599"/>
      <c r="I28" s="599"/>
      <c r="J28" s="599"/>
      <c r="K28" s="599"/>
      <c r="L28" s="599"/>
      <c r="M28" s="601"/>
      <c r="N28" s="601"/>
    </row>
    <row r="29" spans="1:14">
      <c r="A29" s="596"/>
      <c r="B29" s="596"/>
      <c r="C29" s="596"/>
      <c r="D29" s="596"/>
      <c r="E29" s="597"/>
      <c r="F29" s="600"/>
      <c r="G29" s="598"/>
      <c r="H29" s="599"/>
      <c r="I29" s="599"/>
      <c r="J29" s="599"/>
      <c r="K29" s="599"/>
      <c r="L29" s="599"/>
      <c r="M29" s="601"/>
      <c r="N29" s="601"/>
    </row>
    <row r="30" spans="1:14">
      <c r="A30" s="596"/>
      <c r="B30" s="596"/>
      <c r="C30" s="596"/>
      <c r="D30" s="596"/>
      <c r="E30" s="597"/>
      <c r="F30" s="600"/>
      <c r="G30" s="598"/>
      <c r="H30" s="599"/>
      <c r="I30" s="599"/>
      <c r="J30" s="599"/>
      <c r="K30" s="599"/>
      <c r="L30" s="599"/>
      <c r="M30" s="601"/>
      <c r="N30" s="601"/>
    </row>
    <row r="31" spans="1:14">
      <c r="A31" s="596"/>
      <c r="B31" s="596"/>
      <c r="C31" s="596"/>
      <c r="D31" s="596"/>
      <c r="E31" s="597"/>
      <c r="F31" s="600"/>
      <c r="G31" s="598"/>
      <c r="H31" s="599"/>
      <c r="I31" s="599"/>
      <c r="J31" s="599"/>
      <c r="K31" s="599"/>
      <c r="L31" s="599"/>
      <c r="M31" s="601"/>
      <c r="N31" s="601"/>
    </row>
    <row r="32" spans="1:14">
      <c r="A32" s="596"/>
      <c r="B32" s="596"/>
      <c r="C32" s="596"/>
      <c r="D32" s="596"/>
      <c r="E32" s="597"/>
      <c r="F32" s="600"/>
      <c r="G32" s="598"/>
      <c r="H32" s="599"/>
      <c r="I32" s="599"/>
      <c r="J32" s="599"/>
      <c r="K32" s="599"/>
      <c r="L32" s="599"/>
      <c r="M32" s="601"/>
      <c r="N32" s="601"/>
    </row>
  </sheetData>
  <phoneticPr fontId="18" type="noConversion"/>
  <conditionalFormatting sqref="I27:I32">
    <cfRule type="cellIs" dxfId="9" priority="5" operator="lessThan">
      <formula>4</formula>
    </cfRule>
  </conditionalFormatting>
  <conditionalFormatting sqref="I7:I26">
    <cfRule type="cellIs" dxfId="8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工作表15">
    <tabColor theme="4"/>
  </sheetPr>
  <dimension ref="A1:O52"/>
  <sheetViews>
    <sheetView view="pageBreakPreview" topLeftCell="A16" zoomScaleNormal="100" zoomScaleSheetLayoutView="100" workbookViewId="0">
      <selection activeCell="K29" sqref="K29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5.7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.125" style="22" customWidth="1"/>
    <col min="13" max="13" width="18.75" style="28" customWidth="1"/>
    <col min="14" max="14" width="9" style="9"/>
  </cols>
  <sheetData>
    <row r="1" spans="1:15" s="4" customFormat="1" ht="28.5" thickBot="1">
      <c r="C1" s="5"/>
      <c r="D1" s="6"/>
      <c r="E1" s="6"/>
      <c r="F1" s="10"/>
      <c r="G1" s="11"/>
      <c r="H1" s="12"/>
      <c r="I1" s="13" t="str">
        <f>B7</f>
        <v>WILLY</v>
      </c>
      <c r="J1" s="46" t="s">
        <v>29</v>
      </c>
      <c r="K1" s="14"/>
      <c r="L1" s="14"/>
      <c r="M1" s="27"/>
      <c r="N1" s="19"/>
    </row>
    <row r="2" spans="1:15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5" ht="17.25" thickBot="1">
      <c r="D3" s="24"/>
      <c r="E3" s="30"/>
      <c r="F3" s="25"/>
      <c r="G3" s="26"/>
      <c r="H3" s="26"/>
      <c r="I3" s="52">
        <f>I6+J6+L6</f>
        <v>39</v>
      </c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 t="s">
        <v>20</v>
      </c>
      <c r="J4" s="114" t="s">
        <v>101</v>
      </c>
      <c r="K4" s="114" t="s">
        <v>97</v>
      </c>
      <c r="L4" s="114" t="s">
        <v>98</v>
      </c>
      <c r="M4" s="115"/>
    </row>
    <row r="5" spans="1:15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5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SUM(I7:I200)</f>
        <v>39</v>
      </c>
      <c r="J6" s="124">
        <f>SUM(J7:J200)</f>
        <v>0</v>
      </c>
      <c r="K6" s="124">
        <f>SUM(K7:K200)</f>
        <v>0</v>
      </c>
      <c r="L6" s="124">
        <f>SUM(L7:L200)</f>
        <v>0</v>
      </c>
      <c r="M6" s="45"/>
    </row>
    <row r="7" spans="1:15" s="63" customFormat="1">
      <c r="A7" s="632">
        <v>13462</v>
      </c>
      <c r="B7" s="632" t="s">
        <v>154</v>
      </c>
      <c r="C7" s="632" t="s">
        <v>88</v>
      </c>
      <c r="D7" s="632" t="s">
        <v>125</v>
      </c>
      <c r="E7" s="633">
        <v>43374.368460648147</v>
      </c>
      <c r="F7" s="638">
        <v>43374.368460648147</v>
      </c>
      <c r="G7" s="634">
        <v>0.36805555555555558</v>
      </c>
      <c r="H7" s="635">
        <v>3.1999999999999993</v>
      </c>
      <c r="I7" s="635">
        <v>3</v>
      </c>
      <c r="J7" s="635"/>
      <c r="K7" s="635"/>
      <c r="L7" s="635"/>
      <c r="M7" s="635"/>
      <c r="N7" s="635"/>
      <c r="O7" s="630"/>
    </row>
    <row r="8" spans="1:15">
      <c r="A8" s="632">
        <v>13469</v>
      </c>
      <c r="B8" s="632" t="s">
        <v>88</v>
      </c>
      <c r="C8" s="632" t="s">
        <v>88</v>
      </c>
      <c r="D8" s="632" t="s">
        <v>126</v>
      </c>
      <c r="E8" s="633">
        <v>43374.501689814817</v>
      </c>
      <c r="F8" s="638">
        <v>43374.501689814817</v>
      </c>
      <c r="G8" s="634">
        <v>0.50138888888888888</v>
      </c>
      <c r="H8" s="635" t="s">
        <v>115</v>
      </c>
      <c r="I8" s="635" t="s">
        <v>115</v>
      </c>
      <c r="J8" s="635"/>
      <c r="K8" s="635"/>
      <c r="L8" s="635"/>
      <c r="M8" s="635"/>
      <c r="N8" s="635"/>
      <c r="O8" s="630"/>
    </row>
    <row r="9" spans="1:15" s="63" customFormat="1">
      <c r="A9" s="632">
        <v>13504</v>
      </c>
      <c r="B9" s="632" t="s">
        <v>88</v>
      </c>
      <c r="C9" s="632" t="s">
        <v>88</v>
      </c>
      <c r="D9" s="632" t="s">
        <v>125</v>
      </c>
      <c r="E9" s="633">
        <v>43375.375520833331</v>
      </c>
      <c r="F9" s="638">
        <v>43375.375520833331</v>
      </c>
      <c r="G9" s="634">
        <v>0.375</v>
      </c>
      <c r="H9" s="635">
        <v>3.8666666666666663</v>
      </c>
      <c r="I9" s="635">
        <v>3</v>
      </c>
      <c r="J9" s="635"/>
      <c r="K9" s="635"/>
      <c r="L9" s="635"/>
      <c r="M9" s="635"/>
      <c r="N9" s="635"/>
      <c r="O9" s="630"/>
    </row>
    <row r="10" spans="1:15">
      <c r="A10" s="632">
        <v>13505</v>
      </c>
      <c r="B10" s="632" t="s">
        <v>88</v>
      </c>
      <c r="C10" s="632" t="s">
        <v>88</v>
      </c>
      <c r="D10" s="632" t="s">
        <v>126</v>
      </c>
      <c r="E10" s="633">
        <v>43375.536574074074</v>
      </c>
      <c r="F10" s="638">
        <v>43375.536574074074</v>
      </c>
      <c r="G10" s="634">
        <v>0.53611111111111109</v>
      </c>
      <c r="H10" s="635" t="s">
        <v>115</v>
      </c>
      <c r="I10" s="635" t="s">
        <v>115</v>
      </c>
      <c r="J10" s="635"/>
      <c r="K10" s="635"/>
      <c r="L10" s="635"/>
      <c r="M10" s="635"/>
      <c r="N10" s="635"/>
      <c r="O10" s="630"/>
    </row>
    <row r="11" spans="1:15">
      <c r="A11" s="632">
        <v>13590</v>
      </c>
      <c r="B11" s="632" t="s">
        <v>88</v>
      </c>
      <c r="C11" s="632" t="s">
        <v>88</v>
      </c>
      <c r="D11" s="632" t="s">
        <v>125</v>
      </c>
      <c r="E11" s="633">
        <v>43378.371261574073</v>
      </c>
      <c r="F11" s="638">
        <v>43378.371261574073</v>
      </c>
      <c r="G11" s="634">
        <v>0.37083333333333335</v>
      </c>
      <c r="H11" s="635">
        <v>4.2333333333333343</v>
      </c>
      <c r="I11" s="635">
        <v>3</v>
      </c>
      <c r="J11" s="635"/>
      <c r="K11" s="635"/>
      <c r="L11" s="635"/>
      <c r="M11" s="635"/>
      <c r="N11" s="635"/>
      <c r="O11" s="630"/>
    </row>
    <row r="12" spans="1:15">
      <c r="A12" s="632">
        <v>13593</v>
      </c>
      <c r="B12" s="632" t="s">
        <v>88</v>
      </c>
      <c r="C12" s="632" t="s">
        <v>88</v>
      </c>
      <c r="D12" s="632" t="s">
        <v>126</v>
      </c>
      <c r="E12" s="633">
        <v>43378.547893518517</v>
      </c>
      <c r="F12" s="638">
        <v>43378.547893518517</v>
      </c>
      <c r="G12" s="634">
        <v>0.54722222222222217</v>
      </c>
      <c r="H12" s="635" t="s">
        <v>115</v>
      </c>
      <c r="I12" s="635" t="s">
        <v>115</v>
      </c>
      <c r="J12" s="635"/>
      <c r="K12" s="635"/>
      <c r="L12" s="635"/>
      <c r="M12" s="635"/>
      <c r="N12" s="635"/>
      <c r="O12" s="630"/>
    </row>
    <row r="13" spans="1:15">
      <c r="A13" s="632">
        <v>13621</v>
      </c>
      <c r="B13" s="632" t="s">
        <v>88</v>
      </c>
      <c r="C13" s="632" t="s">
        <v>88</v>
      </c>
      <c r="D13" s="632" t="s">
        <v>125</v>
      </c>
      <c r="E13" s="633">
        <v>43381.374178240738</v>
      </c>
      <c r="F13" s="638">
        <v>43381.374178240738</v>
      </c>
      <c r="G13" s="634">
        <v>0.37361111111111112</v>
      </c>
      <c r="H13" s="635">
        <v>3.1666666666666661</v>
      </c>
      <c r="I13" s="635">
        <v>3</v>
      </c>
      <c r="J13" s="635"/>
      <c r="K13" s="635"/>
      <c r="L13" s="635"/>
      <c r="M13" s="635"/>
      <c r="N13" s="635"/>
      <c r="O13" s="630"/>
    </row>
    <row r="14" spans="1:15">
      <c r="A14" s="632">
        <v>13623</v>
      </c>
      <c r="B14" s="632" t="s">
        <v>88</v>
      </c>
      <c r="C14" s="632" t="s">
        <v>88</v>
      </c>
      <c r="D14" s="632" t="s">
        <v>126</v>
      </c>
      <c r="E14" s="633">
        <v>43381.505902777775</v>
      </c>
      <c r="F14" s="638">
        <v>43381.505902777775</v>
      </c>
      <c r="G14" s="634">
        <v>0.50555555555555554</v>
      </c>
      <c r="H14" s="635" t="s">
        <v>115</v>
      </c>
      <c r="I14" s="635" t="s">
        <v>115</v>
      </c>
      <c r="J14" s="635"/>
      <c r="K14" s="635"/>
      <c r="L14" s="635"/>
      <c r="M14" s="635"/>
      <c r="N14" s="635"/>
      <c r="O14" s="630"/>
    </row>
    <row r="15" spans="1:15">
      <c r="A15" s="632">
        <v>13646</v>
      </c>
      <c r="B15" s="632" t="s">
        <v>88</v>
      </c>
      <c r="C15" s="632" t="s">
        <v>88</v>
      </c>
      <c r="D15" s="632" t="s">
        <v>125</v>
      </c>
      <c r="E15" s="633">
        <v>43382.371064814812</v>
      </c>
      <c r="F15" s="638">
        <v>43382.371064814812</v>
      </c>
      <c r="G15" s="634">
        <v>0.37083333333333335</v>
      </c>
      <c r="H15" s="635">
        <v>3.1499999999999995</v>
      </c>
      <c r="I15" s="635">
        <v>3</v>
      </c>
      <c r="J15" s="635"/>
      <c r="K15" s="635"/>
      <c r="L15" s="635"/>
      <c r="M15" s="635"/>
      <c r="N15" s="635"/>
      <c r="O15" s="630"/>
    </row>
    <row r="16" spans="1:15">
      <c r="A16" s="632">
        <v>13650</v>
      </c>
      <c r="B16" s="632" t="s">
        <v>88</v>
      </c>
      <c r="C16" s="632" t="s">
        <v>88</v>
      </c>
      <c r="D16" s="632" t="s">
        <v>126</v>
      </c>
      <c r="E16" s="633">
        <v>43382.502627314818</v>
      </c>
      <c r="F16" s="638">
        <v>43382.502627314818</v>
      </c>
      <c r="G16" s="634">
        <v>0.50208333333333333</v>
      </c>
      <c r="H16" s="635" t="s">
        <v>115</v>
      </c>
      <c r="I16" s="635" t="s">
        <v>115</v>
      </c>
      <c r="J16" s="635"/>
      <c r="K16" s="635"/>
      <c r="L16" s="635"/>
      <c r="M16" s="635"/>
      <c r="N16" s="635"/>
      <c r="O16" s="630"/>
    </row>
    <row r="17" spans="1:15">
      <c r="A17" s="632">
        <v>13696</v>
      </c>
      <c r="B17" s="632" t="s">
        <v>88</v>
      </c>
      <c r="C17" s="632" t="s">
        <v>88</v>
      </c>
      <c r="D17" s="632" t="s">
        <v>125</v>
      </c>
      <c r="E17" s="633">
        <v>43385.367384259262</v>
      </c>
      <c r="F17" s="638">
        <v>43385.367384259262</v>
      </c>
      <c r="G17" s="634">
        <v>0.36736111111111108</v>
      </c>
      <c r="H17" s="635">
        <v>3.549999999999998</v>
      </c>
      <c r="I17" s="635">
        <v>3</v>
      </c>
      <c r="J17" s="635"/>
      <c r="K17" s="635"/>
      <c r="L17" s="635"/>
      <c r="M17" s="635"/>
      <c r="N17" s="635"/>
      <c r="O17" s="630"/>
    </row>
    <row r="18" spans="1:15">
      <c r="A18" s="632">
        <v>13701</v>
      </c>
      <c r="B18" s="632" t="s">
        <v>88</v>
      </c>
      <c r="C18" s="632" t="s">
        <v>88</v>
      </c>
      <c r="D18" s="632" t="s">
        <v>126</v>
      </c>
      <c r="E18" s="633">
        <v>43385.515810185185</v>
      </c>
      <c r="F18" s="638">
        <v>43385.515810185185</v>
      </c>
      <c r="G18" s="634">
        <v>0.51527777777777783</v>
      </c>
      <c r="H18" s="635" t="s">
        <v>115</v>
      </c>
      <c r="I18" s="635" t="s">
        <v>115</v>
      </c>
      <c r="J18" s="635"/>
      <c r="K18" s="635"/>
      <c r="L18" s="635"/>
      <c r="M18" s="635"/>
      <c r="N18" s="635"/>
      <c r="O18" s="630"/>
    </row>
    <row r="19" spans="1:15">
      <c r="A19" s="632">
        <v>13726</v>
      </c>
      <c r="B19" s="632" t="s">
        <v>88</v>
      </c>
      <c r="C19" s="632" t="s">
        <v>88</v>
      </c>
      <c r="D19" s="632" t="s">
        <v>125</v>
      </c>
      <c r="E19" s="633">
        <v>43388.37228009259</v>
      </c>
      <c r="F19" s="638">
        <v>43388.37228009259</v>
      </c>
      <c r="G19" s="634">
        <v>0.37222222222222223</v>
      </c>
      <c r="H19" s="635">
        <v>3.5500000000000007</v>
      </c>
      <c r="I19" s="635">
        <v>3</v>
      </c>
      <c r="J19" s="635"/>
      <c r="K19" s="635"/>
      <c r="L19" s="635"/>
      <c r="M19" s="635"/>
      <c r="N19" s="635"/>
      <c r="O19" s="628"/>
    </row>
    <row r="20" spans="1:15">
      <c r="A20" s="632">
        <v>13729</v>
      </c>
      <c r="B20" s="632" t="s">
        <v>88</v>
      </c>
      <c r="C20" s="632" t="s">
        <v>88</v>
      </c>
      <c r="D20" s="632" t="s">
        <v>126</v>
      </c>
      <c r="E20" s="633">
        <v>43388.520497685182</v>
      </c>
      <c r="F20" s="638">
        <v>43388.520497685182</v>
      </c>
      <c r="G20" s="634">
        <v>0.52013888888888882</v>
      </c>
      <c r="H20" s="635" t="s">
        <v>115</v>
      </c>
      <c r="I20" s="635" t="s">
        <v>115</v>
      </c>
      <c r="J20" s="635"/>
      <c r="K20" s="635"/>
      <c r="L20" s="635"/>
      <c r="M20" s="635"/>
      <c r="N20" s="635"/>
      <c r="O20" s="628"/>
    </row>
    <row r="21" spans="1:15">
      <c r="A21" s="632">
        <v>13753</v>
      </c>
      <c r="B21" s="632" t="s">
        <v>88</v>
      </c>
      <c r="C21" s="632" t="s">
        <v>88</v>
      </c>
      <c r="D21" s="632" t="s">
        <v>125</v>
      </c>
      <c r="E21" s="633">
        <v>43389.371435185189</v>
      </c>
      <c r="F21" s="638">
        <v>43389.371435185189</v>
      </c>
      <c r="G21" s="634">
        <v>0.37083333333333335</v>
      </c>
      <c r="H21" s="635">
        <v>3.1666666666666661</v>
      </c>
      <c r="I21" s="635">
        <v>3</v>
      </c>
      <c r="J21" s="635"/>
      <c r="K21" s="635"/>
      <c r="L21" s="635"/>
      <c r="M21" s="635"/>
      <c r="N21" s="635"/>
      <c r="O21" s="630"/>
    </row>
    <row r="22" spans="1:15">
      <c r="A22" s="632">
        <v>13755</v>
      </c>
      <c r="B22" s="632" t="s">
        <v>88</v>
      </c>
      <c r="C22" s="632" t="s">
        <v>88</v>
      </c>
      <c r="D22" s="632" t="s">
        <v>126</v>
      </c>
      <c r="E22" s="633">
        <v>43389.503275462965</v>
      </c>
      <c r="F22" s="638">
        <v>43389.503275462965</v>
      </c>
      <c r="G22" s="634">
        <v>0.50277777777777777</v>
      </c>
      <c r="H22" s="635" t="s">
        <v>115</v>
      </c>
      <c r="I22" s="635" t="s">
        <v>115</v>
      </c>
      <c r="J22" s="635"/>
      <c r="K22" s="635"/>
      <c r="L22" s="635"/>
      <c r="M22" s="635"/>
      <c r="N22" s="635"/>
      <c r="O22" s="630"/>
    </row>
    <row r="23" spans="1:15">
      <c r="A23" s="632">
        <v>13834</v>
      </c>
      <c r="B23" s="632" t="s">
        <v>88</v>
      </c>
      <c r="C23" s="632" t="s">
        <v>88</v>
      </c>
      <c r="D23" s="632" t="s">
        <v>125</v>
      </c>
      <c r="E23" s="633">
        <v>43392.374618055554</v>
      </c>
      <c r="F23" s="638">
        <v>43392.374618055554</v>
      </c>
      <c r="G23" s="634">
        <v>0.3743055555555555</v>
      </c>
      <c r="H23" s="635">
        <v>3.1833333333333327</v>
      </c>
      <c r="I23" s="635">
        <v>3</v>
      </c>
      <c r="J23" s="635"/>
      <c r="K23" s="635"/>
      <c r="L23" s="635"/>
      <c r="M23" s="635"/>
      <c r="N23" s="635"/>
      <c r="O23" s="630"/>
    </row>
    <row r="24" spans="1:15">
      <c r="A24" s="632">
        <v>13835</v>
      </c>
      <c r="B24" s="632" t="s">
        <v>88</v>
      </c>
      <c r="C24" s="632" t="s">
        <v>88</v>
      </c>
      <c r="D24" s="632" t="s">
        <v>126</v>
      </c>
      <c r="E24" s="633">
        <v>43392.507337962961</v>
      </c>
      <c r="F24" s="638">
        <v>43392.507337962961</v>
      </c>
      <c r="G24" s="634">
        <v>0.50694444444444442</v>
      </c>
      <c r="H24" s="635" t="s">
        <v>115</v>
      </c>
      <c r="I24" s="635" t="s">
        <v>115</v>
      </c>
      <c r="J24" s="635"/>
      <c r="K24" s="635"/>
      <c r="L24" s="635"/>
      <c r="M24" s="635"/>
      <c r="N24" s="635"/>
      <c r="O24" s="630"/>
    </row>
    <row r="25" spans="1:15">
      <c r="A25" s="632">
        <v>13851</v>
      </c>
      <c r="B25" s="632" t="s">
        <v>88</v>
      </c>
      <c r="C25" s="632" t="s">
        <v>88</v>
      </c>
      <c r="D25" s="632" t="s">
        <v>125</v>
      </c>
      <c r="E25" s="633">
        <v>43395.371701388889</v>
      </c>
      <c r="F25" s="638">
        <v>43395.371701388889</v>
      </c>
      <c r="G25" s="634">
        <v>0.37152777777777773</v>
      </c>
      <c r="H25" s="635">
        <v>3.2333333333333325</v>
      </c>
      <c r="I25" s="635">
        <v>3</v>
      </c>
      <c r="J25" s="635"/>
      <c r="K25" s="635"/>
      <c r="L25" s="635"/>
      <c r="M25" s="635"/>
      <c r="N25" s="635"/>
      <c r="O25" s="630"/>
    </row>
    <row r="26" spans="1:15">
      <c r="A26" s="632">
        <v>13854</v>
      </c>
      <c r="B26" s="632" t="s">
        <v>88</v>
      </c>
      <c r="C26" s="632" t="s">
        <v>88</v>
      </c>
      <c r="D26" s="632" t="s">
        <v>126</v>
      </c>
      <c r="E26" s="633">
        <v>43395.506793981483</v>
      </c>
      <c r="F26" s="638">
        <v>43395.506793981483</v>
      </c>
      <c r="G26" s="634">
        <v>0.50624999999999998</v>
      </c>
      <c r="H26" s="635" t="s">
        <v>115</v>
      </c>
      <c r="I26" s="635" t="s">
        <v>115</v>
      </c>
      <c r="J26" s="635"/>
      <c r="K26" s="635"/>
      <c r="L26" s="635"/>
      <c r="M26" s="635"/>
      <c r="N26" s="635"/>
      <c r="O26" s="630"/>
    </row>
    <row r="27" spans="1:15">
      <c r="A27" s="632">
        <v>13883</v>
      </c>
      <c r="B27" s="632" t="s">
        <v>88</v>
      </c>
      <c r="C27" s="632" t="s">
        <v>88</v>
      </c>
      <c r="D27" s="632" t="s">
        <v>125</v>
      </c>
      <c r="E27" s="633">
        <v>43396.370636574073</v>
      </c>
      <c r="F27" s="638">
        <v>43396.370636574073</v>
      </c>
      <c r="G27" s="634">
        <v>0.37013888888888885</v>
      </c>
      <c r="H27" s="635">
        <v>3.5833333333333339</v>
      </c>
      <c r="I27" s="635">
        <v>3</v>
      </c>
      <c r="J27" s="635"/>
      <c r="K27" s="635"/>
      <c r="L27" s="635"/>
      <c r="M27" s="635"/>
      <c r="N27" s="635"/>
      <c r="O27" s="630"/>
    </row>
    <row r="28" spans="1:15">
      <c r="A28" s="632">
        <v>13887</v>
      </c>
      <c r="B28" s="632" t="s">
        <v>88</v>
      </c>
      <c r="C28" s="632" t="s">
        <v>88</v>
      </c>
      <c r="D28" s="632" t="s">
        <v>126</v>
      </c>
      <c r="E28" s="633">
        <v>43396.52</v>
      </c>
      <c r="F28" s="638">
        <v>43396.52</v>
      </c>
      <c r="G28" s="634">
        <v>0.51944444444444449</v>
      </c>
      <c r="H28" s="635" t="s">
        <v>115</v>
      </c>
      <c r="I28" s="635" t="s">
        <v>115</v>
      </c>
      <c r="J28" s="635"/>
      <c r="K28" s="635"/>
      <c r="L28" s="635"/>
      <c r="M28" s="635"/>
      <c r="N28" s="635"/>
      <c r="O28" s="630"/>
    </row>
    <row r="29" spans="1:15">
      <c r="A29" s="632">
        <v>13986</v>
      </c>
      <c r="B29" s="632" t="s">
        <v>88</v>
      </c>
      <c r="C29" s="632" t="s">
        <v>88</v>
      </c>
      <c r="D29" s="632" t="s">
        <v>125</v>
      </c>
      <c r="E29" s="633">
        <v>43402.372094907405</v>
      </c>
      <c r="F29" s="638">
        <v>43402.372094907405</v>
      </c>
      <c r="G29" s="634">
        <v>0.37152777777777773</v>
      </c>
      <c r="H29" s="635">
        <v>3.4166666666666652</v>
      </c>
      <c r="I29" s="635">
        <v>3</v>
      </c>
      <c r="J29" s="635"/>
      <c r="K29" s="635"/>
      <c r="L29" s="635"/>
      <c r="M29" s="635"/>
      <c r="N29" s="635"/>
      <c r="O29" s="630"/>
    </row>
    <row r="30" spans="1:15">
      <c r="A30" s="632">
        <v>13988</v>
      </c>
      <c r="B30" s="632" t="s">
        <v>88</v>
      </c>
      <c r="C30" s="632" t="s">
        <v>88</v>
      </c>
      <c r="D30" s="632" t="s">
        <v>126</v>
      </c>
      <c r="E30" s="633">
        <v>43402.513981481483</v>
      </c>
      <c r="F30" s="638">
        <v>43402.513981481483</v>
      </c>
      <c r="G30" s="634">
        <v>0.51388888888888895</v>
      </c>
      <c r="H30" s="635" t="s">
        <v>115</v>
      </c>
      <c r="I30" s="635" t="s">
        <v>115</v>
      </c>
      <c r="J30" s="635"/>
      <c r="K30" s="635"/>
      <c r="L30" s="635"/>
      <c r="M30" s="635"/>
      <c r="N30" s="635"/>
      <c r="O30" s="630"/>
    </row>
    <row r="31" spans="1:15">
      <c r="A31" s="632">
        <v>14016</v>
      </c>
      <c r="B31" s="632" t="s">
        <v>88</v>
      </c>
      <c r="C31" s="632" t="s">
        <v>88</v>
      </c>
      <c r="D31" s="632" t="s">
        <v>125</v>
      </c>
      <c r="E31" s="633">
        <v>43403.371979166666</v>
      </c>
      <c r="F31" s="638">
        <v>43403.371979166666</v>
      </c>
      <c r="G31" s="634">
        <v>0.37152777777777773</v>
      </c>
      <c r="H31" s="635">
        <v>3.2499999999999991</v>
      </c>
      <c r="I31" s="635">
        <v>3</v>
      </c>
      <c r="J31" s="635"/>
      <c r="K31" s="635"/>
      <c r="L31" s="635"/>
      <c r="M31" s="635"/>
      <c r="N31" s="635"/>
      <c r="O31" s="630"/>
    </row>
    <row r="32" spans="1:15">
      <c r="A32" s="632">
        <v>14017</v>
      </c>
      <c r="B32" s="632" t="s">
        <v>88</v>
      </c>
      <c r="C32" s="632" t="s">
        <v>88</v>
      </c>
      <c r="D32" s="632" t="s">
        <v>126</v>
      </c>
      <c r="E32" s="633">
        <v>43403.507557870369</v>
      </c>
      <c r="F32" s="638">
        <v>43403.507557870369</v>
      </c>
      <c r="G32" s="634">
        <v>0.50694444444444442</v>
      </c>
      <c r="H32" s="635" t="s">
        <v>115</v>
      </c>
      <c r="I32" s="635" t="s">
        <v>115</v>
      </c>
      <c r="J32" s="635"/>
      <c r="K32" s="635"/>
      <c r="L32" s="635"/>
      <c r="M32" s="635"/>
      <c r="N32" s="635"/>
      <c r="O32" s="630"/>
    </row>
    <row r="33" spans="1:13">
      <c r="A33" s="623"/>
      <c r="B33" s="623"/>
      <c r="C33" s="623"/>
      <c r="D33" s="585"/>
      <c r="E33" s="534"/>
      <c r="F33" s="582"/>
      <c r="G33" s="538"/>
      <c r="H33" s="521"/>
      <c r="I33" s="521"/>
      <c r="J33" s="624"/>
      <c r="K33" s="440"/>
      <c r="L33" s="429"/>
      <c r="M33" s="429"/>
    </row>
    <row r="34" spans="1:13">
      <c r="A34" s="623"/>
      <c r="B34" s="623"/>
      <c r="C34" s="623"/>
      <c r="D34" s="585"/>
      <c r="E34" s="534"/>
      <c r="F34" s="582"/>
      <c r="G34" s="538"/>
      <c r="H34" s="521"/>
      <c r="I34" s="521"/>
      <c r="J34" s="624"/>
      <c r="K34" s="440"/>
      <c r="L34" s="522"/>
      <c r="M34" s="429"/>
    </row>
    <row r="35" spans="1:13">
      <c r="A35" s="445"/>
      <c r="B35" s="445"/>
      <c r="C35" s="445"/>
      <c r="D35" s="445"/>
      <c r="E35" s="431"/>
      <c r="F35" s="457"/>
      <c r="G35" s="439"/>
      <c r="H35" s="440"/>
      <c r="I35" s="440"/>
      <c r="J35" s="440"/>
      <c r="K35" s="440"/>
      <c r="L35" s="429"/>
      <c r="M35" s="429"/>
    </row>
    <row r="36" spans="1:13">
      <c r="A36" s="445"/>
      <c r="B36" s="445"/>
      <c r="C36" s="445"/>
      <c r="D36" s="445"/>
      <c r="E36" s="431"/>
      <c r="F36" s="457"/>
      <c r="G36" s="439"/>
      <c r="H36" s="440"/>
      <c r="I36" s="440"/>
      <c r="J36" s="440"/>
      <c r="K36" s="440"/>
      <c r="L36" s="429"/>
      <c r="M36" s="429"/>
    </row>
    <row r="37" spans="1:13">
      <c r="A37" s="445"/>
      <c r="B37" s="445"/>
      <c r="C37" s="445"/>
      <c r="D37" s="445"/>
      <c r="E37" s="431"/>
      <c r="F37" s="457"/>
      <c r="G37" s="439"/>
      <c r="H37" s="440"/>
      <c r="I37" s="440"/>
      <c r="J37" s="440"/>
      <c r="K37" s="440"/>
      <c r="L37" s="429"/>
      <c r="M37" s="429"/>
    </row>
    <row r="38" spans="1:13">
      <c r="A38" s="445"/>
      <c r="B38" s="445"/>
      <c r="C38" s="445"/>
      <c r="D38" s="445"/>
      <c r="E38" s="431"/>
      <c r="F38" s="457"/>
      <c r="G38" s="439"/>
      <c r="H38" s="440"/>
      <c r="I38" s="440"/>
      <c r="J38" s="440"/>
      <c r="K38" s="440"/>
      <c r="L38" s="429"/>
      <c r="M38" s="429"/>
    </row>
    <row r="39" spans="1:13">
      <c r="A39" s="445"/>
      <c r="B39" s="445"/>
      <c r="C39" s="445"/>
      <c r="D39" s="445"/>
      <c r="E39" s="431"/>
      <c r="F39" s="457"/>
      <c r="G39" s="439"/>
      <c r="H39" s="440"/>
      <c r="I39" s="440"/>
      <c r="J39" s="440"/>
      <c r="K39" s="440"/>
      <c r="L39" s="429"/>
      <c r="M39" s="429"/>
    </row>
    <row r="40" spans="1:13">
      <c r="A40" s="445"/>
      <c r="B40" s="445"/>
      <c r="C40" s="445"/>
      <c r="D40" s="445"/>
      <c r="E40" s="431"/>
      <c r="F40" s="457"/>
      <c r="G40" s="439"/>
      <c r="H40" s="440"/>
      <c r="I40" s="440"/>
      <c r="J40" s="440"/>
      <c r="K40" s="440"/>
      <c r="L40" s="429"/>
      <c r="M40" s="429"/>
    </row>
    <row r="41" spans="1:13">
      <c r="A41" s="445"/>
      <c r="B41" s="445"/>
      <c r="C41" s="445"/>
      <c r="D41" s="445"/>
      <c r="E41" s="431"/>
      <c r="F41" s="457"/>
      <c r="G41" s="439"/>
      <c r="H41" s="440"/>
      <c r="I41" s="440"/>
      <c r="J41" s="440"/>
      <c r="K41" s="440"/>
      <c r="L41" s="429"/>
      <c r="M41" s="429"/>
    </row>
    <row r="42" spans="1:13">
      <c r="A42" s="445"/>
      <c r="B42" s="445"/>
      <c r="C42" s="445"/>
      <c r="D42" s="445"/>
      <c r="E42" s="431"/>
      <c r="F42" s="457"/>
      <c r="G42" s="439"/>
      <c r="H42" s="440"/>
      <c r="I42" s="440"/>
      <c r="J42" s="440"/>
      <c r="K42" s="440"/>
      <c r="L42" s="429"/>
      <c r="M42" s="429"/>
    </row>
    <row r="43" spans="1:13">
      <c r="A43" s="445"/>
      <c r="B43" s="445"/>
      <c r="C43" s="445"/>
      <c r="D43" s="445"/>
      <c r="E43" s="431"/>
      <c r="F43" s="457"/>
      <c r="G43" s="439"/>
      <c r="H43" s="440"/>
      <c r="I43" s="440"/>
      <c r="J43" s="440"/>
      <c r="K43" s="440"/>
      <c r="L43" s="429"/>
      <c r="M43" s="429"/>
    </row>
    <row r="44" spans="1:13">
      <c r="A44" s="445"/>
      <c r="B44" s="445"/>
      <c r="C44" s="445"/>
      <c r="D44" s="445"/>
      <c r="E44" s="431"/>
      <c r="F44" s="457"/>
      <c r="G44" s="439"/>
      <c r="H44" s="440"/>
      <c r="I44" s="440"/>
      <c r="J44" s="440"/>
      <c r="K44" s="440"/>
      <c r="L44" s="429"/>
      <c r="M44" s="429"/>
    </row>
    <row r="45" spans="1:13">
      <c r="A45" s="445"/>
      <c r="B45" s="445"/>
      <c r="C45" s="445"/>
      <c r="D45" s="445"/>
      <c r="E45" s="431"/>
      <c r="F45" s="457"/>
      <c r="G45" s="439"/>
      <c r="H45" s="440"/>
      <c r="I45" s="440"/>
      <c r="J45" s="440"/>
      <c r="K45" s="440"/>
      <c r="L45" s="429"/>
      <c r="M45" s="429"/>
    </row>
    <row r="46" spans="1:13">
      <c r="A46" s="445"/>
      <c r="B46" s="445"/>
      <c r="C46" s="445"/>
      <c r="D46" s="445"/>
      <c r="E46" s="431"/>
      <c r="F46" s="457"/>
      <c r="G46" s="439"/>
      <c r="H46" s="440"/>
      <c r="I46" s="440"/>
      <c r="J46" s="440"/>
      <c r="K46" s="440"/>
      <c r="L46" s="429"/>
      <c r="M46" s="429"/>
    </row>
    <row r="47" spans="1:13">
      <c r="A47" s="445"/>
      <c r="B47" s="445"/>
      <c r="C47" s="445"/>
      <c r="D47" s="445"/>
      <c r="E47" s="431"/>
      <c r="F47" s="457"/>
      <c r="G47" s="439"/>
      <c r="H47" s="440"/>
      <c r="I47" s="440"/>
      <c r="J47" s="440"/>
      <c r="K47" s="440"/>
      <c r="L47" s="429"/>
      <c r="M47" s="429"/>
    </row>
    <row r="48" spans="1:13">
      <c r="A48" s="445"/>
      <c r="B48" s="445"/>
      <c r="C48" s="445"/>
      <c r="D48" s="445"/>
      <c r="E48" s="431"/>
      <c r="F48" s="457"/>
      <c r="G48" s="439"/>
      <c r="H48" s="440"/>
      <c r="I48" s="440"/>
      <c r="J48" s="440"/>
      <c r="K48" s="440"/>
      <c r="L48" s="429"/>
      <c r="M48" s="429"/>
    </row>
    <row r="49" spans="1:13">
      <c r="A49" s="445"/>
      <c r="B49" s="445"/>
      <c r="C49" s="445"/>
      <c r="D49" s="445"/>
      <c r="E49" s="431"/>
      <c r="F49" s="457"/>
      <c r="G49" s="439"/>
      <c r="H49" s="440"/>
      <c r="I49" s="440"/>
      <c r="J49" s="440"/>
      <c r="K49" s="440"/>
      <c r="L49" s="429"/>
      <c r="M49" s="429"/>
    </row>
    <row r="50" spans="1:13">
      <c r="A50" s="445"/>
      <c r="B50" s="445"/>
      <c r="C50" s="445"/>
      <c r="D50" s="445"/>
      <c r="E50" s="431"/>
      <c r="F50" s="457"/>
      <c r="G50" s="439"/>
      <c r="H50" s="440"/>
      <c r="I50" s="440"/>
      <c r="J50" s="440"/>
      <c r="K50" s="440"/>
      <c r="L50" s="429"/>
      <c r="M50" s="429"/>
    </row>
    <row r="51" spans="1:13">
      <c r="A51" s="445"/>
      <c r="B51" s="445"/>
      <c r="C51" s="445"/>
      <c r="D51" s="445"/>
      <c r="E51" s="431"/>
      <c r="F51" s="457"/>
      <c r="G51" s="439"/>
      <c r="H51" s="440"/>
      <c r="I51" s="440"/>
      <c r="J51" s="440"/>
      <c r="K51" s="440"/>
      <c r="L51" s="429"/>
      <c r="M51" s="429"/>
    </row>
    <row r="52" spans="1:13">
      <c r="A52" s="445"/>
      <c r="B52" s="445"/>
      <c r="C52" s="445"/>
      <c r="D52" s="445"/>
      <c r="E52" s="431"/>
      <c r="F52" s="457"/>
      <c r="G52" s="439"/>
      <c r="H52" s="440"/>
      <c r="I52" s="440"/>
      <c r="J52" s="440"/>
      <c r="K52" s="440"/>
      <c r="L52" s="429"/>
      <c r="M52" s="429"/>
    </row>
  </sheetData>
  <phoneticPr fontId="18" type="noConversion"/>
  <conditionalFormatting sqref="I33:I52">
    <cfRule type="cellIs" dxfId="7" priority="3" operator="lessThan">
      <formula>4</formula>
    </cfRule>
  </conditionalFormatting>
  <conditionalFormatting sqref="I7:I32">
    <cfRule type="cellIs" dxfId="6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16">
    <tabColor rgb="FF00B0F0"/>
  </sheetPr>
  <dimension ref="A1:N73"/>
  <sheetViews>
    <sheetView view="pageBreakPreview" zoomScaleNormal="100" zoomScaleSheetLayoutView="100" workbookViewId="0">
      <selection activeCell="I10" sqref="I10"/>
    </sheetView>
  </sheetViews>
  <sheetFormatPr defaultRowHeight="16.5" outlineLevelCol="1"/>
  <cols>
    <col min="1" max="1" width="5.625" style="458" customWidth="1" outlineLevel="1"/>
    <col min="2" max="2" width="6.875" style="458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6.625" style="22" customWidth="1"/>
    <col min="13" max="13" width="12.5" style="28" customWidth="1"/>
    <col min="14" max="14" width="9" style="9"/>
    <col min="15" max="16384" width="9" style="458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scott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8.9333333333333336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>
      <c r="A6" s="458" t="s">
        <v>0</v>
      </c>
      <c r="B6" s="458" t="s">
        <v>1</v>
      </c>
      <c r="C6" s="3" t="s">
        <v>2</v>
      </c>
      <c r="D6" s="182" t="s">
        <v>3</v>
      </c>
      <c r="E6" s="183" t="s">
        <v>4</v>
      </c>
      <c r="F6" s="494"/>
      <c r="G6" s="495"/>
      <c r="H6" s="496" t="s">
        <v>22</v>
      </c>
      <c r="I6" s="497">
        <f>SUM(I7:I86)</f>
        <v>8.9333333333333336</v>
      </c>
      <c r="J6" s="497">
        <f>SUM(J7:J86)</f>
        <v>0</v>
      </c>
      <c r="K6" s="497">
        <f>SUM(J9:J22)</f>
        <v>0</v>
      </c>
      <c r="L6" s="497">
        <f>SUM(L7:L190)</f>
        <v>0</v>
      </c>
      <c r="M6" s="498"/>
    </row>
    <row r="7" spans="1:14" s="63" customFormat="1">
      <c r="A7" s="632">
        <v>13141</v>
      </c>
      <c r="B7" s="632" t="s">
        <v>123</v>
      </c>
      <c r="C7" s="632" t="s">
        <v>123</v>
      </c>
      <c r="D7" s="632" t="s">
        <v>125</v>
      </c>
      <c r="E7" s="633">
        <v>43357.375</v>
      </c>
      <c r="F7" s="638">
        <v>43357.375</v>
      </c>
      <c r="G7" s="634">
        <v>0.375</v>
      </c>
      <c r="H7" s="635">
        <v>3.9499999999999993</v>
      </c>
      <c r="I7" s="635">
        <v>3</v>
      </c>
      <c r="J7" s="635"/>
      <c r="K7" s="635"/>
      <c r="L7" s="635"/>
      <c r="M7" s="635"/>
      <c r="N7" s="635"/>
    </row>
    <row r="8" spans="1:14">
      <c r="A8" s="632">
        <v>13143</v>
      </c>
      <c r="B8" s="632" t="s">
        <v>124</v>
      </c>
      <c r="C8" s="632" t="s">
        <v>123</v>
      </c>
      <c r="D8" s="632" t="s">
        <v>126</v>
      </c>
      <c r="E8" s="633">
        <v>43357.539768518516</v>
      </c>
      <c r="F8" s="638">
        <v>43357.539768518516</v>
      </c>
      <c r="G8" s="634">
        <v>0.5395833333333333</v>
      </c>
      <c r="H8" s="635" t="s">
        <v>115</v>
      </c>
      <c r="I8" s="635" t="s">
        <v>115</v>
      </c>
      <c r="J8" s="635" t="s">
        <v>115</v>
      </c>
      <c r="K8" s="635"/>
      <c r="L8" s="635"/>
      <c r="M8" s="635"/>
      <c r="N8" s="635"/>
    </row>
    <row r="9" spans="1:14">
      <c r="A9" s="640">
        <v>13143</v>
      </c>
      <c r="B9" s="640" t="s">
        <v>124</v>
      </c>
      <c r="C9" s="640" t="s">
        <v>123</v>
      </c>
      <c r="D9" s="640" t="s">
        <v>147</v>
      </c>
      <c r="E9" s="641">
        <v>43360.372916666667</v>
      </c>
      <c r="F9" s="638">
        <v>43360.372916666667</v>
      </c>
      <c r="G9" s="634">
        <v>0.37291666666666662</v>
      </c>
      <c r="H9" s="635">
        <v>7.4333333333333336</v>
      </c>
      <c r="I9" s="635">
        <v>5.9333333333333336</v>
      </c>
      <c r="J9" s="635"/>
      <c r="K9" s="635"/>
      <c r="L9" s="635"/>
      <c r="M9" s="635"/>
      <c r="N9" s="635"/>
    </row>
    <row r="10" spans="1:14">
      <c r="A10" s="632">
        <v>13164</v>
      </c>
      <c r="B10" s="632" t="s">
        <v>123</v>
      </c>
      <c r="C10" s="632" t="s">
        <v>123</v>
      </c>
      <c r="D10" s="632" t="s">
        <v>126</v>
      </c>
      <c r="E10" s="633">
        <v>43360.682928240742</v>
      </c>
      <c r="F10" s="638">
        <v>43360.682928240742</v>
      </c>
      <c r="G10" s="634">
        <v>0.68263888888888891</v>
      </c>
      <c r="H10" s="635" t="s">
        <v>115</v>
      </c>
      <c r="I10" s="635" t="s">
        <v>115</v>
      </c>
      <c r="J10" s="635" t="s">
        <v>115</v>
      </c>
      <c r="K10" s="635"/>
      <c r="L10" s="635"/>
      <c r="M10" s="635"/>
      <c r="N10" s="635"/>
    </row>
    <row r="11" spans="1:14">
      <c r="A11" s="607"/>
      <c r="B11" s="607"/>
      <c r="C11" s="607"/>
      <c r="D11" s="607"/>
      <c r="E11" s="608"/>
      <c r="F11" s="611"/>
      <c r="G11" s="609"/>
      <c r="H11" s="616"/>
      <c r="I11" s="616"/>
      <c r="J11" s="614"/>
      <c r="K11" s="620"/>
      <c r="L11" s="620"/>
      <c r="M11" s="616"/>
      <c r="N11" s="606"/>
    </row>
    <row r="12" spans="1:14">
      <c r="A12" s="607"/>
      <c r="B12" s="607"/>
      <c r="C12" s="607"/>
      <c r="D12" s="607"/>
      <c r="E12" s="608"/>
      <c r="F12" s="611"/>
      <c r="G12" s="609"/>
      <c r="H12" s="616"/>
      <c r="I12" s="616"/>
      <c r="J12" s="614"/>
      <c r="K12" s="620"/>
      <c r="L12" s="620"/>
      <c r="M12" s="616"/>
      <c r="N12" s="606"/>
    </row>
    <row r="13" spans="1:14">
      <c r="A13" s="607"/>
      <c r="B13" s="607"/>
      <c r="C13" s="607"/>
      <c r="D13" s="607"/>
      <c r="E13" s="608"/>
      <c r="F13" s="611"/>
      <c r="G13" s="609"/>
      <c r="H13" s="616"/>
      <c r="I13" s="616"/>
      <c r="J13" s="614"/>
      <c r="K13" s="620"/>
      <c r="L13" s="620"/>
      <c r="M13" s="616"/>
      <c r="N13" s="606"/>
    </row>
    <row r="14" spans="1:14">
      <c r="A14" s="607"/>
      <c r="B14" s="607"/>
      <c r="C14" s="607"/>
      <c r="D14" s="607"/>
      <c r="E14" s="608"/>
      <c r="F14" s="611"/>
      <c r="G14" s="609"/>
      <c r="H14" s="616"/>
      <c r="I14" s="616"/>
      <c r="J14" s="614"/>
      <c r="K14" s="620"/>
      <c r="L14" s="620"/>
      <c r="M14" s="616"/>
      <c r="N14" s="606"/>
    </row>
    <row r="15" spans="1:14">
      <c r="A15" s="607"/>
      <c r="B15" s="607"/>
      <c r="C15" s="607"/>
      <c r="D15" s="607"/>
      <c r="E15" s="608"/>
      <c r="F15" s="611"/>
      <c r="G15" s="609"/>
      <c r="H15" s="616"/>
      <c r="I15" s="616"/>
      <c r="J15" s="614"/>
      <c r="K15" s="620"/>
      <c r="L15" s="620"/>
      <c r="M15" s="616"/>
      <c r="N15" s="606"/>
    </row>
    <row r="16" spans="1:14">
      <c r="A16" s="607"/>
      <c r="B16" s="607"/>
      <c r="C16" s="607"/>
      <c r="D16" s="607"/>
      <c r="E16" s="608"/>
      <c r="F16" s="611"/>
      <c r="G16" s="609"/>
      <c r="H16" s="616"/>
      <c r="I16" s="616"/>
      <c r="J16" s="614"/>
      <c r="K16" s="620"/>
      <c r="L16" s="620"/>
      <c r="M16" s="616"/>
      <c r="N16" s="606"/>
    </row>
    <row r="17" spans="1:14">
      <c r="A17" s="607"/>
      <c r="B17" s="607"/>
      <c r="C17" s="607"/>
      <c r="D17" s="607"/>
      <c r="E17" s="608"/>
      <c r="F17" s="611"/>
      <c r="G17" s="609"/>
      <c r="H17" s="616"/>
      <c r="I17" s="616"/>
      <c r="J17" s="614"/>
      <c r="K17" s="620"/>
      <c r="L17" s="620"/>
      <c r="M17" s="616"/>
      <c r="N17" s="606"/>
    </row>
    <row r="18" spans="1:14">
      <c r="A18" s="607"/>
      <c r="B18" s="607"/>
      <c r="C18" s="607"/>
      <c r="D18" s="607"/>
      <c r="E18" s="608"/>
      <c r="F18" s="611"/>
      <c r="G18" s="609"/>
      <c r="H18" s="616"/>
      <c r="I18" s="616"/>
      <c r="J18" s="614"/>
      <c r="K18" s="620"/>
      <c r="L18" s="620"/>
      <c r="M18" s="616"/>
      <c r="N18" s="606"/>
    </row>
    <row r="19" spans="1:14">
      <c r="A19" s="607"/>
      <c r="B19" s="607"/>
      <c r="C19" s="607"/>
      <c r="D19" s="607"/>
      <c r="E19" s="608"/>
      <c r="F19" s="611"/>
      <c r="G19" s="609"/>
      <c r="H19" s="616"/>
      <c r="I19" s="616"/>
      <c r="J19" s="614"/>
      <c r="K19" s="620"/>
      <c r="L19" s="620"/>
      <c r="M19" s="616"/>
      <c r="N19" s="606"/>
    </row>
    <row r="20" spans="1:14">
      <c r="A20" s="607"/>
      <c r="B20" s="607"/>
      <c r="C20" s="607"/>
      <c r="D20" s="607"/>
      <c r="E20" s="608"/>
      <c r="F20" s="611"/>
      <c r="G20" s="609"/>
      <c r="H20" s="616"/>
      <c r="I20" s="616"/>
      <c r="J20" s="614"/>
      <c r="K20" s="620"/>
      <c r="L20" s="620"/>
      <c r="M20" s="616"/>
      <c r="N20" s="606"/>
    </row>
    <row r="21" spans="1:14">
      <c r="A21" s="607"/>
      <c r="B21" s="607"/>
      <c r="C21" s="607"/>
      <c r="D21" s="607"/>
      <c r="E21" s="608"/>
      <c r="F21" s="611"/>
      <c r="G21" s="609"/>
      <c r="H21" s="616"/>
      <c r="I21" s="616"/>
      <c r="J21" s="616"/>
      <c r="K21" s="621"/>
      <c r="L21" s="621"/>
      <c r="M21" s="616"/>
      <c r="N21" s="499"/>
    </row>
    <row r="22" spans="1:14">
      <c r="A22" s="607"/>
      <c r="B22" s="607"/>
      <c r="C22" s="607"/>
      <c r="D22" s="607"/>
      <c r="E22" s="608"/>
      <c r="F22" s="611"/>
      <c r="G22" s="609"/>
      <c r="H22" s="616"/>
      <c r="I22" s="616"/>
      <c r="J22" s="614"/>
      <c r="K22" s="620"/>
      <c r="L22" s="620"/>
      <c r="M22" s="616"/>
      <c r="N22" s="606"/>
    </row>
    <row r="23" spans="1:14">
      <c r="A23" s="607"/>
      <c r="B23" s="607"/>
      <c r="C23" s="607"/>
      <c r="D23" s="607"/>
      <c r="E23" s="608"/>
      <c r="F23" s="611"/>
      <c r="G23" s="609"/>
      <c r="H23" s="616"/>
      <c r="I23" s="616"/>
      <c r="J23" s="614"/>
      <c r="K23" s="620"/>
      <c r="L23" s="620"/>
      <c r="M23" s="616"/>
      <c r="N23" s="606"/>
    </row>
    <row r="24" spans="1:14">
      <c r="A24" s="607"/>
      <c r="B24" s="607"/>
      <c r="C24" s="607"/>
      <c r="D24" s="607"/>
      <c r="E24" s="608"/>
      <c r="F24" s="611"/>
      <c r="G24" s="609"/>
      <c r="H24" s="616"/>
      <c r="I24" s="616"/>
      <c r="J24" s="614"/>
      <c r="K24" s="620"/>
      <c r="L24" s="620"/>
      <c r="M24" s="616"/>
      <c r="N24" s="606"/>
    </row>
    <row r="25" spans="1:14">
      <c r="A25" s="607"/>
      <c r="B25" s="607"/>
      <c r="C25" s="607"/>
      <c r="D25" s="607"/>
      <c r="E25" s="608"/>
      <c r="F25" s="611"/>
      <c r="G25" s="609"/>
      <c r="H25" s="616"/>
      <c r="I25" s="616"/>
      <c r="J25" s="614"/>
      <c r="K25" s="620"/>
      <c r="L25" s="620"/>
      <c r="M25" s="616"/>
      <c r="N25" s="606"/>
    </row>
    <row r="26" spans="1:14">
      <c r="A26" s="607"/>
      <c r="B26" s="607"/>
      <c r="C26" s="607"/>
      <c r="D26" s="607"/>
      <c r="E26" s="608"/>
      <c r="F26" s="611"/>
      <c r="G26" s="609"/>
      <c r="H26" s="616"/>
      <c r="I26" s="616"/>
      <c r="J26" s="614"/>
      <c r="K26" s="620"/>
      <c r="L26" s="620"/>
      <c r="M26" s="616"/>
      <c r="N26" s="606"/>
    </row>
    <row r="27" spans="1:14">
      <c r="A27" s="607"/>
      <c r="B27" s="607"/>
      <c r="C27" s="607"/>
      <c r="D27" s="607"/>
      <c r="E27" s="608"/>
      <c r="F27" s="611"/>
      <c r="G27" s="609"/>
      <c r="H27" s="616"/>
      <c r="I27" s="616"/>
      <c r="J27" s="614"/>
      <c r="K27" s="620"/>
      <c r="L27" s="620"/>
      <c r="M27" s="616"/>
      <c r="N27" s="606"/>
    </row>
    <row r="28" spans="1:14">
      <c r="A28" s="607"/>
      <c r="B28" s="607"/>
      <c r="C28" s="607"/>
      <c r="D28" s="607"/>
      <c r="E28" s="608"/>
      <c r="F28" s="611"/>
      <c r="G28" s="609"/>
      <c r="H28" s="616"/>
      <c r="I28" s="616"/>
      <c r="J28" s="614"/>
      <c r="K28" s="620"/>
      <c r="L28" s="620"/>
      <c r="M28" s="616"/>
      <c r="N28" s="606"/>
    </row>
    <row r="29" spans="1:14">
      <c r="A29" s="607"/>
      <c r="B29" s="607"/>
      <c r="C29" s="607"/>
      <c r="D29" s="607"/>
      <c r="E29" s="608"/>
      <c r="F29" s="611"/>
      <c r="G29" s="609"/>
      <c r="H29" s="616"/>
      <c r="I29" s="616"/>
      <c r="J29" s="614"/>
      <c r="K29" s="620"/>
      <c r="L29" s="620"/>
      <c r="M29" s="616"/>
      <c r="N29" s="606"/>
    </row>
    <row r="30" spans="1:14">
      <c r="A30" s="607"/>
      <c r="B30" s="607"/>
      <c r="C30" s="607"/>
      <c r="D30" s="607"/>
      <c r="E30" s="608"/>
      <c r="F30" s="611"/>
      <c r="G30" s="609"/>
      <c r="H30" s="616"/>
      <c r="I30" s="616"/>
      <c r="J30" s="614"/>
      <c r="K30" s="620"/>
      <c r="L30" s="620"/>
      <c r="M30" s="616"/>
      <c r="N30" s="606"/>
    </row>
    <row r="31" spans="1:14">
      <c r="A31" s="607"/>
      <c r="B31" s="607"/>
      <c r="C31" s="607"/>
      <c r="D31" s="607"/>
      <c r="E31" s="608"/>
      <c r="F31" s="611"/>
      <c r="G31" s="609"/>
      <c r="H31" s="616"/>
      <c r="I31" s="616"/>
      <c r="J31" s="614"/>
      <c r="K31" s="620"/>
      <c r="L31" s="620"/>
      <c r="M31" s="616"/>
      <c r="N31" s="606"/>
    </row>
    <row r="32" spans="1:14">
      <c r="A32" s="607"/>
      <c r="B32" s="607"/>
      <c r="C32" s="607"/>
      <c r="D32" s="607"/>
      <c r="E32" s="608"/>
      <c r="F32" s="611"/>
      <c r="G32" s="610"/>
      <c r="H32" s="617"/>
      <c r="I32" s="617"/>
      <c r="J32" s="617"/>
      <c r="K32" s="622"/>
      <c r="L32" s="622"/>
      <c r="M32" s="616"/>
      <c r="N32" s="581"/>
    </row>
    <row r="33" spans="1:14">
      <c r="A33" s="607"/>
      <c r="B33" s="607"/>
      <c r="C33" s="607"/>
      <c r="D33" s="607"/>
      <c r="E33" s="608"/>
      <c r="F33" s="611"/>
      <c r="G33" s="609"/>
      <c r="H33" s="616"/>
      <c r="I33" s="616"/>
      <c r="J33" s="616"/>
      <c r="K33" s="621"/>
      <c r="L33" s="621"/>
      <c r="M33" s="616"/>
      <c r="N33" s="499"/>
    </row>
    <row r="34" spans="1:14">
      <c r="A34" s="607"/>
      <c r="B34" s="607"/>
      <c r="C34" s="607"/>
      <c r="D34" s="607"/>
      <c r="E34" s="608"/>
      <c r="F34" s="611"/>
      <c r="G34" s="609"/>
      <c r="H34" s="616"/>
      <c r="I34" s="616"/>
      <c r="J34" s="614"/>
      <c r="K34" s="620"/>
      <c r="L34" s="620"/>
      <c r="M34" s="616"/>
      <c r="N34" s="606"/>
    </row>
    <row r="35" spans="1:14">
      <c r="A35" s="607"/>
      <c r="B35" s="607"/>
      <c r="C35" s="607"/>
      <c r="D35" s="607"/>
      <c r="E35" s="608"/>
      <c r="F35" s="611"/>
      <c r="G35" s="609"/>
      <c r="H35" s="616"/>
      <c r="I35" s="616"/>
      <c r="J35" s="614"/>
      <c r="K35" s="620"/>
      <c r="L35" s="620"/>
      <c r="M35" s="616"/>
      <c r="N35" s="606"/>
    </row>
    <row r="36" spans="1:14">
      <c r="A36" s="607"/>
      <c r="B36" s="607"/>
      <c r="C36" s="607"/>
      <c r="D36" s="607"/>
      <c r="E36" s="608"/>
      <c r="F36" s="611"/>
      <c r="G36" s="609"/>
      <c r="H36" s="616"/>
      <c r="I36" s="616"/>
      <c r="J36" s="614"/>
      <c r="K36" s="620"/>
      <c r="L36" s="620"/>
      <c r="M36" s="616"/>
      <c r="N36" s="606"/>
    </row>
    <row r="37" spans="1:14">
      <c r="A37" s="607"/>
      <c r="B37" s="607"/>
      <c r="C37" s="607"/>
      <c r="D37" s="607"/>
      <c r="E37" s="608"/>
      <c r="F37" s="611"/>
      <c r="G37" s="609"/>
      <c r="H37" s="616"/>
      <c r="I37" s="616"/>
      <c r="J37" s="616"/>
      <c r="K37" s="621"/>
      <c r="L37" s="621"/>
      <c r="M37" s="616"/>
      <c r="N37" s="499"/>
    </row>
    <row r="38" spans="1:14">
      <c r="A38" s="607"/>
      <c r="B38" s="607"/>
      <c r="C38" s="607"/>
      <c r="D38" s="607"/>
      <c r="E38" s="608"/>
      <c r="F38" s="611"/>
      <c r="G38" s="609"/>
      <c r="H38" s="616"/>
      <c r="I38" s="616"/>
      <c r="J38" s="614"/>
      <c r="K38" s="620"/>
      <c r="L38" s="620"/>
      <c r="M38" s="616"/>
      <c r="N38" s="606"/>
    </row>
    <row r="39" spans="1:14">
      <c r="A39" s="607"/>
      <c r="B39" s="607"/>
      <c r="C39" s="607"/>
      <c r="D39" s="607"/>
      <c r="E39" s="608"/>
      <c r="F39" s="611"/>
      <c r="G39" s="609"/>
      <c r="H39" s="616"/>
      <c r="I39" s="616"/>
      <c r="J39" s="614"/>
      <c r="K39" s="620"/>
      <c r="L39" s="620"/>
      <c r="M39" s="616"/>
      <c r="N39" s="606"/>
    </row>
    <row r="40" spans="1:14">
      <c r="A40" s="607"/>
      <c r="B40" s="607"/>
      <c r="C40" s="607"/>
      <c r="D40" s="607"/>
      <c r="E40" s="608"/>
      <c r="F40" s="611"/>
      <c r="G40" s="609"/>
      <c r="H40" s="616"/>
      <c r="I40" s="616"/>
      <c r="J40" s="614"/>
      <c r="K40" s="620"/>
      <c r="L40" s="620"/>
      <c r="M40" s="616"/>
      <c r="N40" s="606"/>
    </row>
    <row r="41" spans="1:14">
      <c r="A41" s="607"/>
      <c r="B41" s="607"/>
      <c r="C41" s="607"/>
      <c r="D41" s="607"/>
      <c r="E41" s="608"/>
      <c r="F41" s="611"/>
      <c r="G41" s="609"/>
      <c r="H41" s="616"/>
      <c r="I41" s="616"/>
      <c r="J41" s="616"/>
      <c r="K41" s="621"/>
      <c r="L41" s="621"/>
      <c r="M41" s="616"/>
      <c r="N41" s="499"/>
    </row>
    <row r="42" spans="1:14">
      <c r="A42" s="607"/>
      <c r="B42" s="607"/>
      <c r="C42" s="607"/>
      <c r="D42" s="607"/>
      <c r="E42" s="608"/>
      <c r="F42" s="611"/>
      <c r="G42" s="609"/>
      <c r="H42" s="616"/>
      <c r="I42" s="616"/>
      <c r="J42" s="614"/>
      <c r="K42" s="620"/>
      <c r="L42" s="620"/>
      <c r="M42" s="616"/>
      <c r="N42" s="606"/>
    </row>
    <row r="43" spans="1:14">
      <c r="A43" s="607"/>
      <c r="B43" s="607"/>
      <c r="C43" s="607"/>
      <c r="D43" s="607"/>
      <c r="E43" s="608"/>
      <c r="F43" s="611"/>
      <c r="G43" s="609"/>
      <c r="H43" s="616"/>
      <c r="I43" s="616"/>
      <c r="J43" s="614"/>
      <c r="K43" s="620"/>
      <c r="L43" s="620"/>
      <c r="M43" s="616"/>
      <c r="N43" s="606"/>
    </row>
    <row r="44" spans="1:14">
      <c r="A44" s="607"/>
      <c r="B44" s="607"/>
      <c r="C44" s="607"/>
      <c r="D44" s="607"/>
      <c r="E44" s="608"/>
      <c r="F44" s="611"/>
      <c r="G44" s="609"/>
      <c r="H44" s="616"/>
      <c r="I44" s="616"/>
      <c r="J44" s="614"/>
      <c r="K44" s="620"/>
      <c r="L44" s="620"/>
      <c r="M44" s="616"/>
      <c r="N44" s="606"/>
    </row>
    <row r="45" spans="1:14">
      <c r="A45" s="607"/>
      <c r="B45" s="607"/>
      <c r="C45" s="607"/>
      <c r="D45" s="607"/>
      <c r="E45" s="608"/>
      <c r="F45" s="611"/>
      <c r="G45" s="609"/>
      <c r="H45" s="616"/>
      <c r="I45" s="616"/>
      <c r="J45" s="614"/>
      <c r="K45" s="620"/>
      <c r="L45" s="620"/>
      <c r="M45" s="616"/>
      <c r="N45" s="606"/>
    </row>
    <row r="46" spans="1:14">
      <c r="A46" s="607"/>
      <c r="B46" s="607"/>
      <c r="C46" s="607"/>
      <c r="D46" s="607"/>
      <c r="E46" s="608"/>
      <c r="F46" s="611"/>
      <c r="G46" s="609"/>
      <c r="H46" s="616"/>
      <c r="I46" s="616"/>
      <c r="J46" s="614"/>
      <c r="K46" s="620"/>
      <c r="L46" s="620"/>
      <c r="M46" s="616"/>
      <c r="N46" s="606"/>
    </row>
    <row r="47" spans="1:14">
      <c r="A47" s="607"/>
      <c r="B47" s="607"/>
      <c r="C47" s="607"/>
      <c r="D47" s="607"/>
      <c r="E47" s="608"/>
      <c r="F47" s="611"/>
      <c r="G47" s="609"/>
      <c r="H47" s="616"/>
      <c r="I47" s="616"/>
      <c r="J47" s="614"/>
      <c r="K47" s="620"/>
      <c r="L47" s="620"/>
      <c r="M47" s="616"/>
      <c r="N47" s="606"/>
    </row>
    <row r="48" spans="1:14">
      <c r="A48" s="607"/>
      <c r="B48" s="607"/>
      <c r="C48" s="607"/>
      <c r="D48" s="607"/>
      <c r="E48" s="608"/>
      <c r="F48" s="611"/>
      <c r="G48" s="609"/>
      <c r="H48" s="616"/>
      <c r="I48" s="616"/>
      <c r="J48" s="614"/>
      <c r="K48" s="620"/>
      <c r="L48" s="620"/>
      <c r="M48" s="616"/>
      <c r="N48" s="606"/>
    </row>
    <row r="49" spans="1:14">
      <c r="A49" s="607"/>
      <c r="B49" s="607"/>
      <c r="C49" s="607"/>
      <c r="D49" s="607"/>
      <c r="E49" s="608"/>
      <c r="F49" s="611"/>
      <c r="G49" s="609"/>
      <c r="H49" s="616"/>
      <c r="I49" s="616"/>
      <c r="J49" s="616"/>
      <c r="K49" s="621"/>
      <c r="L49" s="621"/>
      <c r="M49" s="616"/>
      <c r="N49" s="499"/>
    </row>
    <row r="50" spans="1:14">
      <c r="A50" s="607"/>
      <c r="B50" s="607"/>
      <c r="C50" s="607"/>
      <c r="D50" s="607"/>
      <c r="E50" s="608"/>
      <c r="F50" s="611"/>
      <c r="G50" s="609"/>
      <c r="H50" s="616"/>
      <c r="I50" s="616"/>
      <c r="J50" s="614"/>
      <c r="K50" s="620"/>
      <c r="L50" s="620"/>
      <c r="M50" s="616"/>
      <c r="N50" s="606"/>
    </row>
    <row r="51" spans="1:14">
      <c r="A51" s="607"/>
      <c r="B51" s="607"/>
      <c r="C51" s="607"/>
      <c r="D51" s="607"/>
      <c r="E51" s="608"/>
      <c r="F51" s="611"/>
      <c r="G51" s="609"/>
      <c r="H51" s="616"/>
      <c r="I51" s="616"/>
      <c r="J51" s="614"/>
      <c r="K51" s="620"/>
      <c r="L51" s="620"/>
      <c r="M51" s="616"/>
      <c r="N51" s="606"/>
    </row>
    <row r="52" spans="1:14">
      <c r="A52" s="607"/>
      <c r="B52" s="607"/>
      <c r="C52" s="607"/>
      <c r="D52" s="607"/>
      <c r="E52" s="608"/>
      <c r="F52" s="611"/>
      <c r="G52" s="609"/>
      <c r="H52" s="616"/>
      <c r="I52" s="616"/>
      <c r="J52" s="614"/>
      <c r="K52" s="620"/>
      <c r="L52" s="620"/>
      <c r="M52" s="616"/>
      <c r="N52" s="606"/>
    </row>
    <row r="53" spans="1:14">
      <c r="A53" s="607"/>
      <c r="B53" s="607"/>
      <c r="C53" s="607"/>
      <c r="D53" s="607"/>
      <c r="E53" s="608"/>
      <c r="F53" s="611"/>
      <c r="G53" s="609"/>
      <c r="H53" s="616"/>
      <c r="I53" s="616"/>
      <c r="J53" s="616"/>
      <c r="K53" s="621"/>
      <c r="L53" s="621"/>
      <c r="M53" s="616"/>
      <c r="N53" s="499"/>
    </row>
    <row r="54" spans="1:14">
      <c r="A54" s="607"/>
      <c r="B54" s="607"/>
      <c r="C54" s="607"/>
      <c r="D54" s="607"/>
      <c r="E54" s="608"/>
      <c r="F54" s="611"/>
      <c r="G54" s="609"/>
      <c r="H54" s="616"/>
      <c r="I54" s="616"/>
      <c r="J54" s="614"/>
      <c r="K54" s="620"/>
      <c r="L54" s="620"/>
      <c r="M54" s="616"/>
      <c r="N54" s="606"/>
    </row>
    <row r="55" spans="1:14">
      <c r="A55" s="607"/>
      <c r="B55" s="607"/>
      <c r="C55" s="607"/>
      <c r="D55" s="607"/>
      <c r="E55" s="608"/>
      <c r="F55" s="611"/>
      <c r="G55" s="609"/>
      <c r="H55" s="616"/>
      <c r="I55" s="616"/>
      <c r="J55" s="614"/>
      <c r="K55" s="620"/>
      <c r="L55" s="620"/>
      <c r="M55" s="616"/>
      <c r="N55" s="606"/>
    </row>
    <row r="56" spans="1:14">
      <c r="A56" s="607"/>
      <c r="B56" s="607"/>
      <c r="C56" s="607"/>
      <c r="D56" s="607"/>
      <c r="E56" s="608"/>
      <c r="F56" s="611"/>
      <c r="G56" s="609"/>
      <c r="H56" s="616"/>
      <c r="I56" s="616"/>
      <c r="J56" s="614"/>
      <c r="K56" s="620"/>
      <c r="L56" s="620"/>
      <c r="M56" s="616"/>
      <c r="N56" s="606"/>
    </row>
    <row r="57" spans="1:14">
      <c r="A57" s="607"/>
      <c r="B57" s="607"/>
      <c r="C57" s="607"/>
      <c r="D57" s="607"/>
      <c r="E57" s="608"/>
      <c r="F57" s="611"/>
      <c r="G57" s="609"/>
      <c r="H57" s="616"/>
      <c r="I57" s="616"/>
      <c r="J57" s="616"/>
      <c r="K57" s="621"/>
      <c r="L57" s="621"/>
      <c r="M57" s="616"/>
      <c r="N57" s="499"/>
    </row>
    <row r="58" spans="1:14">
      <c r="A58" s="607"/>
      <c r="B58" s="607"/>
      <c r="C58" s="607"/>
      <c r="D58" s="607"/>
      <c r="E58" s="608"/>
      <c r="F58" s="611"/>
      <c r="G58" s="609"/>
      <c r="H58" s="616"/>
      <c r="I58" s="616"/>
      <c r="J58" s="614"/>
      <c r="K58" s="620"/>
      <c r="L58" s="620"/>
      <c r="M58" s="616"/>
      <c r="N58" s="606"/>
    </row>
    <row r="59" spans="1:14">
      <c r="A59" s="607"/>
      <c r="B59" s="607"/>
      <c r="C59" s="607"/>
      <c r="D59" s="607"/>
      <c r="E59" s="608"/>
      <c r="F59" s="611"/>
      <c r="G59" s="609"/>
      <c r="H59" s="616"/>
      <c r="I59" s="616"/>
      <c r="J59" s="614"/>
      <c r="K59" s="620"/>
      <c r="L59" s="620"/>
      <c r="M59" s="616"/>
      <c r="N59" s="606"/>
    </row>
    <row r="60" spans="1:14">
      <c r="A60" s="607"/>
      <c r="B60" s="607"/>
      <c r="C60" s="607"/>
      <c r="D60" s="607"/>
      <c r="E60" s="608"/>
      <c r="F60" s="611"/>
      <c r="G60" s="609"/>
      <c r="H60" s="616"/>
      <c r="I60" s="616"/>
      <c r="J60" s="614"/>
      <c r="K60" s="620"/>
      <c r="L60" s="620"/>
      <c r="M60" s="616"/>
      <c r="N60" s="606"/>
    </row>
    <row r="61" spans="1:14">
      <c r="A61" s="607"/>
      <c r="B61" s="607"/>
      <c r="C61" s="607"/>
      <c r="D61" s="607"/>
      <c r="E61" s="608"/>
      <c r="F61" s="611"/>
      <c r="G61" s="609"/>
      <c r="H61" s="616"/>
      <c r="I61" s="616"/>
      <c r="J61" s="616"/>
      <c r="K61" s="621"/>
      <c r="L61" s="621"/>
      <c r="M61" s="616"/>
      <c r="N61" s="499"/>
    </row>
    <row r="62" spans="1:14">
      <c r="A62" s="607"/>
      <c r="B62" s="607"/>
      <c r="C62" s="607"/>
      <c r="D62" s="607"/>
      <c r="E62" s="608"/>
      <c r="F62" s="611"/>
      <c r="G62" s="609"/>
      <c r="H62" s="616"/>
      <c r="I62" s="616"/>
      <c r="J62" s="614"/>
      <c r="K62" s="620"/>
      <c r="L62" s="620"/>
      <c r="M62" s="616"/>
      <c r="N62" s="606"/>
    </row>
    <row r="63" spans="1:14">
      <c r="A63" s="607"/>
      <c r="B63" s="607"/>
      <c r="C63" s="607"/>
      <c r="D63" s="607"/>
      <c r="E63" s="608"/>
      <c r="F63" s="611"/>
      <c r="G63" s="609"/>
      <c r="H63" s="616"/>
      <c r="I63" s="616"/>
      <c r="J63" s="614"/>
      <c r="K63" s="620"/>
      <c r="L63" s="620"/>
      <c r="M63" s="616"/>
      <c r="N63" s="606"/>
    </row>
    <row r="64" spans="1:14">
      <c r="A64" s="607"/>
      <c r="B64" s="607"/>
      <c r="C64" s="607"/>
      <c r="D64" s="607"/>
      <c r="E64" s="608"/>
      <c r="F64" s="611"/>
      <c r="G64" s="609"/>
      <c r="H64" s="616"/>
      <c r="I64" s="616"/>
      <c r="J64" s="614"/>
      <c r="K64" s="620"/>
      <c r="L64" s="620"/>
      <c r="M64" s="616"/>
      <c r="N64" s="606"/>
    </row>
    <row r="65" spans="1:14">
      <c r="A65" s="607"/>
      <c r="B65" s="607"/>
      <c r="C65" s="607"/>
      <c r="D65" s="607"/>
      <c r="E65" s="608"/>
      <c r="F65" s="611"/>
      <c r="G65" s="609"/>
      <c r="H65" s="616"/>
      <c r="I65" s="616"/>
      <c r="J65" s="614"/>
      <c r="K65" s="620"/>
      <c r="L65" s="620"/>
      <c r="M65" s="616"/>
      <c r="N65" s="606"/>
    </row>
    <row r="66" spans="1:14">
      <c r="A66" s="607"/>
      <c r="B66" s="607"/>
      <c r="C66" s="607"/>
      <c r="D66" s="607"/>
      <c r="E66" s="608"/>
      <c r="F66" s="611"/>
      <c r="G66" s="609"/>
      <c r="H66" s="616"/>
      <c r="I66" s="616"/>
      <c r="J66" s="614"/>
      <c r="K66" s="620"/>
      <c r="L66" s="620"/>
      <c r="M66" s="616"/>
      <c r="N66" s="606"/>
    </row>
    <row r="67" spans="1:14">
      <c r="A67" s="607"/>
      <c r="B67" s="607"/>
      <c r="C67" s="607"/>
      <c r="D67" s="607"/>
      <c r="E67" s="608"/>
      <c r="F67" s="611"/>
      <c r="G67" s="609"/>
      <c r="H67" s="616"/>
      <c r="I67" s="616"/>
      <c r="J67" s="614"/>
      <c r="K67" s="620"/>
      <c r="L67" s="620"/>
      <c r="M67" s="616"/>
      <c r="N67" s="606"/>
    </row>
    <row r="68" spans="1:14">
      <c r="A68" s="607"/>
      <c r="B68" s="607"/>
      <c r="C68" s="607"/>
      <c r="D68" s="607"/>
      <c r="E68" s="608"/>
      <c r="F68" s="611"/>
      <c r="G68" s="609"/>
      <c r="H68" s="616"/>
      <c r="I68" s="616"/>
      <c r="J68" s="614"/>
      <c r="K68" s="620"/>
      <c r="L68" s="620"/>
      <c r="M68" s="616"/>
      <c r="N68" s="606"/>
    </row>
    <row r="69" spans="1:14">
      <c r="A69" s="607"/>
      <c r="B69" s="607"/>
      <c r="C69" s="607"/>
      <c r="D69" s="607"/>
      <c r="E69" s="608"/>
      <c r="F69" s="611"/>
      <c r="G69" s="609"/>
      <c r="H69" s="616"/>
      <c r="I69" s="616"/>
      <c r="J69" s="614"/>
      <c r="K69" s="620"/>
      <c r="L69" s="620"/>
      <c r="M69" s="616"/>
      <c r="N69" s="606"/>
    </row>
    <row r="70" spans="1:14">
      <c r="A70" s="612"/>
      <c r="B70" s="613"/>
      <c r="C70" s="613"/>
      <c r="D70" s="613"/>
      <c r="E70" s="613"/>
      <c r="F70" s="611"/>
      <c r="G70" s="615"/>
      <c r="H70" s="616"/>
      <c r="I70" s="616"/>
      <c r="J70" s="614"/>
      <c r="K70" s="620"/>
      <c r="L70" s="620"/>
      <c r="M70" s="616"/>
      <c r="N70" s="606"/>
    </row>
    <row r="71" spans="1:14">
      <c r="A71" s="612"/>
      <c r="B71" s="613"/>
      <c r="C71" s="613"/>
      <c r="D71" s="613"/>
      <c r="E71" s="613"/>
      <c r="F71" s="611"/>
      <c r="G71" s="609"/>
      <c r="H71" s="616"/>
      <c r="I71" s="616"/>
      <c r="J71" s="616"/>
      <c r="K71" s="621"/>
      <c r="L71" s="621"/>
      <c r="M71" s="616"/>
      <c r="N71" s="499"/>
    </row>
    <row r="72" spans="1:14">
      <c r="A72" s="612"/>
      <c r="B72" s="613"/>
      <c r="C72" s="613"/>
      <c r="D72" s="613"/>
      <c r="E72" s="613"/>
      <c r="F72" s="611"/>
      <c r="G72" s="609"/>
      <c r="H72" s="616"/>
      <c r="I72" s="616"/>
      <c r="J72" s="614"/>
      <c r="K72" s="619"/>
      <c r="L72" s="619"/>
      <c r="M72" s="616"/>
      <c r="N72" s="606"/>
    </row>
    <row r="73" spans="1:14">
      <c r="L73" s="618"/>
      <c r="M73" s="616"/>
    </row>
  </sheetData>
  <phoneticPr fontId="18" type="noConversion"/>
  <conditionalFormatting sqref="I11:I36">
    <cfRule type="cellIs" dxfId="5" priority="3" operator="lessThan">
      <formula>4</formula>
    </cfRule>
  </conditionalFormatting>
  <conditionalFormatting sqref="I7:I10">
    <cfRule type="cellIs" dxfId="4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工作表17"/>
  <dimension ref="A1:O52"/>
  <sheetViews>
    <sheetView workbookViewId="0">
      <selection activeCell="Q13" sqref="Q13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.125" style="3" customWidth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4.125" style="21" hidden="1" customWidth="1" outlineLevel="1"/>
    <col min="11" max="11" width="11.125" style="22" customWidth="1" collapsed="1"/>
    <col min="12" max="12" width="10.375" style="22" customWidth="1"/>
    <col min="13" max="13" width="15.5" style="28" customWidth="1"/>
    <col min="14" max="14" width="8.875" style="9"/>
  </cols>
  <sheetData>
    <row r="1" spans="1:15" ht="28.5" thickBot="1">
      <c r="A1" s="4"/>
      <c r="B1" s="4"/>
      <c r="C1" s="5"/>
      <c r="D1" s="6"/>
      <c r="E1" s="6"/>
      <c r="F1" s="10"/>
      <c r="G1" s="11"/>
      <c r="H1" s="12"/>
      <c r="I1" s="13"/>
      <c r="J1" s="46"/>
      <c r="K1" s="407"/>
      <c r="L1" s="14"/>
      <c r="M1" s="27"/>
      <c r="N1" s="19"/>
      <c r="O1" s="4"/>
    </row>
    <row r="2" spans="1:15">
      <c r="D2" s="23"/>
      <c r="E2" s="29"/>
      <c r="F2" s="105"/>
      <c r="G2" s="106"/>
      <c r="H2" s="106"/>
      <c r="I2" s="107"/>
      <c r="J2" s="107"/>
      <c r="K2" s="108"/>
      <c r="L2" s="109"/>
      <c r="M2" s="111"/>
    </row>
    <row r="3" spans="1:15" ht="17.25" thickBot="1">
      <c r="D3" s="24"/>
      <c r="E3" s="30"/>
      <c r="F3" s="25"/>
      <c r="G3" s="26"/>
      <c r="H3" s="26"/>
      <c r="I3" s="52"/>
      <c r="J3" s="54"/>
      <c r="K3" s="53"/>
      <c r="L3" s="53"/>
      <c r="M3" s="50"/>
    </row>
    <row r="4" spans="1:15">
      <c r="D4" s="37"/>
      <c r="E4" s="38"/>
      <c r="F4" s="112"/>
      <c r="G4" s="113"/>
      <c r="H4" s="113"/>
      <c r="I4" s="114"/>
      <c r="J4" s="114"/>
      <c r="K4" s="114"/>
      <c r="L4" s="114"/>
      <c r="M4" s="115"/>
    </row>
    <row r="5" spans="1:15">
      <c r="D5" s="40"/>
      <c r="E5" s="7"/>
      <c r="F5" s="116"/>
      <c r="G5" s="117"/>
      <c r="H5" s="117"/>
      <c r="I5" s="118"/>
      <c r="J5" s="118"/>
      <c r="K5" s="118"/>
      <c r="L5" s="118"/>
      <c r="M5" s="120"/>
    </row>
    <row r="6" spans="1:15" ht="17.25" thickBot="1">
      <c r="D6" s="42"/>
      <c r="E6" s="43"/>
      <c r="F6" s="121"/>
      <c r="G6" s="122"/>
      <c r="H6" s="123"/>
      <c r="I6" s="124"/>
      <c r="J6" s="124"/>
      <c r="K6" s="124"/>
      <c r="L6" s="124"/>
      <c r="M6" s="45"/>
    </row>
    <row r="7" spans="1:15">
      <c r="C7"/>
      <c r="D7" s="141"/>
      <c r="E7" s="142"/>
      <c r="F7" s="104"/>
      <c r="G7" s="125"/>
      <c r="H7" s="33"/>
      <c r="I7" s="92"/>
      <c r="J7" s="92"/>
      <c r="K7" s="93"/>
      <c r="L7" s="93"/>
      <c r="M7" s="164"/>
      <c r="N7" s="18"/>
      <c r="O7" s="63"/>
    </row>
    <row r="8" spans="1:15">
      <c r="C8"/>
      <c r="D8" s="143"/>
      <c r="E8" s="144"/>
      <c r="F8" s="408"/>
      <c r="G8" s="409"/>
      <c r="H8" s="33"/>
      <c r="I8" s="92"/>
      <c r="J8" s="92"/>
      <c r="K8" s="93"/>
      <c r="L8" s="93"/>
      <c r="M8" s="164"/>
    </row>
    <row r="9" spans="1:15">
      <c r="C9"/>
      <c r="D9" s="143"/>
      <c r="E9" s="144"/>
      <c r="F9" s="408"/>
      <c r="G9" s="409"/>
      <c r="H9" s="33"/>
      <c r="I9" s="92"/>
      <c r="J9" s="92"/>
      <c r="K9" s="93"/>
      <c r="L9" s="93"/>
      <c r="M9" s="164"/>
      <c r="N9" s="18"/>
      <c r="O9" s="63"/>
    </row>
    <row r="10" spans="1:15">
      <c r="A10" s="410"/>
      <c r="B10" s="410"/>
      <c r="C10" s="410"/>
      <c r="D10" s="411"/>
      <c r="E10" s="412"/>
      <c r="F10" s="413"/>
      <c r="G10" s="414"/>
      <c r="H10" s="33"/>
      <c r="I10" s="92"/>
      <c r="J10" s="92"/>
      <c r="K10" s="93"/>
      <c r="L10" s="93"/>
      <c r="M10" s="164"/>
      <c r="N10" s="415"/>
      <c r="O10" s="410"/>
    </row>
    <row r="11" spans="1:15">
      <c r="C11"/>
      <c r="D11" s="143"/>
      <c r="E11" s="144"/>
      <c r="F11" s="408"/>
      <c r="G11" s="409"/>
      <c r="H11" s="33"/>
      <c r="I11" s="416"/>
      <c r="J11" s="92"/>
      <c r="K11" s="417"/>
      <c r="L11" s="418"/>
      <c r="M11" s="164"/>
    </row>
    <row r="12" spans="1:15">
      <c r="C12"/>
      <c r="D12" s="143"/>
      <c r="E12" s="144"/>
      <c r="F12" s="408"/>
      <c r="G12" s="409"/>
      <c r="H12" s="33"/>
      <c r="I12" s="419"/>
      <c r="J12" s="92"/>
      <c r="K12" s="417"/>
      <c r="L12" s="93"/>
      <c r="M12" s="164"/>
    </row>
    <row r="13" spans="1:15">
      <c r="C13"/>
      <c r="D13" s="143"/>
      <c r="E13" s="144"/>
      <c r="F13" s="408"/>
      <c r="G13" s="409"/>
      <c r="H13" s="33"/>
      <c r="I13" s="416"/>
      <c r="J13" s="92"/>
      <c r="K13" s="417"/>
      <c r="L13" s="92"/>
      <c r="M13" s="164"/>
    </row>
    <row r="14" spans="1:15">
      <c r="C14"/>
      <c r="D14" s="143"/>
      <c r="E14" s="144"/>
      <c r="F14" s="408"/>
      <c r="G14" s="409"/>
      <c r="H14" s="33"/>
      <c r="I14" s="416"/>
      <c r="J14" s="92"/>
      <c r="K14" s="419"/>
      <c r="L14" s="93"/>
      <c r="M14" s="164"/>
    </row>
    <row r="15" spans="1:15">
      <c r="C15"/>
      <c r="D15" s="143"/>
      <c r="E15" s="144"/>
      <c r="F15" s="408"/>
      <c r="G15" s="409"/>
      <c r="H15" s="33"/>
      <c r="I15" s="92"/>
      <c r="J15" s="92"/>
      <c r="K15" s="93"/>
      <c r="L15" s="93"/>
      <c r="M15" s="164"/>
    </row>
    <row r="16" spans="1:15">
      <c r="C16"/>
      <c r="D16" s="143"/>
      <c r="E16" s="144"/>
      <c r="F16" s="408"/>
      <c r="G16" s="409"/>
      <c r="H16" s="33"/>
      <c r="I16" s="92"/>
      <c r="J16" s="92"/>
      <c r="K16" s="93"/>
      <c r="L16" s="93"/>
      <c r="M16" s="164"/>
    </row>
    <row r="17" spans="3:13">
      <c r="C17"/>
      <c r="D17" s="143"/>
      <c r="E17" s="144"/>
      <c r="F17" s="408"/>
      <c r="G17" s="409"/>
      <c r="H17" s="33"/>
      <c r="I17" s="92"/>
      <c r="J17" s="92"/>
      <c r="K17" s="93"/>
      <c r="L17" s="93"/>
      <c r="M17" s="164"/>
    </row>
    <row r="18" spans="3:13">
      <c r="C18"/>
      <c r="D18" s="143"/>
      <c r="E18" s="144"/>
      <c r="F18" s="408"/>
      <c r="G18" s="409"/>
      <c r="H18" s="33"/>
      <c r="I18" s="92"/>
      <c r="J18" s="92"/>
      <c r="K18" s="93"/>
      <c r="L18" s="93"/>
      <c r="M18" s="164"/>
    </row>
    <row r="19" spans="3:13">
      <c r="C19"/>
      <c r="D19" s="143"/>
      <c r="E19" s="144"/>
      <c r="F19" s="408"/>
      <c r="G19" s="409"/>
      <c r="H19" s="33"/>
      <c r="I19" s="92"/>
      <c r="J19" s="92"/>
      <c r="K19" s="93"/>
      <c r="L19" s="93"/>
      <c r="M19" s="164"/>
    </row>
    <row r="20" spans="3:13">
      <c r="C20"/>
      <c r="D20" s="143"/>
      <c r="E20" s="144"/>
      <c r="F20" s="408"/>
      <c r="G20" s="409"/>
      <c r="H20" s="33"/>
      <c r="I20" s="92"/>
      <c r="J20" s="92"/>
      <c r="K20" s="93"/>
      <c r="L20" s="93"/>
      <c r="M20" s="164"/>
    </row>
    <row r="21" spans="3:13">
      <c r="C21"/>
      <c r="D21" s="143"/>
      <c r="E21" s="144"/>
      <c r="F21" s="408"/>
      <c r="G21" s="409"/>
      <c r="H21" s="33"/>
      <c r="I21" s="92"/>
      <c r="J21" s="92"/>
      <c r="K21" s="93"/>
      <c r="L21" s="93"/>
      <c r="M21" s="164"/>
    </row>
    <row r="22" spans="3:13">
      <c r="C22"/>
      <c r="D22" s="143"/>
      <c r="E22" s="144"/>
      <c r="F22" s="408"/>
      <c r="G22" s="409"/>
      <c r="H22" s="33"/>
      <c r="I22" s="92"/>
      <c r="J22" s="92"/>
      <c r="K22" s="93"/>
      <c r="L22" s="93"/>
      <c r="M22" s="164"/>
    </row>
    <row r="23" spans="3:13">
      <c r="C23"/>
      <c r="D23" s="143"/>
      <c r="E23" s="144"/>
      <c r="F23" s="408"/>
      <c r="G23" s="409"/>
      <c r="H23" s="33"/>
      <c r="I23" s="92"/>
      <c r="J23" s="92"/>
      <c r="K23" s="93"/>
      <c r="L23" s="93"/>
      <c r="M23" s="164"/>
    </row>
    <row r="24" spans="3:13">
      <c r="C24"/>
      <c r="D24" s="143"/>
      <c r="E24" s="144"/>
      <c r="F24" s="408"/>
      <c r="G24" s="409"/>
      <c r="H24" s="33"/>
      <c r="I24" s="92"/>
      <c r="J24" s="92"/>
      <c r="K24" s="93"/>
      <c r="L24" s="93"/>
      <c r="M24" s="164"/>
    </row>
    <row r="25" spans="3:13">
      <c r="C25"/>
      <c r="D25" s="143"/>
      <c r="E25" s="144"/>
      <c r="F25" s="408"/>
      <c r="G25" s="409"/>
      <c r="H25" s="33"/>
      <c r="I25" s="416"/>
      <c r="J25" s="92"/>
      <c r="K25" s="93"/>
      <c r="L25" s="92"/>
      <c r="M25" s="164"/>
    </row>
    <row r="26" spans="3:13">
      <c r="C26"/>
      <c r="D26" s="143"/>
      <c r="E26" s="144"/>
      <c r="F26" s="408"/>
      <c r="G26" s="409"/>
      <c r="H26" s="33"/>
      <c r="I26" s="416"/>
      <c r="J26" s="92"/>
      <c r="K26" s="93"/>
      <c r="L26" s="92"/>
      <c r="M26" s="164"/>
    </row>
    <row r="27" spans="3:13">
      <c r="C27"/>
      <c r="D27" s="143"/>
      <c r="E27" s="144"/>
      <c r="F27" s="408"/>
      <c r="G27" s="409"/>
      <c r="H27" s="33"/>
      <c r="I27" s="416"/>
      <c r="J27" s="92"/>
      <c r="K27" s="93"/>
      <c r="L27" s="92"/>
      <c r="M27" s="164"/>
    </row>
    <row r="28" spans="3:13">
      <c r="C28"/>
      <c r="D28" s="143"/>
      <c r="E28" s="144"/>
      <c r="F28" s="408"/>
      <c r="G28" s="409"/>
      <c r="H28" s="33"/>
      <c r="I28" s="416"/>
      <c r="J28" s="92"/>
      <c r="K28" s="93"/>
      <c r="L28" s="92"/>
      <c r="M28" s="164"/>
    </row>
    <row r="29" spans="3:13">
      <c r="C29"/>
      <c r="D29" s="143"/>
      <c r="E29" s="144"/>
      <c r="F29" s="408"/>
      <c r="G29" s="409"/>
      <c r="H29" s="33"/>
      <c r="I29" s="416"/>
      <c r="J29" s="92"/>
      <c r="K29" s="93"/>
      <c r="L29" s="92"/>
      <c r="M29" s="164"/>
    </row>
    <row r="30" spans="3:13">
      <c r="C30"/>
      <c r="D30" s="143"/>
      <c r="E30" s="144"/>
      <c r="F30" s="408"/>
      <c r="G30" s="409"/>
      <c r="H30" s="33"/>
      <c r="I30" s="416"/>
      <c r="J30" s="92"/>
      <c r="K30" s="93"/>
      <c r="L30" s="92"/>
      <c r="M30" s="164"/>
    </row>
    <row r="31" spans="3:13">
      <c r="C31"/>
      <c r="D31" s="143"/>
      <c r="E31" s="144"/>
      <c r="F31" s="408"/>
      <c r="G31" s="409"/>
      <c r="H31" s="33"/>
      <c r="I31" s="92"/>
      <c r="J31" s="92"/>
      <c r="K31" s="93"/>
      <c r="L31" s="93"/>
      <c r="M31" s="164"/>
    </row>
    <row r="32" spans="3:13">
      <c r="C32"/>
      <c r="D32" s="143"/>
      <c r="E32" s="144"/>
      <c r="F32" s="408"/>
      <c r="G32" s="409"/>
      <c r="H32" s="33"/>
      <c r="I32" s="92"/>
      <c r="J32" s="92"/>
      <c r="K32" s="93"/>
      <c r="L32" s="93"/>
      <c r="M32" s="164"/>
    </row>
    <row r="33" spans="3:13">
      <c r="C33"/>
      <c r="D33" s="143"/>
      <c r="E33" s="144"/>
      <c r="F33" s="408"/>
      <c r="G33" s="409"/>
      <c r="H33" s="33"/>
      <c r="I33" s="92"/>
      <c r="J33" s="92"/>
      <c r="K33" s="93"/>
      <c r="L33" s="93"/>
      <c r="M33" s="164"/>
    </row>
    <row r="34" spans="3:13">
      <c r="C34"/>
      <c r="D34" s="143"/>
      <c r="E34" s="144"/>
      <c r="F34" s="408"/>
      <c r="G34" s="409"/>
      <c r="H34" s="33"/>
      <c r="I34" s="92"/>
      <c r="J34" s="92"/>
      <c r="K34" s="93"/>
      <c r="L34" s="93"/>
      <c r="M34" s="164"/>
    </row>
    <row r="35" spans="3:13">
      <c r="C35"/>
      <c r="D35" s="143"/>
      <c r="E35" s="144"/>
      <c r="F35" s="408"/>
      <c r="G35" s="409"/>
      <c r="H35" s="33"/>
      <c r="I35" s="92"/>
      <c r="J35" s="92"/>
      <c r="K35" s="93"/>
      <c r="L35" s="93"/>
      <c r="M35" s="164"/>
    </row>
    <row r="36" spans="3:13">
      <c r="C36"/>
      <c r="D36" s="143"/>
      <c r="E36" s="144"/>
      <c r="F36" s="408"/>
      <c r="G36" s="409"/>
      <c r="H36" s="33"/>
      <c r="I36" s="92"/>
      <c r="J36" s="92"/>
      <c r="K36" s="93"/>
      <c r="L36" s="93"/>
      <c r="M36" s="164"/>
    </row>
    <row r="37" spans="3:13">
      <c r="C37"/>
      <c r="D37" s="143"/>
      <c r="E37" s="144"/>
      <c r="F37" s="408"/>
      <c r="G37" s="409"/>
      <c r="H37" s="33"/>
      <c r="I37" s="92"/>
      <c r="J37" s="92"/>
      <c r="K37" s="93"/>
      <c r="L37" s="93"/>
      <c r="M37" s="164"/>
    </row>
    <row r="38" spans="3:13">
      <c r="C38"/>
      <c r="D38" s="143"/>
      <c r="E38" s="144"/>
      <c r="F38" s="408"/>
      <c r="G38" s="409"/>
      <c r="H38" s="33"/>
      <c r="I38" s="92"/>
      <c r="J38" s="92"/>
      <c r="K38" s="93"/>
      <c r="L38" s="93"/>
      <c r="M38" s="164"/>
    </row>
    <row r="39" spans="3:13">
      <c r="C39"/>
      <c r="D39" s="143"/>
      <c r="E39" s="144"/>
      <c r="F39" s="408"/>
      <c r="G39" s="409"/>
      <c r="H39" s="33"/>
      <c r="I39" s="92"/>
      <c r="J39" s="92"/>
      <c r="K39" s="93"/>
      <c r="L39" s="93"/>
      <c r="M39" s="164"/>
    </row>
    <row r="40" spans="3:13">
      <c r="C40"/>
      <c r="D40" s="143"/>
      <c r="E40" s="144"/>
      <c r="F40" s="408"/>
      <c r="G40" s="409"/>
      <c r="H40" s="33"/>
      <c r="I40" s="92"/>
      <c r="J40" s="92"/>
      <c r="K40" s="93"/>
      <c r="L40" s="93"/>
      <c r="M40" s="164"/>
    </row>
    <row r="41" spans="3:13">
      <c r="C41"/>
      <c r="D41" s="143"/>
      <c r="E41" s="144"/>
      <c r="F41" s="408"/>
      <c r="G41" s="409"/>
      <c r="H41" s="33"/>
      <c r="I41" s="416"/>
      <c r="J41" s="92"/>
      <c r="K41" s="93"/>
      <c r="L41" s="92"/>
      <c r="M41" s="164"/>
    </row>
    <row r="42" spans="3:13">
      <c r="C42"/>
      <c r="D42" s="143"/>
      <c r="E42" s="144"/>
      <c r="F42" s="408"/>
      <c r="G42" s="409"/>
      <c r="H42" s="33"/>
      <c r="I42" s="419"/>
      <c r="J42" s="92"/>
      <c r="K42" s="93"/>
      <c r="L42" s="93"/>
      <c r="M42" s="164"/>
    </row>
    <row r="43" spans="3:13">
      <c r="C43"/>
      <c r="D43" s="143"/>
      <c r="E43" s="144"/>
      <c r="F43" s="408"/>
      <c r="G43" s="409"/>
      <c r="H43" s="33"/>
      <c r="I43" s="92"/>
      <c r="J43" s="92"/>
      <c r="K43" s="93"/>
      <c r="L43" s="93"/>
      <c r="M43" s="164"/>
    </row>
    <row r="44" spans="3:13">
      <c r="C44"/>
      <c r="D44" s="143"/>
      <c r="E44" s="144"/>
      <c r="F44" s="408"/>
      <c r="G44" s="409"/>
      <c r="H44" s="33"/>
      <c r="I44" s="92"/>
      <c r="J44" s="92"/>
      <c r="K44" s="93"/>
      <c r="L44" s="93"/>
      <c r="M44" s="164"/>
    </row>
    <row r="45" spans="3:13">
      <c r="C45"/>
      <c r="D45" s="143"/>
      <c r="E45" s="144"/>
      <c r="F45" s="408"/>
      <c r="G45" s="409"/>
      <c r="H45" s="33"/>
      <c r="I45" s="92"/>
      <c r="J45" s="92"/>
      <c r="K45" s="93"/>
      <c r="L45" s="93"/>
      <c r="M45" s="164"/>
    </row>
    <row r="46" spans="3:13">
      <c r="C46"/>
      <c r="D46" s="143"/>
      <c r="E46" s="144"/>
      <c r="F46" s="408"/>
      <c r="G46" s="409"/>
      <c r="H46" s="33"/>
      <c r="I46" s="92"/>
      <c r="J46" s="92"/>
      <c r="K46" s="93"/>
      <c r="L46" s="93"/>
      <c r="M46" s="164"/>
    </row>
    <row r="47" spans="3:13">
      <c r="C47"/>
      <c r="D47" s="143"/>
      <c r="E47" s="144"/>
      <c r="F47" s="408"/>
      <c r="G47" s="409"/>
      <c r="H47" s="33"/>
      <c r="I47" s="92"/>
      <c r="J47" s="92"/>
      <c r="K47" s="93"/>
      <c r="L47" s="93"/>
      <c r="M47" s="164"/>
    </row>
    <row r="48" spans="3:13">
      <c r="C48"/>
      <c r="D48" s="143"/>
      <c r="E48" s="144"/>
      <c r="F48" s="408"/>
      <c r="G48" s="409"/>
      <c r="H48" s="33"/>
      <c r="I48" s="92"/>
      <c r="J48" s="92"/>
      <c r="K48" s="93"/>
      <c r="L48" s="93"/>
      <c r="M48" s="164"/>
    </row>
    <row r="49" spans="3:13">
      <c r="C49"/>
      <c r="D49" s="143"/>
      <c r="E49" s="144"/>
      <c r="F49" s="408"/>
      <c r="G49" s="409"/>
      <c r="H49" s="33"/>
      <c r="I49" s="92"/>
      <c r="J49" s="92"/>
      <c r="K49" s="93"/>
      <c r="L49" s="93"/>
      <c r="M49" s="164"/>
    </row>
    <row r="50" spans="3:13">
      <c r="C50"/>
      <c r="D50" s="143"/>
      <c r="E50" s="144"/>
      <c r="F50" s="408"/>
      <c r="G50" s="409"/>
      <c r="H50" s="33"/>
      <c r="I50" s="92"/>
      <c r="J50" s="92"/>
      <c r="K50" s="93"/>
      <c r="L50" s="93"/>
      <c r="M50" s="164"/>
    </row>
    <row r="51" spans="3:13">
      <c r="C51"/>
      <c r="D51" s="143"/>
      <c r="E51" s="144"/>
      <c r="F51" s="408"/>
      <c r="G51" s="409"/>
      <c r="H51" s="33"/>
      <c r="I51" s="92"/>
      <c r="J51" s="92"/>
      <c r="K51" s="93"/>
      <c r="L51" s="93"/>
      <c r="M51" s="164"/>
    </row>
    <row r="52" spans="3:13">
      <c r="C52"/>
      <c r="D52" s="143"/>
      <c r="E52" s="144"/>
      <c r="F52" s="408"/>
      <c r="G52" s="409"/>
      <c r="H52" s="33"/>
      <c r="I52" s="92"/>
      <c r="J52" s="92"/>
      <c r="K52" s="93"/>
      <c r="L52" s="93"/>
      <c r="M52" s="164"/>
    </row>
  </sheetData>
  <phoneticPr fontId="18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工作表18"/>
  <dimension ref="A1:N76"/>
  <sheetViews>
    <sheetView view="pageBreakPreview" topLeftCell="A16" zoomScaleNormal="100" zoomScaleSheetLayoutView="100" workbookViewId="0">
      <selection activeCell="G14" sqref="G14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10.375" style="3" customWidth="1"/>
    <col min="5" max="5" width="19.5" style="3" customWidth="1"/>
    <col min="6" max="6" width="7.875" style="16" customWidth="1"/>
    <col min="7" max="7" width="8.625" style="17" customWidth="1" outlineLevel="1"/>
    <col min="8" max="8" width="11.125" style="51" customWidth="1" outlineLevel="1"/>
    <col min="9" max="9" width="12.625" style="21" customWidth="1"/>
    <col min="10" max="10" width="13.5" style="21" customWidth="1"/>
    <col min="11" max="11" width="11" style="22" customWidth="1" outlineLevel="1"/>
    <col min="12" max="12" width="17" style="22" customWidth="1"/>
    <col min="13" max="13" width="15.2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danny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1" t="s">
        <v>27</v>
      </c>
    </row>
    <row r="3" spans="1:14" ht="17.25" thickBot="1">
      <c r="D3" s="24"/>
      <c r="E3" s="30"/>
      <c r="F3" s="25"/>
      <c r="G3" s="26"/>
      <c r="H3" s="26"/>
      <c r="I3" s="52">
        <f>I6+J6+L6</f>
        <v>191.45</v>
      </c>
      <c r="J3" s="54"/>
      <c r="K3" s="53"/>
      <c r="L3" s="53"/>
      <c r="M3" s="50"/>
    </row>
    <row r="4" spans="1:14">
      <c r="D4" s="37"/>
      <c r="E4" s="38"/>
      <c r="F4" s="112"/>
      <c r="G4" s="113"/>
      <c r="H4" s="113"/>
      <c r="I4" s="114" t="s">
        <v>20</v>
      </c>
      <c r="J4" s="114" t="s">
        <v>97</v>
      </c>
      <c r="K4" s="114" t="s">
        <v>97</v>
      </c>
      <c r="L4" s="114" t="s">
        <v>98</v>
      </c>
      <c r="M4" s="115"/>
    </row>
    <row r="5" spans="1:14">
      <c r="D5" s="40"/>
      <c r="E5" s="7"/>
      <c r="F5" s="116" t="s">
        <v>26</v>
      </c>
      <c r="G5" s="117"/>
      <c r="H5" s="117"/>
      <c r="I5" s="118" t="s">
        <v>81</v>
      </c>
      <c r="J5" s="118" t="s">
        <v>99</v>
      </c>
      <c r="K5" s="118" t="s">
        <v>100</v>
      </c>
      <c r="L5" s="118" t="s">
        <v>102</v>
      </c>
      <c r="M5" s="120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SUM(I7:I86)</f>
        <v>181.71666666666667</v>
      </c>
      <c r="J6" s="497">
        <f>SUM(J7:J86)</f>
        <v>9.7333333333333147</v>
      </c>
      <c r="K6" s="124">
        <f>SUM(K9:K22)</f>
        <v>0</v>
      </c>
      <c r="L6" s="124">
        <f>SUM(L9:L22)</f>
        <v>0</v>
      </c>
      <c r="M6" s="45"/>
    </row>
    <row r="7" spans="1:14" s="63" customFormat="1">
      <c r="A7" s="527">
        <v>12077</v>
      </c>
      <c r="B7" s="527" t="s">
        <v>112</v>
      </c>
      <c r="C7" s="527" t="s">
        <v>112</v>
      </c>
      <c r="D7" s="527" t="s">
        <v>125</v>
      </c>
      <c r="E7" s="528">
        <v>43313.361550925925</v>
      </c>
      <c r="F7" s="531">
        <v>43313.361550925925</v>
      </c>
      <c r="G7" s="529">
        <v>0.3611111111111111</v>
      </c>
      <c r="H7" s="530">
        <v>9.9</v>
      </c>
      <c r="I7" s="530">
        <v>8</v>
      </c>
      <c r="J7" s="535"/>
      <c r="K7" s="440"/>
      <c r="L7" s="429"/>
      <c r="M7" s="429"/>
      <c r="N7" s="9"/>
    </row>
    <row r="8" spans="1:14">
      <c r="A8" s="527">
        <v>12100</v>
      </c>
      <c r="B8" s="527" t="s">
        <v>132</v>
      </c>
      <c r="C8" s="527" t="s">
        <v>112</v>
      </c>
      <c r="D8" s="527" t="s">
        <v>126</v>
      </c>
      <c r="E8" s="528">
        <v>43313.774016203701</v>
      </c>
      <c r="F8" s="531">
        <v>43313.774016203701</v>
      </c>
      <c r="G8" s="529">
        <v>0.77361111111111114</v>
      </c>
      <c r="H8" s="530" t="s">
        <v>115</v>
      </c>
      <c r="I8" s="530" t="s">
        <v>115</v>
      </c>
      <c r="J8" s="535"/>
      <c r="K8" s="440"/>
      <c r="L8" s="440"/>
      <c r="M8" s="429"/>
    </row>
    <row r="9" spans="1:14">
      <c r="A9" s="527">
        <v>12101</v>
      </c>
      <c r="B9" s="527" t="s">
        <v>132</v>
      </c>
      <c r="C9" s="527" t="s">
        <v>112</v>
      </c>
      <c r="D9" s="527" t="s">
        <v>127</v>
      </c>
      <c r="E9" s="528">
        <v>43313.774085648147</v>
      </c>
      <c r="F9" s="531">
        <v>43313.774085648147</v>
      </c>
      <c r="G9" s="529">
        <v>0.77361111111111114</v>
      </c>
      <c r="H9" s="530" t="s">
        <v>115</v>
      </c>
      <c r="I9" s="530" t="s">
        <v>115</v>
      </c>
      <c r="J9" s="536">
        <v>1.299999999999998</v>
      </c>
      <c r="K9" s="440"/>
      <c r="L9" s="440"/>
      <c r="M9" s="440"/>
    </row>
    <row r="10" spans="1:14">
      <c r="A10" s="527">
        <v>12108</v>
      </c>
      <c r="B10" s="527" t="s">
        <v>112</v>
      </c>
      <c r="C10" s="527" t="s">
        <v>112</v>
      </c>
      <c r="D10" s="527" t="s">
        <v>128</v>
      </c>
      <c r="E10" s="528">
        <v>43313.828275462962</v>
      </c>
      <c r="F10" s="531">
        <v>43313.828275462962</v>
      </c>
      <c r="G10" s="529">
        <v>0.82777777777777783</v>
      </c>
      <c r="H10" s="530" t="s">
        <v>115</v>
      </c>
      <c r="I10" s="530" t="s">
        <v>115</v>
      </c>
      <c r="J10" s="535"/>
      <c r="K10" s="440"/>
      <c r="L10" s="440"/>
      <c r="M10" s="440"/>
    </row>
    <row r="11" spans="1:14">
      <c r="A11" s="527">
        <v>12118</v>
      </c>
      <c r="B11" s="527" t="s">
        <v>112</v>
      </c>
      <c r="C11" s="527" t="s">
        <v>112</v>
      </c>
      <c r="D11" s="527" t="s">
        <v>125</v>
      </c>
      <c r="E11" s="528">
        <v>43314.363078703704</v>
      </c>
      <c r="F11" s="531">
        <v>43314.363078703704</v>
      </c>
      <c r="G11" s="529">
        <v>0.36249999999999999</v>
      </c>
      <c r="H11" s="530">
        <v>9.6833333333333353</v>
      </c>
      <c r="I11" s="530">
        <v>8</v>
      </c>
      <c r="J11" s="535"/>
      <c r="K11" s="440"/>
      <c r="L11" s="440"/>
      <c r="M11" s="440"/>
    </row>
    <row r="12" spans="1:14">
      <c r="A12" s="527">
        <v>12135</v>
      </c>
      <c r="B12" s="527" t="s">
        <v>112</v>
      </c>
      <c r="C12" s="527" t="s">
        <v>112</v>
      </c>
      <c r="D12" s="527" t="s">
        <v>126</v>
      </c>
      <c r="E12" s="528">
        <v>43314.766377314816</v>
      </c>
      <c r="F12" s="531">
        <v>43314.766377314816</v>
      </c>
      <c r="G12" s="529">
        <v>0.76597222222222217</v>
      </c>
      <c r="H12" s="530" t="s">
        <v>115</v>
      </c>
      <c r="I12" s="530" t="s">
        <v>115</v>
      </c>
      <c r="J12" s="535"/>
      <c r="K12" s="440"/>
      <c r="L12" s="440"/>
      <c r="M12" s="440"/>
    </row>
    <row r="13" spans="1:14">
      <c r="A13" s="527">
        <v>12136</v>
      </c>
      <c r="B13" s="527" t="s">
        <v>112</v>
      </c>
      <c r="C13" s="527" t="s">
        <v>112</v>
      </c>
      <c r="D13" s="527" t="s">
        <v>127</v>
      </c>
      <c r="E13" s="528">
        <v>43314.766400462962</v>
      </c>
      <c r="F13" s="531">
        <v>43314.766400462962</v>
      </c>
      <c r="G13" s="529">
        <v>0.76597222222222217</v>
      </c>
      <c r="H13" s="530" t="s">
        <v>115</v>
      </c>
      <c r="I13" s="530" t="s">
        <v>115</v>
      </c>
      <c r="J13" s="536">
        <v>1.1666666666666652</v>
      </c>
      <c r="K13" s="440"/>
      <c r="L13" s="440"/>
      <c r="M13" s="440"/>
    </row>
    <row r="14" spans="1:14">
      <c r="A14" s="527">
        <v>12151</v>
      </c>
      <c r="B14" s="527" t="s">
        <v>112</v>
      </c>
      <c r="C14" s="527" t="s">
        <v>112</v>
      </c>
      <c r="D14" s="527" t="s">
        <v>128</v>
      </c>
      <c r="E14" s="528">
        <v>43314.81521990741</v>
      </c>
      <c r="F14" s="531">
        <v>43314.81521990741</v>
      </c>
      <c r="G14" s="529">
        <v>0.81458333333333333</v>
      </c>
      <c r="H14" s="530" t="s">
        <v>115</v>
      </c>
      <c r="I14" s="530" t="s">
        <v>115</v>
      </c>
      <c r="J14" s="535"/>
      <c r="K14" s="440"/>
      <c r="L14" s="440"/>
      <c r="M14" s="440"/>
    </row>
    <row r="15" spans="1:14">
      <c r="A15" s="527">
        <v>12162</v>
      </c>
      <c r="B15" s="527" t="s">
        <v>132</v>
      </c>
      <c r="C15" s="527" t="s">
        <v>112</v>
      </c>
      <c r="D15" s="527" t="s">
        <v>125</v>
      </c>
      <c r="E15" s="528">
        <v>43315.366041666668</v>
      </c>
      <c r="F15" s="531">
        <v>43315.366041666668</v>
      </c>
      <c r="G15" s="529">
        <v>0.3659722222222222</v>
      </c>
      <c r="H15" s="530">
        <v>9.8166666666666682</v>
      </c>
      <c r="I15" s="530">
        <v>8</v>
      </c>
      <c r="J15" s="535"/>
      <c r="K15" s="440"/>
      <c r="L15" s="440"/>
      <c r="M15" s="440"/>
    </row>
    <row r="16" spans="1:14">
      <c r="A16" s="527">
        <v>12179</v>
      </c>
      <c r="B16" s="527" t="s">
        <v>112</v>
      </c>
      <c r="C16" s="527" t="s">
        <v>112</v>
      </c>
      <c r="D16" s="527" t="s">
        <v>126</v>
      </c>
      <c r="E16" s="528">
        <v>43315.775208333333</v>
      </c>
      <c r="F16" s="531">
        <v>43315.775208333333</v>
      </c>
      <c r="G16" s="529">
        <v>0.77500000000000002</v>
      </c>
      <c r="H16" s="530" t="s">
        <v>115</v>
      </c>
      <c r="I16" s="530" t="s">
        <v>115</v>
      </c>
      <c r="J16" s="535"/>
      <c r="K16" s="440"/>
      <c r="L16" s="440"/>
      <c r="M16" s="440"/>
    </row>
    <row r="17" spans="1:13">
      <c r="A17" s="527">
        <v>12195</v>
      </c>
      <c r="B17" s="527" t="s">
        <v>112</v>
      </c>
      <c r="C17" s="527" t="s">
        <v>112</v>
      </c>
      <c r="D17" s="527" t="s">
        <v>125</v>
      </c>
      <c r="E17" s="528">
        <v>43318.364050925928</v>
      </c>
      <c r="F17" s="531">
        <v>43318.364050925928</v>
      </c>
      <c r="G17" s="529">
        <v>0.36388888888888887</v>
      </c>
      <c r="H17" s="530">
        <v>10.166666666666666</v>
      </c>
      <c r="I17" s="530">
        <v>8</v>
      </c>
      <c r="J17" s="535"/>
      <c r="K17" s="440"/>
      <c r="L17" s="440"/>
      <c r="M17" s="440"/>
    </row>
    <row r="18" spans="1:13">
      <c r="A18" s="527">
        <v>12219</v>
      </c>
      <c r="B18" s="527" t="s">
        <v>112</v>
      </c>
      <c r="C18" s="527" t="s">
        <v>112</v>
      </c>
      <c r="D18" s="527" t="s">
        <v>126</v>
      </c>
      <c r="E18" s="528">
        <v>43318.787974537037</v>
      </c>
      <c r="F18" s="531">
        <v>43318.787974537037</v>
      </c>
      <c r="G18" s="529">
        <v>0.78749999999999998</v>
      </c>
      <c r="H18" s="530" t="s">
        <v>115</v>
      </c>
      <c r="I18" s="530" t="s">
        <v>115</v>
      </c>
      <c r="J18" s="535"/>
      <c r="K18" s="440"/>
      <c r="L18" s="440"/>
      <c r="M18" s="440"/>
    </row>
    <row r="19" spans="1:13">
      <c r="A19" s="527">
        <v>12233</v>
      </c>
      <c r="B19" s="527" t="s">
        <v>133</v>
      </c>
      <c r="C19" s="527" t="s">
        <v>112</v>
      </c>
      <c r="D19" s="527" t="s">
        <v>125</v>
      </c>
      <c r="E19" s="528">
        <v>43319.367280092592</v>
      </c>
      <c r="F19" s="531">
        <v>43319.367280092592</v>
      </c>
      <c r="G19" s="529">
        <v>0.3666666666666667</v>
      </c>
      <c r="H19" s="530">
        <v>9.6500000000000021</v>
      </c>
      <c r="I19" s="530">
        <v>8</v>
      </c>
      <c r="J19" s="535"/>
      <c r="K19" s="440"/>
      <c r="L19" s="440"/>
      <c r="M19" s="440"/>
    </row>
    <row r="20" spans="1:13">
      <c r="A20" s="527">
        <v>12247</v>
      </c>
      <c r="B20" s="527" t="s">
        <v>112</v>
      </c>
      <c r="C20" s="527" t="s">
        <v>112</v>
      </c>
      <c r="D20" s="527" t="s">
        <v>126</v>
      </c>
      <c r="E20" s="528">
        <v>43319.768946759257</v>
      </c>
      <c r="F20" s="531">
        <v>43319.768946759257</v>
      </c>
      <c r="G20" s="529">
        <v>0.76874999999999993</v>
      </c>
      <c r="H20" s="530" t="s">
        <v>115</v>
      </c>
      <c r="I20" s="530" t="s">
        <v>115</v>
      </c>
      <c r="J20" s="535"/>
      <c r="K20" s="440"/>
      <c r="L20" s="440"/>
      <c r="M20" s="440"/>
    </row>
    <row r="21" spans="1:13">
      <c r="A21" s="527">
        <v>12248</v>
      </c>
      <c r="B21" s="527" t="s">
        <v>112</v>
      </c>
      <c r="C21" s="527" t="s">
        <v>112</v>
      </c>
      <c r="D21" s="527" t="s">
        <v>127</v>
      </c>
      <c r="E21" s="528">
        <v>43319.768993055557</v>
      </c>
      <c r="F21" s="531">
        <v>43319.768993055557</v>
      </c>
      <c r="G21" s="529">
        <v>0.76874999999999993</v>
      </c>
      <c r="H21" s="530" t="s">
        <v>115</v>
      </c>
      <c r="I21" s="530" t="s">
        <v>115</v>
      </c>
      <c r="J21" s="536">
        <v>0.56666666666666465</v>
      </c>
      <c r="K21" s="440"/>
      <c r="L21" s="440"/>
      <c r="M21" s="440"/>
    </row>
    <row r="22" spans="1:13">
      <c r="A22" s="527">
        <v>12258</v>
      </c>
      <c r="B22" s="527" t="s">
        <v>112</v>
      </c>
      <c r="C22" s="527" t="s">
        <v>112</v>
      </c>
      <c r="D22" s="527" t="s">
        <v>128</v>
      </c>
      <c r="E22" s="528">
        <v>43319.792696759258</v>
      </c>
      <c r="F22" s="531">
        <v>43319.792696759258</v>
      </c>
      <c r="G22" s="529">
        <v>0.79236111111111107</v>
      </c>
      <c r="H22" s="530" t="s">
        <v>115</v>
      </c>
      <c r="I22" s="530" t="s">
        <v>115</v>
      </c>
      <c r="J22" s="535"/>
      <c r="K22" s="440"/>
      <c r="L22" s="440"/>
      <c r="M22" s="440"/>
    </row>
    <row r="23" spans="1:13">
      <c r="A23" s="527">
        <v>12261</v>
      </c>
      <c r="B23" s="527" t="s">
        <v>112</v>
      </c>
      <c r="C23" s="527" t="s">
        <v>112</v>
      </c>
      <c r="D23" s="527" t="s">
        <v>125</v>
      </c>
      <c r="E23" s="528">
        <v>43320.360682870371</v>
      </c>
      <c r="F23" s="531">
        <v>43320.360682870371</v>
      </c>
      <c r="G23" s="529">
        <v>0.36041666666666666</v>
      </c>
      <c r="H23" s="530">
        <v>10</v>
      </c>
      <c r="I23" s="530">
        <v>8</v>
      </c>
      <c r="J23" s="535"/>
      <c r="K23" s="440"/>
      <c r="L23" s="440"/>
      <c r="M23" s="440"/>
    </row>
    <row r="24" spans="1:13">
      <c r="A24" s="527">
        <v>12281</v>
      </c>
      <c r="B24" s="527" t="s">
        <v>112</v>
      </c>
      <c r="C24" s="527" t="s">
        <v>112</v>
      </c>
      <c r="D24" s="527" t="s">
        <v>126</v>
      </c>
      <c r="E24" s="528">
        <v>43320.777430555558</v>
      </c>
      <c r="F24" s="531">
        <v>43320.777430555558</v>
      </c>
      <c r="G24" s="529">
        <v>0.77708333333333324</v>
      </c>
      <c r="H24" s="530" t="s">
        <v>115</v>
      </c>
      <c r="I24" s="530" t="s">
        <v>115</v>
      </c>
      <c r="J24" s="535"/>
      <c r="K24" s="440"/>
      <c r="L24" s="440"/>
      <c r="M24" s="440"/>
    </row>
    <row r="25" spans="1:13">
      <c r="A25" s="527">
        <v>12284</v>
      </c>
      <c r="B25" s="527" t="s">
        <v>112</v>
      </c>
      <c r="C25" s="527" t="s">
        <v>112</v>
      </c>
      <c r="D25" s="527" t="s">
        <v>127</v>
      </c>
      <c r="E25" s="528">
        <v>43320.777592592596</v>
      </c>
      <c r="F25" s="531">
        <v>43320.777592592596</v>
      </c>
      <c r="G25" s="529">
        <v>0.77708333333333324</v>
      </c>
      <c r="H25" s="530" t="s">
        <v>115</v>
      </c>
      <c r="I25" s="530" t="s">
        <v>115</v>
      </c>
      <c r="J25" s="536">
        <v>0.38333333333333197</v>
      </c>
      <c r="K25" s="440"/>
      <c r="L25" s="440"/>
      <c r="M25" s="440"/>
    </row>
    <row r="26" spans="1:13">
      <c r="A26" s="527">
        <v>12288</v>
      </c>
      <c r="B26" s="527" t="s">
        <v>112</v>
      </c>
      <c r="C26" s="527" t="s">
        <v>112</v>
      </c>
      <c r="D26" s="527" t="s">
        <v>128</v>
      </c>
      <c r="E26" s="528">
        <v>43320.793113425927</v>
      </c>
      <c r="F26" s="531">
        <v>43320.793113425927</v>
      </c>
      <c r="G26" s="529">
        <v>0.79305555555555562</v>
      </c>
      <c r="H26" s="530" t="s">
        <v>115</v>
      </c>
      <c r="I26" s="530" t="s">
        <v>115</v>
      </c>
      <c r="J26" s="535"/>
      <c r="K26" s="440"/>
      <c r="L26" s="440"/>
      <c r="M26" s="440"/>
    </row>
    <row r="27" spans="1:13">
      <c r="A27" s="527">
        <v>12299</v>
      </c>
      <c r="B27" s="527" t="s">
        <v>112</v>
      </c>
      <c r="C27" s="527" t="s">
        <v>112</v>
      </c>
      <c r="D27" s="527" t="s">
        <v>125</v>
      </c>
      <c r="E27" s="528">
        <v>43321.362569444442</v>
      </c>
      <c r="F27" s="531">
        <v>43321.362569444442</v>
      </c>
      <c r="G27" s="529">
        <v>0.36249999999999999</v>
      </c>
      <c r="H27" s="530">
        <v>9.8000000000000007</v>
      </c>
      <c r="I27" s="530">
        <v>8</v>
      </c>
      <c r="J27" s="535"/>
      <c r="K27" s="440"/>
      <c r="L27" s="440"/>
      <c r="M27" s="440"/>
    </row>
    <row r="28" spans="1:13">
      <c r="A28" s="527">
        <v>12317</v>
      </c>
      <c r="B28" s="527" t="s">
        <v>112</v>
      </c>
      <c r="C28" s="527" t="s">
        <v>112</v>
      </c>
      <c r="D28" s="527" t="s">
        <v>126</v>
      </c>
      <c r="E28" s="528">
        <v>43321.770879629628</v>
      </c>
      <c r="F28" s="531">
        <v>43321.770879629628</v>
      </c>
      <c r="G28" s="529">
        <v>0.77083333333333337</v>
      </c>
      <c r="H28" s="530" t="s">
        <v>115</v>
      </c>
      <c r="I28" s="530" t="s">
        <v>115</v>
      </c>
      <c r="J28" s="535"/>
      <c r="K28" s="440"/>
      <c r="L28" s="440"/>
      <c r="M28" s="440"/>
    </row>
    <row r="29" spans="1:13">
      <c r="A29" s="527">
        <v>12339</v>
      </c>
      <c r="B29" s="527" t="s">
        <v>134</v>
      </c>
      <c r="C29" s="527" t="s">
        <v>112</v>
      </c>
      <c r="D29" s="527" t="s">
        <v>125</v>
      </c>
      <c r="E29" s="528">
        <v>43322.372083333335</v>
      </c>
      <c r="F29" s="531">
        <v>43322.372083333335</v>
      </c>
      <c r="G29" s="529">
        <v>0.37152777777777773</v>
      </c>
      <c r="H29" s="530">
        <v>9.7166666666666668</v>
      </c>
      <c r="I29" s="530">
        <v>8</v>
      </c>
      <c r="J29" s="535"/>
      <c r="K29" s="440"/>
      <c r="L29" s="440"/>
      <c r="M29" s="440"/>
    </row>
    <row r="30" spans="1:13">
      <c r="A30" s="527">
        <v>12354</v>
      </c>
      <c r="B30" s="527" t="s">
        <v>112</v>
      </c>
      <c r="C30" s="527" t="s">
        <v>112</v>
      </c>
      <c r="D30" s="527" t="s">
        <v>126</v>
      </c>
      <c r="E30" s="528">
        <v>43322.776828703703</v>
      </c>
      <c r="F30" s="531">
        <v>43322.776828703703</v>
      </c>
      <c r="G30" s="529">
        <v>0.77638888888888891</v>
      </c>
      <c r="H30" s="530" t="s">
        <v>115</v>
      </c>
      <c r="I30" s="530" t="s">
        <v>115</v>
      </c>
      <c r="J30" s="535"/>
      <c r="K30" s="440"/>
      <c r="L30" s="440"/>
      <c r="M30" s="440"/>
    </row>
    <row r="31" spans="1:13">
      <c r="A31" s="527">
        <v>12362</v>
      </c>
      <c r="B31" s="527" t="s">
        <v>112</v>
      </c>
      <c r="C31" s="527" t="s">
        <v>112</v>
      </c>
      <c r="D31" s="527" t="s">
        <v>125</v>
      </c>
      <c r="E31" s="528">
        <v>43325.362129629626</v>
      </c>
      <c r="F31" s="531">
        <v>43325.362129629626</v>
      </c>
      <c r="G31" s="529">
        <v>0.36180555555555555</v>
      </c>
      <c r="H31" s="530">
        <v>8.3166666666666682</v>
      </c>
      <c r="I31" s="530">
        <v>6.8166666666666682</v>
      </c>
      <c r="J31" s="535"/>
      <c r="K31" s="440"/>
      <c r="L31" s="440"/>
      <c r="M31" s="440"/>
    </row>
    <row r="32" spans="1:13">
      <c r="A32" s="527">
        <v>12372</v>
      </c>
      <c r="B32" s="527" t="s">
        <v>112</v>
      </c>
      <c r="C32" s="527" t="s">
        <v>112</v>
      </c>
      <c r="D32" s="527" t="s">
        <v>126</v>
      </c>
      <c r="E32" s="528">
        <v>43325.70894675926</v>
      </c>
      <c r="F32" s="531">
        <v>43325.70894675926</v>
      </c>
      <c r="G32" s="529">
        <v>0.70833333333333337</v>
      </c>
      <c r="H32" s="530" t="s">
        <v>115</v>
      </c>
      <c r="I32" s="530" t="s">
        <v>115</v>
      </c>
      <c r="J32" s="535"/>
      <c r="K32" s="440"/>
      <c r="L32" s="440"/>
      <c r="M32" s="440"/>
    </row>
    <row r="33" spans="1:13">
      <c r="A33" s="527">
        <v>12386</v>
      </c>
      <c r="B33" s="527" t="s">
        <v>112</v>
      </c>
      <c r="C33" s="527" t="s">
        <v>112</v>
      </c>
      <c r="D33" s="527" t="s">
        <v>125</v>
      </c>
      <c r="E33" s="528">
        <v>43326.363078703704</v>
      </c>
      <c r="F33" s="531">
        <v>43326.363078703704</v>
      </c>
      <c r="G33" s="529">
        <v>0.36249999999999999</v>
      </c>
      <c r="H33" s="530">
        <v>10.033333333333333</v>
      </c>
      <c r="I33" s="530">
        <v>8</v>
      </c>
      <c r="J33" s="535"/>
      <c r="K33" s="440"/>
      <c r="L33" s="440"/>
      <c r="M33" s="440"/>
    </row>
    <row r="34" spans="1:13">
      <c r="A34" s="527">
        <v>12400</v>
      </c>
      <c r="B34" s="527" t="s">
        <v>112</v>
      </c>
      <c r="C34" s="527" t="s">
        <v>112</v>
      </c>
      <c r="D34" s="527" t="s">
        <v>126</v>
      </c>
      <c r="E34" s="528">
        <v>43326.780891203707</v>
      </c>
      <c r="F34" s="531">
        <v>43326.780891203707</v>
      </c>
      <c r="G34" s="529">
        <v>0.78055555555555556</v>
      </c>
      <c r="H34" s="530" t="s">
        <v>115</v>
      </c>
      <c r="I34" s="530" t="s">
        <v>115</v>
      </c>
      <c r="J34" s="535"/>
      <c r="K34" s="440"/>
      <c r="L34" s="440"/>
      <c r="M34" s="440"/>
    </row>
    <row r="35" spans="1:13">
      <c r="A35" s="527">
        <v>12410</v>
      </c>
      <c r="B35" s="527" t="s">
        <v>112</v>
      </c>
      <c r="C35" s="527" t="s">
        <v>112</v>
      </c>
      <c r="D35" s="527" t="s">
        <v>125</v>
      </c>
      <c r="E35" s="528">
        <v>43327.362824074073</v>
      </c>
      <c r="F35" s="531">
        <v>43327.362824074073</v>
      </c>
      <c r="G35" s="529">
        <v>0.36249999999999999</v>
      </c>
      <c r="H35" s="530">
        <v>9.7333333333333343</v>
      </c>
      <c r="I35" s="530">
        <v>8</v>
      </c>
      <c r="J35" s="535"/>
      <c r="K35" s="440"/>
      <c r="L35" s="440"/>
      <c r="M35" s="440"/>
    </row>
    <row r="36" spans="1:13">
      <c r="A36" s="527">
        <v>12423</v>
      </c>
      <c r="B36" s="527" t="s">
        <v>112</v>
      </c>
      <c r="C36" s="527" t="s">
        <v>112</v>
      </c>
      <c r="D36" s="527" t="s">
        <v>126</v>
      </c>
      <c r="E36" s="528">
        <v>43327.768379629626</v>
      </c>
      <c r="F36" s="531">
        <v>43327.768379629626</v>
      </c>
      <c r="G36" s="529">
        <v>0.7680555555555556</v>
      </c>
      <c r="H36" s="530" t="s">
        <v>115</v>
      </c>
      <c r="I36" s="530" t="s">
        <v>115</v>
      </c>
      <c r="J36" s="535"/>
      <c r="K36" s="440"/>
      <c r="L36" s="440"/>
      <c r="M36" s="440"/>
    </row>
    <row r="37" spans="1:13">
      <c r="A37" s="527">
        <v>12424</v>
      </c>
      <c r="B37" s="527" t="s">
        <v>112</v>
      </c>
      <c r="C37" s="527" t="s">
        <v>112</v>
      </c>
      <c r="D37" s="527" t="s">
        <v>127</v>
      </c>
      <c r="E37" s="528">
        <v>43327.768425925926</v>
      </c>
      <c r="F37" s="531">
        <v>43327.768425925926</v>
      </c>
      <c r="G37" s="529">
        <v>0.7680555555555556</v>
      </c>
      <c r="H37" s="530" t="s">
        <v>115</v>
      </c>
      <c r="I37" s="530" t="s">
        <v>115</v>
      </c>
      <c r="J37" s="536">
        <v>0.49999999999999822</v>
      </c>
      <c r="K37" s="440"/>
      <c r="L37" s="440"/>
      <c r="M37" s="440"/>
    </row>
    <row r="38" spans="1:13">
      <c r="A38" s="527">
        <v>12436</v>
      </c>
      <c r="B38" s="527" t="s">
        <v>112</v>
      </c>
      <c r="C38" s="527" t="s">
        <v>112</v>
      </c>
      <c r="D38" s="527" t="s">
        <v>128</v>
      </c>
      <c r="E38" s="528">
        <v>43327.789212962962</v>
      </c>
      <c r="F38" s="531">
        <v>43327.789212962962</v>
      </c>
      <c r="G38" s="529">
        <v>0.78888888888888886</v>
      </c>
      <c r="H38" s="530" t="s">
        <v>115</v>
      </c>
      <c r="I38" s="530" t="s">
        <v>115</v>
      </c>
      <c r="J38" s="535"/>
      <c r="K38" s="440"/>
      <c r="L38" s="440"/>
      <c r="M38" s="440"/>
    </row>
    <row r="39" spans="1:13">
      <c r="A39" s="527">
        <v>12446</v>
      </c>
      <c r="B39" s="527" t="s">
        <v>112</v>
      </c>
      <c r="C39" s="527" t="s">
        <v>112</v>
      </c>
      <c r="D39" s="527" t="s">
        <v>125</v>
      </c>
      <c r="E39" s="528">
        <v>43328.365960648145</v>
      </c>
      <c r="F39" s="531">
        <v>43328.365960648145</v>
      </c>
      <c r="G39" s="529">
        <v>0.36527777777777781</v>
      </c>
      <c r="H39" s="530">
        <v>9.7333333333333343</v>
      </c>
      <c r="I39" s="530">
        <v>8</v>
      </c>
      <c r="J39" s="535"/>
      <c r="K39" s="440"/>
      <c r="L39" s="440"/>
      <c r="M39" s="440"/>
    </row>
    <row r="40" spans="1:13">
      <c r="A40" s="527">
        <v>12464</v>
      </c>
      <c r="B40" s="527" t="s">
        <v>132</v>
      </c>
      <c r="C40" s="527" t="s">
        <v>112</v>
      </c>
      <c r="D40" s="527" t="s">
        <v>126</v>
      </c>
      <c r="E40" s="528">
        <v>43328.77138888889</v>
      </c>
      <c r="F40" s="531">
        <v>43328.77138888889</v>
      </c>
      <c r="G40" s="529">
        <v>0.77083333333333337</v>
      </c>
      <c r="H40" s="530" t="s">
        <v>115</v>
      </c>
      <c r="I40" s="530" t="s">
        <v>115</v>
      </c>
      <c r="J40" s="535"/>
      <c r="K40" s="440"/>
      <c r="L40" s="440"/>
      <c r="M40" s="440"/>
    </row>
    <row r="41" spans="1:13">
      <c r="A41" s="527">
        <v>12480</v>
      </c>
      <c r="B41" s="527" t="s">
        <v>112</v>
      </c>
      <c r="C41" s="527" t="s">
        <v>112</v>
      </c>
      <c r="D41" s="527" t="s">
        <v>125</v>
      </c>
      <c r="E41" s="528">
        <v>43329.367164351854</v>
      </c>
      <c r="F41" s="531">
        <v>43329.367164351854</v>
      </c>
      <c r="G41" s="529">
        <v>0.3666666666666667</v>
      </c>
      <c r="H41" s="530">
        <v>9.6666666666666679</v>
      </c>
      <c r="I41" s="530">
        <v>8</v>
      </c>
      <c r="J41" s="535"/>
      <c r="K41" s="440"/>
      <c r="L41" s="440"/>
      <c r="M41" s="440"/>
    </row>
    <row r="42" spans="1:13">
      <c r="A42" s="527">
        <v>12490</v>
      </c>
      <c r="B42" s="527" t="s">
        <v>112</v>
      </c>
      <c r="C42" s="527" t="s">
        <v>112</v>
      </c>
      <c r="D42" s="527" t="s">
        <v>126</v>
      </c>
      <c r="E42" s="528">
        <v>43329.770069444443</v>
      </c>
      <c r="F42" s="531">
        <v>43329.770069444443</v>
      </c>
      <c r="G42" s="529">
        <v>0.76944444444444438</v>
      </c>
      <c r="H42" s="530" t="s">
        <v>115</v>
      </c>
      <c r="I42" s="530" t="s">
        <v>115</v>
      </c>
      <c r="J42" s="535"/>
      <c r="K42" s="440"/>
      <c r="L42" s="440"/>
      <c r="M42" s="440"/>
    </row>
    <row r="43" spans="1:13">
      <c r="A43" s="527">
        <v>12491</v>
      </c>
      <c r="B43" s="527" t="s">
        <v>112</v>
      </c>
      <c r="C43" s="527" t="s">
        <v>112</v>
      </c>
      <c r="D43" s="527" t="s">
        <v>127</v>
      </c>
      <c r="E43" s="528">
        <v>43329.770127314812</v>
      </c>
      <c r="F43" s="531">
        <v>43329.770127314812</v>
      </c>
      <c r="G43" s="529">
        <v>0.76944444444444438</v>
      </c>
      <c r="H43" s="530" t="s">
        <v>115</v>
      </c>
      <c r="I43" s="530" t="s">
        <v>115</v>
      </c>
      <c r="J43" s="536">
        <v>0.36666666666666536</v>
      </c>
      <c r="K43" s="440"/>
      <c r="L43" s="440"/>
      <c r="M43" s="440"/>
    </row>
    <row r="44" spans="1:13">
      <c r="A44" s="527">
        <v>12504</v>
      </c>
      <c r="B44" s="527" t="s">
        <v>112</v>
      </c>
      <c r="C44" s="527" t="s">
        <v>112</v>
      </c>
      <c r="D44" s="527" t="s">
        <v>128</v>
      </c>
      <c r="E44" s="528">
        <v>43329.785324074073</v>
      </c>
      <c r="F44" s="531">
        <v>43329.785324074073</v>
      </c>
      <c r="G44" s="529">
        <v>0.78472222222222221</v>
      </c>
      <c r="H44" s="530" t="s">
        <v>115</v>
      </c>
      <c r="I44" s="530" t="s">
        <v>115</v>
      </c>
      <c r="J44" s="535"/>
      <c r="K44" s="440"/>
      <c r="L44" s="440"/>
      <c r="M44" s="440"/>
    </row>
    <row r="45" spans="1:13">
      <c r="A45" s="527">
        <v>12513</v>
      </c>
      <c r="B45" s="527" t="s">
        <v>112</v>
      </c>
      <c r="C45" s="527" t="s">
        <v>112</v>
      </c>
      <c r="D45" s="527" t="s">
        <v>125</v>
      </c>
      <c r="E45" s="528">
        <v>43332.366666666669</v>
      </c>
      <c r="F45" s="531">
        <v>43332.366666666669</v>
      </c>
      <c r="G45" s="529">
        <v>0.3666666666666667</v>
      </c>
      <c r="H45" s="530">
        <v>9.6500000000000021</v>
      </c>
      <c r="I45" s="530">
        <v>8</v>
      </c>
      <c r="J45" s="535"/>
      <c r="K45" s="440"/>
      <c r="L45" s="440"/>
      <c r="M45" s="440"/>
    </row>
    <row r="46" spans="1:13">
      <c r="A46" s="527">
        <v>12521</v>
      </c>
      <c r="B46" s="527" t="s">
        <v>112</v>
      </c>
      <c r="C46" s="527" t="s">
        <v>112</v>
      </c>
      <c r="D46" s="527" t="s">
        <v>126</v>
      </c>
      <c r="E46" s="528">
        <v>43332.768958333334</v>
      </c>
      <c r="F46" s="531">
        <v>43332.768958333334</v>
      </c>
      <c r="G46" s="529">
        <v>0.76874999999999993</v>
      </c>
      <c r="H46" s="530" t="s">
        <v>115</v>
      </c>
      <c r="I46" s="530" t="s">
        <v>115</v>
      </c>
      <c r="J46" s="535"/>
      <c r="K46" s="440"/>
      <c r="L46" s="440"/>
      <c r="M46" s="440"/>
    </row>
    <row r="47" spans="1:13">
      <c r="A47" s="527">
        <v>12549</v>
      </c>
      <c r="B47" s="527" t="s">
        <v>112</v>
      </c>
      <c r="C47" s="527" t="s">
        <v>112</v>
      </c>
      <c r="D47" s="527" t="s">
        <v>125</v>
      </c>
      <c r="E47" s="528">
        <v>43333.362928240742</v>
      </c>
      <c r="F47" s="531">
        <v>43333.362928240742</v>
      </c>
      <c r="G47" s="529">
        <v>0.36249999999999999</v>
      </c>
      <c r="H47" s="530">
        <v>9.8500000000000014</v>
      </c>
      <c r="I47" s="530">
        <v>8</v>
      </c>
      <c r="J47" s="535"/>
      <c r="K47" s="440"/>
      <c r="L47" s="440"/>
      <c r="M47" s="440"/>
    </row>
    <row r="48" spans="1:13">
      <c r="A48" s="527">
        <v>12567</v>
      </c>
      <c r="B48" s="527" t="s">
        <v>112</v>
      </c>
      <c r="C48" s="527" t="s">
        <v>112</v>
      </c>
      <c r="D48" s="527" t="s">
        <v>126</v>
      </c>
      <c r="E48" s="528">
        <v>43333.773090277777</v>
      </c>
      <c r="F48" s="531">
        <v>43333.773090277777</v>
      </c>
      <c r="G48" s="529">
        <v>0.7729166666666667</v>
      </c>
      <c r="H48" s="530" t="s">
        <v>115</v>
      </c>
      <c r="I48" s="530" t="s">
        <v>115</v>
      </c>
      <c r="J48" s="535"/>
      <c r="K48" s="440"/>
      <c r="L48" s="440"/>
      <c r="M48" s="440"/>
    </row>
    <row r="49" spans="1:13">
      <c r="A49" s="527">
        <v>12580</v>
      </c>
      <c r="B49" s="527" t="s">
        <v>112</v>
      </c>
      <c r="C49" s="527" t="s">
        <v>112</v>
      </c>
      <c r="D49" s="527" t="s">
        <v>125</v>
      </c>
      <c r="E49" s="528">
        <v>43334.361192129632</v>
      </c>
      <c r="F49" s="531">
        <v>43334.361192129632</v>
      </c>
      <c r="G49" s="529">
        <v>0.3611111111111111</v>
      </c>
      <c r="H49" s="530">
        <v>9.8833333333333346</v>
      </c>
      <c r="I49" s="530">
        <v>8</v>
      </c>
      <c r="J49" s="535"/>
      <c r="K49" s="440"/>
      <c r="L49" s="440"/>
      <c r="M49" s="440"/>
    </row>
    <row r="50" spans="1:13">
      <c r="A50" s="527">
        <v>12600</v>
      </c>
      <c r="B50" s="527" t="s">
        <v>112</v>
      </c>
      <c r="C50" s="527" t="s">
        <v>112</v>
      </c>
      <c r="D50" s="527" t="s">
        <v>126</v>
      </c>
      <c r="E50" s="528">
        <v>43334.773564814815</v>
      </c>
      <c r="F50" s="531">
        <v>43334.773564814815</v>
      </c>
      <c r="G50" s="529">
        <v>0.7729166666666667</v>
      </c>
      <c r="H50" s="530" t="s">
        <v>115</v>
      </c>
      <c r="I50" s="530" t="s">
        <v>115</v>
      </c>
      <c r="J50" s="535"/>
      <c r="K50" s="440"/>
      <c r="L50" s="440"/>
      <c r="M50" s="440"/>
    </row>
    <row r="51" spans="1:13">
      <c r="A51" s="527">
        <v>12602</v>
      </c>
      <c r="B51" s="527" t="s">
        <v>112</v>
      </c>
      <c r="C51" s="527" t="s">
        <v>112</v>
      </c>
      <c r="D51" s="527" t="s">
        <v>127</v>
      </c>
      <c r="E51" s="528">
        <v>43334.773634259262</v>
      </c>
      <c r="F51" s="531">
        <v>43334.773634259262</v>
      </c>
      <c r="G51" s="529">
        <v>0.77361111111111114</v>
      </c>
      <c r="H51" s="530" t="s">
        <v>115</v>
      </c>
      <c r="I51" s="530" t="s">
        <v>115</v>
      </c>
      <c r="J51" s="536">
        <v>1.9999999999999982</v>
      </c>
      <c r="K51" s="440"/>
      <c r="L51" s="440"/>
      <c r="M51" s="440"/>
    </row>
    <row r="52" spans="1:13">
      <c r="A52" s="527">
        <v>12610</v>
      </c>
      <c r="B52" s="527" t="s">
        <v>112</v>
      </c>
      <c r="C52" s="527" t="s">
        <v>112</v>
      </c>
      <c r="D52" s="527" t="s">
        <v>128</v>
      </c>
      <c r="E52" s="528">
        <v>43334.857106481482</v>
      </c>
      <c r="F52" s="531">
        <v>43334.857106481482</v>
      </c>
      <c r="G52" s="529">
        <v>0.8569444444444444</v>
      </c>
      <c r="H52" s="530" t="s">
        <v>115</v>
      </c>
      <c r="I52" s="530" t="s">
        <v>115</v>
      </c>
      <c r="J52" s="535"/>
      <c r="K52" s="440"/>
      <c r="L52" s="440"/>
      <c r="M52" s="440"/>
    </row>
    <row r="53" spans="1:13">
      <c r="A53" s="527">
        <v>12619</v>
      </c>
      <c r="B53" s="527" t="s">
        <v>112</v>
      </c>
      <c r="C53" s="527" t="s">
        <v>112</v>
      </c>
      <c r="D53" s="527" t="s">
        <v>125</v>
      </c>
      <c r="E53" s="528">
        <v>43335.364328703705</v>
      </c>
      <c r="F53" s="531">
        <v>43335.364328703705</v>
      </c>
      <c r="G53" s="529">
        <v>0.36388888888888887</v>
      </c>
      <c r="H53" s="530">
        <v>9.7666666666666675</v>
      </c>
      <c r="I53" s="530">
        <v>8</v>
      </c>
      <c r="J53" s="535"/>
      <c r="K53" s="440"/>
      <c r="L53" s="440"/>
      <c r="M53" s="440"/>
    </row>
    <row r="54" spans="1:13">
      <c r="A54" s="527">
        <v>12636</v>
      </c>
      <c r="B54" s="527" t="s">
        <v>112</v>
      </c>
      <c r="C54" s="527" t="s">
        <v>112</v>
      </c>
      <c r="D54" s="527" t="s">
        <v>126</v>
      </c>
      <c r="E54" s="528">
        <v>43335.77138888889</v>
      </c>
      <c r="F54" s="531">
        <v>43335.77138888889</v>
      </c>
      <c r="G54" s="529">
        <v>0.77083333333333337</v>
      </c>
      <c r="H54" s="530" t="s">
        <v>115</v>
      </c>
      <c r="I54" s="530" t="s">
        <v>115</v>
      </c>
      <c r="J54" s="535"/>
      <c r="K54" s="440"/>
      <c r="L54" s="440"/>
      <c r="M54" s="440"/>
    </row>
    <row r="55" spans="1:13">
      <c r="A55" s="527">
        <v>12638</v>
      </c>
      <c r="B55" s="527" t="s">
        <v>112</v>
      </c>
      <c r="C55" s="527" t="s">
        <v>112</v>
      </c>
      <c r="D55" s="527" t="s">
        <v>127</v>
      </c>
      <c r="E55" s="528">
        <v>43335.771469907406</v>
      </c>
      <c r="F55" s="531">
        <v>43335.771469907406</v>
      </c>
      <c r="G55" s="529">
        <v>0.77083333333333337</v>
      </c>
      <c r="H55" s="530" t="s">
        <v>115</v>
      </c>
      <c r="I55" s="530" t="s">
        <v>115</v>
      </c>
      <c r="J55" s="536">
        <v>0.46666666666666501</v>
      </c>
      <c r="K55" s="440"/>
      <c r="L55" s="440"/>
      <c r="M55" s="440"/>
    </row>
    <row r="56" spans="1:13">
      <c r="A56" s="527">
        <v>12645</v>
      </c>
      <c r="B56" s="527" t="s">
        <v>112</v>
      </c>
      <c r="C56" s="527" t="s">
        <v>112</v>
      </c>
      <c r="D56" s="527" t="s">
        <v>128</v>
      </c>
      <c r="E56" s="528">
        <v>43335.790949074071</v>
      </c>
      <c r="F56" s="531">
        <v>43335.790949074071</v>
      </c>
      <c r="G56" s="529">
        <v>0.79027777777777775</v>
      </c>
      <c r="H56" s="530" t="s">
        <v>115</v>
      </c>
      <c r="I56" s="530" t="s">
        <v>115</v>
      </c>
      <c r="J56" s="535"/>
      <c r="K56" s="440"/>
      <c r="L56" s="440"/>
      <c r="M56" s="440"/>
    </row>
    <row r="57" spans="1:13">
      <c r="A57" s="527">
        <v>12655</v>
      </c>
      <c r="B57" s="527" t="s">
        <v>132</v>
      </c>
      <c r="C57" s="527" t="s">
        <v>112</v>
      </c>
      <c r="D57" s="527" t="s">
        <v>125</v>
      </c>
      <c r="E57" s="528">
        <v>43336.365289351852</v>
      </c>
      <c r="F57" s="531">
        <v>43336.365289351852</v>
      </c>
      <c r="G57" s="529">
        <v>0.36527777777777781</v>
      </c>
      <c r="H57" s="530">
        <v>9.6666666666666679</v>
      </c>
      <c r="I57" s="530">
        <v>8</v>
      </c>
      <c r="J57" s="535"/>
      <c r="K57" s="440"/>
      <c r="L57" s="440"/>
      <c r="M57" s="440"/>
    </row>
    <row r="58" spans="1:13">
      <c r="A58" s="527">
        <v>12666</v>
      </c>
      <c r="B58" s="527" t="s">
        <v>112</v>
      </c>
      <c r="C58" s="527" t="s">
        <v>112</v>
      </c>
      <c r="D58" s="527" t="s">
        <v>126</v>
      </c>
      <c r="E58" s="528">
        <v>43336.768680555557</v>
      </c>
      <c r="F58" s="531">
        <v>43336.768680555557</v>
      </c>
      <c r="G58" s="529">
        <v>0.7680555555555556</v>
      </c>
      <c r="H58" s="530" t="s">
        <v>115</v>
      </c>
      <c r="I58" s="530" t="s">
        <v>115</v>
      </c>
      <c r="J58" s="535"/>
      <c r="K58" s="440"/>
      <c r="L58" s="440"/>
      <c r="M58" s="440"/>
    </row>
    <row r="59" spans="1:13">
      <c r="A59" s="527">
        <v>12668</v>
      </c>
      <c r="B59" s="527" t="s">
        <v>112</v>
      </c>
      <c r="C59" s="527" t="s">
        <v>112</v>
      </c>
      <c r="D59" s="527" t="s">
        <v>127</v>
      </c>
      <c r="E59" s="528">
        <v>43336.768761574072</v>
      </c>
      <c r="F59" s="531">
        <v>43336.768761574072</v>
      </c>
      <c r="G59" s="529">
        <v>0.76874999999999993</v>
      </c>
      <c r="H59" s="530" t="s">
        <v>115</v>
      </c>
      <c r="I59" s="530" t="s">
        <v>115</v>
      </c>
      <c r="J59" s="536">
        <v>0.59999999999999787</v>
      </c>
      <c r="K59" s="440"/>
      <c r="L59" s="440"/>
      <c r="M59" s="440"/>
    </row>
    <row r="60" spans="1:13">
      <c r="A60" s="527">
        <v>12684</v>
      </c>
      <c r="B60" s="527" t="s">
        <v>112</v>
      </c>
      <c r="C60" s="527" t="s">
        <v>112</v>
      </c>
      <c r="D60" s="527" t="s">
        <v>128</v>
      </c>
      <c r="E60" s="528">
        <v>43336.794317129628</v>
      </c>
      <c r="F60" s="531">
        <v>43336.794317129628</v>
      </c>
      <c r="G60" s="529">
        <v>0.79375000000000007</v>
      </c>
      <c r="H60" s="530" t="s">
        <v>115</v>
      </c>
      <c r="I60" s="530" t="s">
        <v>115</v>
      </c>
      <c r="J60" s="535"/>
      <c r="K60" s="440"/>
      <c r="L60" s="440"/>
      <c r="M60" s="440"/>
    </row>
    <row r="61" spans="1:13">
      <c r="A61" s="527">
        <v>12696</v>
      </c>
      <c r="B61" s="527" t="s">
        <v>112</v>
      </c>
      <c r="C61" s="527" t="s">
        <v>112</v>
      </c>
      <c r="D61" s="527" t="s">
        <v>125</v>
      </c>
      <c r="E61" s="528">
        <v>43339.366180555553</v>
      </c>
      <c r="F61" s="531">
        <v>43339.366180555553</v>
      </c>
      <c r="G61" s="529">
        <v>0.3659722222222222</v>
      </c>
      <c r="H61" s="530">
        <v>9.7166666666666686</v>
      </c>
      <c r="I61" s="530">
        <v>8</v>
      </c>
      <c r="J61" s="535"/>
      <c r="K61" s="440"/>
      <c r="L61" s="440"/>
      <c r="M61" s="440"/>
    </row>
    <row r="62" spans="1:13">
      <c r="A62" s="527">
        <v>12718</v>
      </c>
      <c r="B62" s="527" t="s">
        <v>112</v>
      </c>
      <c r="C62" s="527" t="s">
        <v>112</v>
      </c>
      <c r="D62" s="527" t="s">
        <v>126</v>
      </c>
      <c r="E62" s="528">
        <v>43339.771192129629</v>
      </c>
      <c r="F62" s="531">
        <v>43339.771192129629</v>
      </c>
      <c r="G62" s="529">
        <v>0.77083333333333337</v>
      </c>
      <c r="H62" s="530" t="s">
        <v>115</v>
      </c>
      <c r="I62" s="530" t="s">
        <v>115</v>
      </c>
      <c r="J62" s="535"/>
      <c r="K62" s="440"/>
      <c r="L62" s="440"/>
      <c r="M62" s="440"/>
    </row>
    <row r="63" spans="1:13">
      <c r="A63" s="527">
        <v>12721</v>
      </c>
      <c r="B63" s="527" t="s">
        <v>112</v>
      </c>
      <c r="C63" s="527" t="s">
        <v>112</v>
      </c>
      <c r="D63" s="527" t="s">
        <v>127</v>
      </c>
      <c r="E63" s="528">
        <v>43339.771261574075</v>
      </c>
      <c r="F63" s="531">
        <v>43339.771261574075</v>
      </c>
      <c r="G63" s="529">
        <v>0.77083333333333337</v>
      </c>
      <c r="H63" s="530" t="s">
        <v>115</v>
      </c>
      <c r="I63" s="530" t="s">
        <v>115</v>
      </c>
      <c r="J63" s="536">
        <v>0.31666666666666554</v>
      </c>
      <c r="K63" s="440"/>
      <c r="L63" s="440"/>
      <c r="M63" s="440"/>
    </row>
    <row r="64" spans="1:13">
      <c r="A64" s="527">
        <v>12725</v>
      </c>
      <c r="B64" s="527" t="s">
        <v>112</v>
      </c>
      <c r="C64" s="527" t="s">
        <v>112</v>
      </c>
      <c r="D64" s="527" t="s">
        <v>128</v>
      </c>
      <c r="E64" s="528">
        <v>43339.784050925926</v>
      </c>
      <c r="F64" s="531">
        <v>43339.784050925926</v>
      </c>
      <c r="G64" s="529">
        <v>0.78402777777777777</v>
      </c>
      <c r="H64" s="530" t="s">
        <v>115</v>
      </c>
      <c r="I64" s="530" t="s">
        <v>115</v>
      </c>
      <c r="J64" s="535"/>
      <c r="K64" s="440"/>
      <c r="L64" s="440"/>
      <c r="M64" s="440"/>
    </row>
    <row r="65" spans="1:13">
      <c r="A65" s="527">
        <v>12737</v>
      </c>
      <c r="B65" s="527" t="s">
        <v>112</v>
      </c>
      <c r="C65" s="527" t="s">
        <v>112</v>
      </c>
      <c r="D65" s="527" t="s">
        <v>125</v>
      </c>
      <c r="E65" s="528">
        <v>43340.365925925929</v>
      </c>
      <c r="F65" s="531">
        <v>43340.365925925929</v>
      </c>
      <c r="G65" s="529">
        <v>0.36527777777777781</v>
      </c>
      <c r="H65" s="530">
        <v>9.6500000000000021</v>
      </c>
      <c r="I65" s="530">
        <v>8</v>
      </c>
      <c r="J65" s="535"/>
      <c r="K65" s="440"/>
      <c r="L65" s="440"/>
      <c r="M65" s="440"/>
    </row>
    <row r="66" spans="1:13">
      <c r="A66" s="527">
        <v>12747</v>
      </c>
      <c r="B66" s="527" t="s">
        <v>112</v>
      </c>
      <c r="C66" s="527" t="s">
        <v>112</v>
      </c>
      <c r="D66" s="527" t="s">
        <v>126</v>
      </c>
      <c r="E66" s="528">
        <v>43340.767754629633</v>
      </c>
      <c r="F66" s="531">
        <v>43340.767754629633</v>
      </c>
      <c r="G66" s="529">
        <v>0.76736111111111116</v>
      </c>
      <c r="H66" s="530" t="s">
        <v>115</v>
      </c>
      <c r="I66" s="530" t="s">
        <v>115</v>
      </c>
      <c r="J66" s="535"/>
      <c r="K66" s="440"/>
      <c r="L66" s="440"/>
      <c r="M66" s="440"/>
    </row>
    <row r="67" spans="1:13">
      <c r="A67" s="527">
        <v>12769</v>
      </c>
      <c r="B67" s="527" t="s">
        <v>112</v>
      </c>
      <c r="C67" s="527" t="s">
        <v>112</v>
      </c>
      <c r="D67" s="527" t="s">
        <v>125</v>
      </c>
      <c r="E67" s="528">
        <v>43341.435844907406</v>
      </c>
      <c r="F67" s="531">
        <v>43341.435844907406</v>
      </c>
      <c r="G67" s="529">
        <v>0.43541666666666662</v>
      </c>
      <c r="H67" s="530">
        <v>8.3999999999999986</v>
      </c>
      <c r="I67" s="530">
        <v>6.8999999999999986</v>
      </c>
      <c r="J67" s="535"/>
      <c r="K67" s="440"/>
      <c r="L67" s="440"/>
      <c r="M67" s="440"/>
    </row>
    <row r="68" spans="1:13">
      <c r="A68" s="527">
        <v>12785</v>
      </c>
      <c r="B68" s="527" t="s">
        <v>112</v>
      </c>
      <c r="C68" s="527" t="s">
        <v>112</v>
      </c>
      <c r="D68" s="527" t="s">
        <v>126</v>
      </c>
      <c r="E68" s="528">
        <v>43341.78601851852</v>
      </c>
      <c r="F68" s="531">
        <v>43341.78601851852</v>
      </c>
      <c r="G68" s="529">
        <v>0.78541666666666676</v>
      </c>
      <c r="H68" s="530" t="s">
        <v>115</v>
      </c>
      <c r="I68" s="530" t="s">
        <v>115</v>
      </c>
      <c r="J68" s="535"/>
      <c r="K68" s="440"/>
      <c r="L68" s="440"/>
      <c r="M68" s="440"/>
    </row>
    <row r="69" spans="1:13">
      <c r="A69" s="527">
        <v>12799</v>
      </c>
      <c r="B69" s="527" t="s">
        <v>112</v>
      </c>
      <c r="C69" s="527" t="s">
        <v>112</v>
      </c>
      <c r="D69" s="527" t="s">
        <v>125</v>
      </c>
      <c r="E69" s="528">
        <v>43342.366249999999</v>
      </c>
      <c r="F69" s="531">
        <v>43342.366249999999</v>
      </c>
      <c r="G69" s="529">
        <v>0.3659722222222222</v>
      </c>
      <c r="H69" s="530">
        <v>9.6833333333333353</v>
      </c>
      <c r="I69" s="530">
        <v>8</v>
      </c>
      <c r="J69" s="535"/>
      <c r="K69" s="440"/>
      <c r="L69" s="440"/>
      <c r="M69" s="440"/>
    </row>
    <row r="70" spans="1:13">
      <c r="A70" s="527">
        <v>12808</v>
      </c>
      <c r="B70" s="527" t="s">
        <v>112</v>
      </c>
      <c r="C70" s="527" t="s">
        <v>112</v>
      </c>
      <c r="D70" s="527" t="s">
        <v>126</v>
      </c>
      <c r="E70" s="528">
        <v>43342.769467592596</v>
      </c>
      <c r="F70" s="531">
        <v>43342.769467592596</v>
      </c>
      <c r="G70" s="529">
        <v>0.76944444444444438</v>
      </c>
      <c r="H70" s="530" t="s">
        <v>115</v>
      </c>
      <c r="I70" s="530" t="s">
        <v>115</v>
      </c>
      <c r="J70" s="535"/>
      <c r="K70" s="440"/>
      <c r="L70" s="440"/>
      <c r="M70" s="440"/>
    </row>
    <row r="71" spans="1:13">
      <c r="A71" s="527">
        <v>12815</v>
      </c>
      <c r="B71" s="527" t="s">
        <v>112</v>
      </c>
      <c r="C71" s="527" t="s">
        <v>112</v>
      </c>
      <c r="D71" s="527" t="s">
        <v>127</v>
      </c>
      <c r="E71" s="528">
        <v>43342.771203703705</v>
      </c>
      <c r="F71" s="531">
        <v>43342.771203703705</v>
      </c>
      <c r="G71" s="529">
        <v>0.77083333333333337</v>
      </c>
      <c r="H71" s="530" t="s">
        <v>115</v>
      </c>
      <c r="I71" s="530" t="s">
        <v>115</v>
      </c>
      <c r="J71" s="536">
        <v>1.3166666666666647</v>
      </c>
      <c r="K71" s="440"/>
      <c r="L71" s="440"/>
      <c r="M71" s="440"/>
    </row>
    <row r="72" spans="1:13">
      <c r="A72" s="527">
        <v>12824</v>
      </c>
      <c r="B72" s="527" t="s">
        <v>112</v>
      </c>
      <c r="C72" s="527" t="s">
        <v>112</v>
      </c>
      <c r="D72" s="527" t="s">
        <v>128</v>
      </c>
      <c r="E72" s="528">
        <v>43342.825960648152</v>
      </c>
      <c r="F72" s="531">
        <v>43342.825960648152</v>
      </c>
      <c r="G72" s="529">
        <v>0.8256944444444444</v>
      </c>
      <c r="H72" s="530" t="s">
        <v>115</v>
      </c>
      <c r="I72" s="530" t="s">
        <v>115</v>
      </c>
      <c r="J72" s="535"/>
      <c r="K72" s="440"/>
      <c r="L72" s="440"/>
      <c r="M72" s="440"/>
    </row>
    <row r="73" spans="1:13">
      <c r="A73" s="527">
        <v>12835</v>
      </c>
      <c r="B73" s="527" t="s">
        <v>112</v>
      </c>
      <c r="C73" s="527" t="s">
        <v>112</v>
      </c>
      <c r="D73" s="527" t="s">
        <v>125</v>
      </c>
      <c r="E73" s="528">
        <v>43343.369826388887</v>
      </c>
      <c r="F73" s="531">
        <v>43343.369826388887</v>
      </c>
      <c r="G73" s="529">
        <v>0.36944444444444446</v>
      </c>
      <c r="H73" s="530">
        <v>9.6333333333333329</v>
      </c>
      <c r="I73" s="530">
        <v>8</v>
      </c>
      <c r="J73" s="535"/>
      <c r="K73" s="440"/>
      <c r="L73" s="440"/>
      <c r="M73" s="440"/>
    </row>
    <row r="74" spans="1:13">
      <c r="A74" s="532">
        <v>12835</v>
      </c>
      <c r="B74" s="532" t="s">
        <v>112</v>
      </c>
      <c r="C74" s="532" t="s">
        <v>112</v>
      </c>
      <c r="D74" s="532" t="s">
        <v>137</v>
      </c>
      <c r="E74" s="533">
        <v>43343.770833333336</v>
      </c>
      <c r="F74" s="531">
        <v>43343.770833333336</v>
      </c>
      <c r="G74" s="529">
        <v>0.77083333333333337</v>
      </c>
      <c r="H74" s="530" t="s">
        <v>115</v>
      </c>
      <c r="I74" s="530" t="s">
        <v>115</v>
      </c>
      <c r="J74" s="535"/>
      <c r="K74" s="440"/>
      <c r="L74" s="440"/>
      <c r="M74" s="440"/>
    </row>
    <row r="75" spans="1:13">
      <c r="A75" s="532">
        <v>12835</v>
      </c>
      <c r="B75" s="532" t="s">
        <v>112</v>
      </c>
      <c r="C75" s="532" t="s">
        <v>112</v>
      </c>
      <c r="D75" s="532" t="s">
        <v>138</v>
      </c>
      <c r="E75" s="533">
        <v>43343.770833333336</v>
      </c>
      <c r="F75" s="531">
        <v>43343.770833333336</v>
      </c>
      <c r="G75" s="529">
        <v>0.77083333333333337</v>
      </c>
      <c r="H75" s="530" t="s">
        <v>115</v>
      </c>
      <c r="I75" s="530" t="s">
        <v>115</v>
      </c>
      <c r="J75" s="536">
        <v>0.75</v>
      </c>
      <c r="K75" s="440"/>
      <c r="L75" s="440"/>
      <c r="M75" s="440"/>
    </row>
    <row r="76" spans="1:13">
      <c r="A76" s="532">
        <v>12835</v>
      </c>
      <c r="B76" s="532" t="s">
        <v>112</v>
      </c>
      <c r="C76" s="532" t="s">
        <v>112</v>
      </c>
      <c r="D76" s="532" t="s">
        <v>139</v>
      </c>
      <c r="E76" s="533">
        <v>43343.802465277775</v>
      </c>
      <c r="F76" s="531">
        <v>43343.302465277775</v>
      </c>
      <c r="G76" s="529">
        <v>0.30208333333333331</v>
      </c>
      <c r="H76" s="530" t="s">
        <v>115</v>
      </c>
      <c r="I76" s="530" t="s">
        <v>115</v>
      </c>
      <c r="J76" s="535"/>
      <c r="K76" s="440"/>
      <c r="L76" s="440"/>
      <c r="M76" s="440"/>
    </row>
  </sheetData>
  <phoneticPr fontId="18" type="noConversion"/>
  <conditionalFormatting sqref="I7:I76">
    <cfRule type="cellIs" dxfId="3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工作表19">
    <pageSetUpPr fitToPage="1"/>
  </sheetPr>
  <dimension ref="A1:T9"/>
  <sheetViews>
    <sheetView view="pageBreakPreview" zoomScaleNormal="100" zoomScaleSheetLayoutView="100" workbookViewId="0">
      <selection activeCell="O21" sqref="O21"/>
    </sheetView>
  </sheetViews>
  <sheetFormatPr defaultRowHeight="16.5" outlineLevelCol="1"/>
  <cols>
    <col min="1" max="1" width="5.625" customWidth="1" outlineLevel="1"/>
    <col min="2" max="2" width="6.875" customWidth="1" outlineLevel="1"/>
    <col min="3" max="3" width="6.5" style="3" customWidth="1" outlineLevel="1"/>
    <col min="4" max="4" width="9" style="3"/>
    <col min="5" max="5" width="16.5" style="3" customWidth="1"/>
    <col min="6" max="6" width="6.25" style="16" customWidth="1"/>
    <col min="7" max="7" width="8.625" style="17" customWidth="1" outlineLevel="1"/>
    <col min="8" max="8" width="11.125" style="51" customWidth="1" outlineLevel="1"/>
    <col min="9" max="9" width="10.25" style="21" customWidth="1"/>
    <col min="10" max="10" width="10" style="21" customWidth="1"/>
    <col min="11" max="11" width="8.375" style="22" customWidth="1" outlineLevel="1"/>
    <col min="12" max="12" width="8.375" style="22" customWidth="1"/>
    <col min="13" max="13" width="10.5" style="22" customWidth="1"/>
    <col min="14" max="14" width="8.75" style="22" customWidth="1"/>
    <col min="15" max="16" width="9" style="9"/>
    <col min="17" max="17" width="2.5" style="9" customWidth="1"/>
    <col min="18" max="18" width="9" style="9"/>
    <col min="19" max="19" width="3" customWidth="1"/>
    <col min="20" max="20" width="7.5" customWidth="1"/>
  </cols>
  <sheetData>
    <row r="1" spans="1:20" s="4" customFormat="1" ht="28.5" thickBot="1">
      <c r="C1" s="5"/>
      <c r="D1" s="6"/>
      <c r="E1" s="6"/>
      <c r="F1" s="10"/>
      <c r="G1" s="11"/>
      <c r="H1" s="12"/>
      <c r="I1" s="13" t="str">
        <f>B7</f>
        <v>owen</v>
      </c>
      <c r="J1" s="46" t="s">
        <v>29</v>
      </c>
      <c r="K1" s="14"/>
      <c r="L1" s="14"/>
      <c r="M1" s="14"/>
      <c r="N1" s="14"/>
      <c r="O1" s="19"/>
      <c r="P1" s="19"/>
      <c r="Q1" s="19"/>
      <c r="R1" s="19"/>
    </row>
    <row r="2" spans="1:20">
      <c r="D2" s="133" t="s">
        <v>74</v>
      </c>
      <c r="E2" s="184"/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</row>
    <row r="3" spans="1:20" ht="17.25" thickBot="1">
      <c r="D3" s="24" t="s">
        <v>76</v>
      </c>
      <c r="E3" s="185">
        <v>0</v>
      </c>
      <c r="F3" s="25"/>
      <c r="G3" s="26"/>
      <c r="H3" s="26"/>
      <c r="I3" s="88"/>
      <c r="J3" s="54">
        <f>D5+E5</f>
        <v>0</v>
      </c>
      <c r="K3" s="53">
        <f>SUM(K7:K8)</f>
        <v>0</v>
      </c>
      <c r="L3" s="53">
        <f>D5</f>
        <v>0</v>
      </c>
      <c r="M3" s="53">
        <f>M6-L3</f>
        <v>0</v>
      </c>
      <c r="N3" s="53">
        <f>N6</f>
        <v>0</v>
      </c>
    </row>
    <row r="4" spans="1:20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P4" s="15" t="s">
        <v>23</v>
      </c>
      <c r="Q4" s="9" t="s">
        <v>30</v>
      </c>
      <c r="R4" s="15" t="s">
        <v>25</v>
      </c>
      <c r="S4" s="48" t="s">
        <v>31</v>
      </c>
      <c r="T4" s="49">
        <f>I6+J6</f>
        <v>0.8</v>
      </c>
    </row>
    <row r="5" spans="1:20">
      <c r="D5" s="87">
        <v>0</v>
      </c>
      <c r="E5" s="86">
        <v>0</v>
      </c>
      <c r="F5" s="13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P5" s="9" t="s">
        <v>40</v>
      </c>
      <c r="R5" s="57">
        <f>(L6+M6+N6)/160</f>
        <v>0</v>
      </c>
    </row>
    <row r="6" spans="1:20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>SUM(I7:I79)</f>
        <v>0.8</v>
      </c>
      <c r="J6" s="509">
        <f>SUM(J7:J79)</f>
        <v>0</v>
      </c>
      <c r="K6" s="509">
        <f>SUM(K7:K8)</f>
        <v>0</v>
      </c>
      <c r="L6" s="509">
        <f>SUM(L9:L79)</f>
        <v>0</v>
      </c>
      <c r="M6" s="509">
        <f>SUM(M7:M79)</f>
        <v>0</v>
      </c>
      <c r="N6" s="509">
        <f>SUM(N7:N79)</f>
        <v>0</v>
      </c>
      <c r="P6" s="47"/>
    </row>
    <row r="7" spans="1:20" s="2" customFormat="1">
      <c r="A7" s="591">
        <v>12290</v>
      </c>
      <c r="B7" s="591" t="s">
        <v>87</v>
      </c>
      <c r="C7" s="591" t="s">
        <v>87</v>
      </c>
      <c r="D7" s="591" t="s">
        <v>125</v>
      </c>
      <c r="E7" s="592">
        <v>43320.805023148147</v>
      </c>
      <c r="F7" s="595">
        <v>43320.805023148147</v>
      </c>
      <c r="G7" s="593">
        <v>0.80486111111111114</v>
      </c>
      <c r="H7" s="594">
        <v>0.79999999999999982</v>
      </c>
      <c r="I7" s="594">
        <v>0.8</v>
      </c>
      <c r="J7" s="594">
        <v>0</v>
      </c>
      <c r="K7" s="590"/>
      <c r="L7" s="590"/>
      <c r="M7" s="590"/>
      <c r="N7" s="590"/>
      <c r="O7" s="8"/>
      <c r="P7" s="9"/>
      <c r="Q7" s="8"/>
      <c r="R7" s="9"/>
    </row>
    <row r="8" spans="1:20">
      <c r="A8" s="591">
        <v>12291</v>
      </c>
      <c r="B8" s="591" t="s">
        <v>87</v>
      </c>
      <c r="C8" s="591" t="s">
        <v>87</v>
      </c>
      <c r="D8" s="591" t="s">
        <v>126</v>
      </c>
      <c r="E8" s="592">
        <v>43320.838333333333</v>
      </c>
      <c r="F8" s="595">
        <v>43320.838333333333</v>
      </c>
      <c r="G8" s="593">
        <v>0.83819444444444446</v>
      </c>
      <c r="H8" s="594" t="s">
        <v>115</v>
      </c>
      <c r="I8" s="594" t="s">
        <v>115</v>
      </c>
      <c r="J8" s="594" t="s">
        <v>115</v>
      </c>
      <c r="K8" s="594"/>
      <c r="L8" s="594"/>
      <c r="M8" s="594"/>
      <c r="N8" s="594"/>
    </row>
    <row r="9" spans="1:20">
      <c r="D9"/>
    </row>
  </sheetData>
  <phoneticPr fontId="18" type="noConversion"/>
  <conditionalFormatting sqref="I7:I8">
    <cfRule type="cellIs" dxfId="2" priority="1" operator="lessThan">
      <formula>4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92" fitToHeight="0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工作表20">
    <pageSetUpPr fitToPage="1"/>
  </sheetPr>
  <dimension ref="A1:W59"/>
  <sheetViews>
    <sheetView view="pageBreakPreview" topLeftCell="D1" zoomScaleNormal="100" zoomScaleSheetLayoutView="100" workbookViewId="0">
      <selection activeCell="V18" sqref="V18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.75" style="3" customWidth="1" collapsed="1"/>
    <col min="5" max="5" width="16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4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lorah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</row>
    <row r="2" spans="1:23">
      <c r="D2" s="133" t="s">
        <v>74</v>
      </c>
      <c r="E2" s="386">
        <f>72-48-7</f>
        <v>17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5">
        <v>800</v>
      </c>
      <c r="F3" s="25"/>
      <c r="G3" s="26"/>
      <c r="H3" s="26"/>
      <c r="I3" s="88"/>
      <c r="J3" s="54">
        <f>D5+E5</f>
        <v>0</v>
      </c>
      <c r="K3" s="53">
        <f>SUM(K7:K30)</f>
        <v>5.0666666666666647</v>
      </c>
      <c r="L3" s="53">
        <f>J3</f>
        <v>0</v>
      </c>
      <c r="M3" s="53">
        <f>M6-J3</f>
        <v>4.9166666666666643</v>
      </c>
      <c r="N3" s="53">
        <f>N6</f>
        <v>0.15000000000000036</v>
      </c>
      <c r="O3" s="50"/>
    </row>
    <row r="4" spans="1:23">
      <c r="D4" s="134" t="s">
        <v>43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64</v>
      </c>
    </row>
    <row r="5" spans="1:23">
      <c r="D5" s="87">
        <v>0</v>
      </c>
      <c r="E5" s="86">
        <v>0</v>
      </c>
      <c r="F5" s="86">
        <v>7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3.1666666666666655E-2</v>
      </c>
    </row>
    <row r="6" spans="1:23" ht="17.25" thickBot="1">
      <c r="A6" t="s">
        <v>0</v>
      </c>
      <c r="B6" t="s">
        <v>1</v>
      </c>
      <c r="C6" s="3" t="s">
        <v>2</v>
      </c>
      <c r="D6" s="524" t="s">
        <v>3</v>
      </c>
      <c r="E6" s="525" t="s">
        <v>4</v>
      </c>
      <c r="F6" s="507"/>
      <c r="G6" s="523"/>
      <c r="H6" s="525" t="s">
        <v>22</v>
      </c>
      <c r="I6" s="509">
        <f t="shared" ref="I6:N6" si="0">SUM(I7:I80)</f>
        <v>57</v>
      </c>
      <c r="J6" s="509">
        <f t="shared" si="0"/>
        <v>7</v>
      </c>
      <c r="K6" s="509">
        <f t="shared" si="0"/>
        <v>5.0666666666666647</v>
      </c>
      <c r="L6" s="509">
        <f t="shared" si="0"/>
        <v>0</v>
      </c>
      <c r="M6" s="509">
        <f t="shared" si="0"/>
        <v>4.9166666666666643</v>
      </c>
      <c r="N6" s="509">
        <f t="shared" si="0"/>
        <v>0.15000000000000036</v>
      </c>
      <c r="O6" s="45"/>
    </row>
    <row r="7" spans="1:23" s="2" customFormat="1">
      <c r="A7" s="568">
        <v>12075</v>
      </c>
      <c r="B7" s="568" t="s">
        <v>38</v>
      </c>
      <c r="C7" s="568" t="s">
        <v>38</v>
      </c>
      <c r="D7" s="568" t="s">
        <v>125</v>
      </c>
      <c r="E7" s="569">
        <v>43313.358159722222</v>
      </c>
      <c r="F7" s="574">
        <v>43313.358159722222</v>
      </c>
      <c r="G7" s="570">
        <v>0.3576388888888889</v>
      </c>
      <c r="H7" s="571">
        <v>9.6999999999999993</v>
      </c>
      <c r="I7" s="571">
        <v>8</v>
      </c>
      <c r="J7" s="571" t="s">
        <v>115</v>
      </c>
      <c r="K7" s="571"/>
      <c r="L7" s="571"/>
      <c r="M7" s="571"/>
      <c r="N7" s="571"/>
      <c r="O7" s="515"/>
      <c r="P7" s="345"/>
      <c r="Q7" s="369"/>
      <c r="R7" s="149"/>
      <c r="S7" s="149"/>
      <c r="T7" s="130"/>
      <c r="U7" s="130"/>
      <c r="V7" s="130"/>
      <c r="W7" s="63"/>
    </row>
    <row r="8" spans="1:23">
      <c r="A8" s="568">
        <v>12088</v>
      </c>
      <c r="B8" s="568" t="s">
        <v>38</v>
      </c>
      <c r="C8" s="568" t="s">
        <v>38</v>
      </c>
      <c r="D8" s="568" t="s">
        <v>126</v>
      </c>
      <c r="E8" s="569">
        <v>43313.76190972222</v>
      </c>
      <c r="F8" s="574">
        <v>43313.76190972222</v>
      </c>
      <c r="G8" s="570">
        <v>0.76180555555555562</v>
      </c>
      <c r="H8" s="571" t="s">
        <v>115</v>
      </c>
      <c r="I8" s="571" t="s">
        <v>115</v>
      </c>
      <c r="J8" s="571" t="s">
        <v>115</v>
      </c>
      <c r="K8" s="565"/>
      <c r="L8" s="565"/>
      <c r="M8" s="565"/>
      <c r="N8" s="571"/>
      <c r="O8" s="515"/>
      <c r="Q8" s="369"/>
      <c r="R8" s="149"/>
      <c r="S8" s="149"/>
      <c r="T8" s="130"/>
      <c r="U8" s="130"/>
      <c r="V8" s="130"/>
      <c r="W8" s="63"/>
    </row>
    <row r="9" spans="1:23" s="392" customFormat="1">
      <c r="A9" s="568">
        <v>12099</v>
      </c>
      <c r="B9" s="568" t="s">
        <v>38</v>
      </c>
      <c r="C9" s="568" t="s">
        <v>38</v>
      </c>
      <c r="D9" s="568" t="s">
        <v>127</v>
      </c>
      <c r="E9" s="569">
        <v>43313.771423611113</v>
      </c>
      <c r="F9" s="574">
        <v>43313.771423611113</v>
      </c>
      <c r="G9" s="570">
        <v>0.77083333333333337</v>
      </c>
      <c r="H9" s="571" t="s">
        <v>115</v>
      </c>
      <c r="I9" s="571" t="s">
        <v>115</v>
      </c>
      <c r="J9" s="571" t="s">
        <v>115</v>
      </c>
      <c r="K9" s="571">
        <v>0.51666666666666483</v>
      </c>
      <c r="L9" s="565"/>
      <c r="M9" s="571">
        <v>0.51666666666666483</v>
      </c>
      <c r="N9" s="571">
        <v>0</v>
      </c>
      <c r="O9" s="506"/>
      <c r="P9" s="345"/>
      <c r="Q9" s="16"/>
      <c r="R9" s="137"/>
      <c r="S9" s="137"/>
      <c r="T9" s="16"/>
      <c r="U9" s="16"/>
      <c r="V9" s="16"/>
      <c r="W9" s="16"/>
    </row>
    <row r="10" spans="1:23" s="392" customFormat="1">
      <c r="A10" s="568">
        <v>12105</v>
      </c>
      <c r="B10" s="568" t="s">
        <v>38</v>
      </c>
      <c r="C10" s="568" t="s">
        <v>38</v>
      </c>
      <c r="D10" s="568" t="s">
        <v>128</v>
      </c>
      <c r="E10" s="569">
        <v>43313.792511574073</v>
      </c>
      <c r="F10" s="574">
        <v>43313.792511574073</v>
      </c>
      <c r="G10" s="570">
        <v>0.79236111111111107</v>
      </c>
      <c r="H10" s="571" t="s">
        <v>115</v>
      </c>
      <c r="I10" s="571" t="s">
        <v>115</v>
      </c>
      <c r="J10" s="571" t="s">
        <v>115</v>
      </c>
      <c r="K10" s="565"/>
      <c r="L10" s="565"/>
      <c r="M10" s="565"/>
      <c r="N10" s="571"/>
      <c r="O10" s="506"/>
      <c r="P10" s="16"/>
      <c r="Q10" s="16"/>
      <c r="R10" s="137"/>
      <c r="S10" s="137"/>
      <c r="T10" s="16"/>
      <c r="U10" s="16"/>
      <c r="V10" s="16"/>
      <c r="W10" s="16"/>
    </row>
    <row r="11" spans="1:23" s="563" customFormat="1">
      <c r="A11" s="572">
        <v>12126</v>
      </c>
      <c r="B11" s="572" t="s">
        <v>38</v>
      </c>
      <c r="C11" s="572" t="s">
        <v>38</v>
      </c>
      <c r="D11" s="572" t="s">
        <v>130</v>
      </c>
      <c r="E11" s="573">
        <v>43314.457152777781</v>
      </c>
      <c r="F11" s="441">
        <v>43314.457152777781</v>
      </c>
      <c r="G11" s="442">
        <v>0.45694444444444443</v>
      </c>
      <c r="H11" s="443">
        <v>7.533333333333335</v>
      </c>
      <c r="I11" s="443">
        <v>5.5</v>
      </c>
      <c r="J11" s="443">
        <v>2.5</v>
      </c>
      <c r="K11" s="567"/>
      <c r="L11" s="567"/>
      <c r="M11" s="567"/>
      <c r="N11" s="443"/>
      <c r="O11" s="506" t="s">
        <v>140</v>
      </c>
      <c r="P11" s="564"/>
      <c r="Q11" s="566"/>
      <c r="R11" s="564"/>
      <c r="S11" s="564"/>
    </row>
    <row r="12" spans="1:23" s="563" customFormat="1">
      <c r="A12" s="572">
        <v>12138</v>
      </c>
      <c r="B12" s="572" t="s">
        <v>38</v>
      </c>
      <c r="C12" s="572" t="s">
        <v>38</v>
      </c>
      <c r="D12" s="572" t="s">
        <v>131</v>
      </c>
      <c r="E12" s="573">
        <v>43314.770983796298</v>
      </c>
      <c r="F12" s="441">
        <v>43314.770983796298</v>
      </c>
      <c r="G12" s="442">
        <v>0.77083333333333337</v>
      </c>
      <c r="H12" s="443" t="s">
        <v>115</v>
      </c>
      <c r="I12" s="443" t="s">
        <v>115</v>
      </c>
      <c r="J12" s="443" t="s">
        <v>115</v>
      </c>
      <c r="K12" s="567"/>
      <c r="L12" s="567"/>
      <c r="M12" s="567"/>
      <c r="N12" s="443"/>
      <c r="O12" s="506"/>
      <c r="P12" s="564"/>
      <c r="Q12" s="566"/>
      <c r="R12" s="564"/>
      <c r="S12" s="564"/>
    </row>
    <row r="13" spans="1:23">
      <c r="A13" s="568">
        <v>12139</v>
      </c>
      <c r="B13" s="568" t="s">
        <v>38</v>
      </c>
      <c r="C13" s="568" t="s">
        <v>38</v>
      </c>
      <c r="D13" s="568" t="s">
        <v>127</v>
      </c>
      <c r="E13" s="569">
        <v>43314.771053240744</v>
      </c>
      <c r="F13" s="574">
        <v>43314.771053240744</v>
      </c>
      <c r="G13" s="570">
        <v>0.77083333333333337</v>
      </c>
      <c r="H13" s="571" t="s">
        <v>115</v>
      </c>
      <c r="I13" s="571" t="s">
        <v>115</v>
      </c>
      <c r="J13" s="571" t="s">
        <v>115</v>
      </c>
      <c r="K13" s="571">
        <v>0.83333333333333304</v>
      </c>
      <c r="L13" s="565"/>
      <c r="M13" s="571">
        <v>0.83333333333333304</v>
      </c>
      <c r="N13" s="571">
        <v>0</v>
      </c>
      <c r="O13" s="515"/>
      <c r="P13" s="137"/>
      <c r="Q13" s="397"/>
      <c r="R13" s="137"/>
      <c r="S13" s="137"/>
      <c r="T13" s="16"/>
      <c r="U13" s="16"/>
      <c r="V13" s="16"/>
      <c r="W13" s="63"/>
    </row>
    <row r="14" spans="1:23">
      <c r="A14" s="568">
        <v>12148</v>
      </c>
      <c r="B14" s="568" t="s">
        <v>114</v>
      </c>
      <c r="C14" s="568" t="s">
        <v>38</v>
      </c>
      <c r="D14" s="568" t="s">
        <v>128</v>
      </c>
      <c r="E14" s="569">
        <v>43314.806192129632</v>
      </c>
      <c r="F14" s="574">
        <v>43314.806192129632</v>
      </c>
      <c r="G14" s="570">
        <v>0.80555555555555547</v>
      </c>
      <c r="H14" s="571" t="s">
        <v>115</v>
      </c>
      <c r="I14" s="571" t="s">
        <v>115</v>
      </c>
      <c r="J14" s="571" t="s">
        <v>115</v>
      </c>
      <c r="K14" s="565"/>
      <c r="L14" s="565"/>
      <c r="M14" s="565"/>
      <c r="N14" s="571"/>
      <c r="O14" s="515"/>
      <c r="P14" s="137"/>
      <c r="Q14" s="397"/>
      <c r="R14" s="137"/>
      <c r="S14" s="137"/>
      <c r="T14" s="16"/>
      <c r="U14" s="16"/>
      <c r="V14" s="16"/>
      <c r="W14" s="63"/>
    </row>
    <row r="15" spans="1:23" s="2" customFormat="1">
      <c r="A15" s="568">
        <v>12161</v>
      </c>
      <c r="B15" s="568" t="s">
        <v>38</v>
      </c>
      <c r="C15" s="568" t="s">
        <v>38</v>
      </c>
      <c r="D15" s="568" t="s">
        <v>125</v>
      </c>
      <c r="E15" s="569">
        <v>43315.36273148148</v>
      </c>
      <c r="F15" s="574">
        <v>43315.36273148148</v>
      </c>
      <c r="G15" s="570">
        <v>0.36249999999999999</v>
      </c>
      <c r="H15" s="571">
        <v>9.8500000000000014</v>
      </c>
      <c r="I15" s="571">
        <v>8</v>
      </c>
      <c r="J15" s="571" t="s">
        <v>115</v>
      </c>
      <c r="K15" s="565"/>
      <c r="L15" s="565"/>
      <c r="M15" s="565"/>
      <c r="N15" s="571"/>
      <c r="O15" s="515"/>
      <c r="P15" s="345"/>
      <c r="Q15" s="369"/>
      <c r="R15" s="372"/>
      <c r="S15" s="372"/>
      <c r="T15" s="373"/>
      <c r="U15" s="373"/>
      <c r="V15" s="373"/>
      <c r="W15" s="187"/>
    </row>
    <row r="16" spans="1:23" s="63" customFormat="1">
      <c r="A16" s="568">
        <v>12174</v>
      </c>
      <c r="B16" s="568" t="s">
        <v>38</v>
      </c>
      <c r="C16" s="568" t="s">
        <v>38</v>
      </c>
      <c r="D16" s="568" t="s">
        <v>126</v>
      </c>
      <c r="E16" s="569">
        <v>43315.773333333331</v>
      </c>
      <c r="F16" s="574">
        <v>43315.773333333331</v>
      </c>
      <c r="G16" s="570">
        <v>0.7729166666666667</v>
      </c>
      <c r="H16" s="571" t="s">
        <v>115</v>
      </c>
      <c r="I16" s="571" t="s">
        <v>115</v>
      </c>
      <c r="J16" s="571" t="s">
        <v>115</v>
      </c>
      <c r="K16" s="565"/>
      <c r="L16" s="565"/>
      <c r="M16" s="565"/>
      <c r="N16" s="571"/>
      <c r="O16" s="515"/>
      <c r="P16" s="345"/>
      <c r="Q16" s="369"/>
      <c r="R16" s="372"/>
      <c r="S16" s="372"/>
      <c r="T16" s="373"/>
      <c r="U16" s="373"/>
      <c r="V16" s="373"/>
    </row>
    <row r="17" spans="1:23" s="63" customFormat="1">
      <c r="A17" s="568">
        <v>12175</v>
      </c>
      <c r="B17" s="568" t="s">
        <v>38</v>
      </c>
      <c r="C17" s="568" t="s">
        <v>38</v>
      </c>
      <c r="D17" s="568" t="s">
        <v>127</v>
      </c>
      <c r="E17" s="569">
        <v>43315.773379629631</v>
      </c>
      <c r="F17" s="574">
        <v>43315.773379629631</v>
      </c>
      <c r="G17" s="570">
        <v>0.7729166666666667</v>
      </c>
      <c r="H17" s="571" t="s">
        <v>115</v>
      </c>
      <c r="I17" s="571" t="s">
        <v>115</v>
      </c>
      <c r="J17" s="571" t="s">
        <v>115</v>
      </c>
      <c r="K17" s="571">
        <v>1.5666666666666664</v>
      </c>
      <c r="L17" s="565"/>
      <c r="M17" s="571">
        <v>1.5666666666666664</v>
      </c>
      <c r="N17" s="571">
        <v>0</v>
      </c>
      <c r="O17" s="515"/>
      <c r="P17" s="9"/>
      <c r="Q17" s="345"/>
      <c r="R17" s="372"/>
      <c r="S17" s="372"/>
      <c r="T17" s="373"/>
      <c r="U17" s="373"/>
      <c r="V17" s="373"/>
      <c r="W17" s="9"/>
    </row>
    <row r="18" spans="1:23" s="63" customFormat="1">
      <c r="A18" s="568">
        <v>12189</v>
      </c>
      <c r="B18" s="568" t="s">
        <v>38</v>
      </c>
      <c r="C18" s="568" t="s">
        <v>38</v>
      </c>
      <c r="D18" s="568" t="s">
        <v>128</v>
      </c>
      <c r="E18" s="569">
        <v>43315.838877314818</v>
      </c>
      <c r="F18" s="574">
        <v>43315.838877314818</v>
      </c>
      <c r="G18" s="570">
        <v>0.83819444444444446</v>
      </c>
      <c r="H18" s="571" t="s">
        <v>115</v>
      </c>
      <c r="I18" s="571" t="s">
        <v>115</v>
      </c>
      <c r="J18" s="571" t="s">
        <v>115</v>
      </c>
      <c r="K18" s="565"/>
      <c r="L18" s="565"/>
      <c r="M18" s="565"/>
      <c r="N18" s="571"/>
      <c r="O18" s="515"/>
      <c r="P18" s="9"/>
      <c r="Q18" s="345"/>
      <c r="R18" s="372"/>
      <c r="S18" s="372"/>
      <c r="T18" s="373"/>
      <c r="U18" s="373"/>
      <c r="V18" s="373"/>
      <c r="W18"/>
    </row>
    <row r="19" spans="1:23" s="63" customFormat="1">
      <c r="A19" s="568">
        <v>12194</v>
      </c>
      <c r="B19" s="568" t="s">
        <v>38</v>
      </c>
      <c r="C19" s="568" t="s">
        <v>38</v>
      </c>
      <c r="D19" s="568" t="s">
        <v>125</v>
      </c>
      <c r="E19" s="569">
        <v>43318.360729166663</v>
      </c>
      <c r="F19" s="574">
        <v>43318.360729166663</v>
      </c>
      <c r="G19" s="570">
        <v>0.36041666666666666</v>
      </c>
      <c r="H19" s="571">
        <v>9.6666666666666661</v>
      </c>
      <c r="I19" s="571">
        <v>8</v>
      </c>
      <c r="J19" s="571" t="s">
        <v>115</v>
      </c>
      <c r="K19" s="565"/>
      <c r="L19" s="565"/>
      <c r="M19" s="565"/>
      <c r="N19" s="571"/>
      <c r="O19" s="515"/>
      <c r="P19" s="9"/>
      <c r="Q19" s="345"/>
      <c r="R19" s="372"/>
      <c r="S19" s="372"/>
      <c r="T19" s="373"/>
      <c r="U19" s="373"/>
      <c r="V19" s="373"/>
      <c r="W19"/>
    </row>
    <row r="20" spans="1:23">
      <c r="A20" s="568">
        <v>12207</v>
      </c>
      <c r="B20" s="568" t="s">
        <v>38</v>
      </c>
      <c r="C20" s="568" t="s">
        <v>38</v>
      </c>
      <c r="D20" s="568" t="s">
        <v>126</v>
      </c>
      <c r="E20" s="569">
        <v>43318.763831018521</v>
      </c>
      <c r="F20" s="574">
        <v>43318.763831018521</v>
      </c>
      <c r="G20" s="570">
        <v>0.7631944444444444</v>
      </c>
      <c r="H20" s="571" t="s">
        <v>115</v>
      </c>
      <c r="I20" s="571" t="s">
        <v>115</v>
      </c>
      <c r="J20" s="571" t="s">
        <v>115</v>
      </c>
      <c r="K20" s="565"/>
      <c r="L20" s="565"/>
      <c r="M20" s="565"/>
      <c r="N20" s="571"/>
      <c r="O20" s="515"/>
      <c r="P20" s="9"/>
      <c r="R20" s="372"/>
      <c r="S20" s="372"/>
      <c r="T20" s="373"/>
      <c r="U20" s="373"/>
      <c r="V20" s="373"/>
      <c r="W20" s="63"/>
    </row>
    <row r="21" spans="1:23" s="63" customFormat="1">
      <c r="A21" s="568">
        <v>12216</v>
      </c>
      <c r="B21" s="568" t="s">
        <v>38</v>
      </c>
      <c r="C21" s="568" t="s">
        <v>38</v>
      </c>
      <c r="D21" s="568" t="s">
        <v>127</v>
      </c>
      <c r="E21" s="569">
        <v>43318.77039351852</v>
      </c>
      <c r="F21" s="574">
        <v>43318.77039351852</v>
      </c>
      <c r="G21" s="570">
        <v>0.77013888888888893</v>
      </c>
      <c r="H21" s="571" t="s">
        <v>115</v>
      </c>
      <c r="I21" s="571" t="s">
        <v>115</v>
      </c>
      <c r="J21" s="571" t="s">
        <v>115</v>
      </c>
      <c r="K21" s="571">
        <v>2.1500000000000004</v>
      </c>
      <c r="L21" s="565"/>
      <c r="M21" s="571">
        <v>2</v>
      </c>
      <c r="N21" s="571">
        <v>0.15000000000000036</v>
      </c>
      <c r="O21" s="515"/>
      <c r="P21" s="9"/>
      <c r="Q21" s="345"/>
      <c r="R21" s="372"/>
      <c r="S21" s="372"/>
      <c r="T21" s="373"/>
      <c r="U21" s="373"/>
      <c r="V21" s="373"/>
    </row>
    <row r="22" spans="1:23">
      <c r="A22" s="568">
        <v>12221</v>
      </c>
      <c r="B22" s="568" t="s">
        <v>38</v>
      </c>
      <c r="C22" s="568" t="s">
        <v>38</v>
      </c>
      <c r="D22" s="568" t="s">
        <v>128</v>
      </c>
      <c r="E22" s="569">
        <v>43318.859803240739</v>
      </c>
      <c r="F22" s="574">
        <v>43318.859803240739</v>
      </c>
      <c r="G22" s="570">
        <v>0.85972222222222217</v>
      </c>
      <c r="H22" s="571" t="s">
        <v>115</v>
      </c>
      <c r="I22" s="571" t="s">
        <v>115</v>
      </c>
      <c r="J22" s="571" t="s">
        <v>115</v>
      </c>
      <c r="K22" s="565"/>
      <c r="L22" s="565"/>
      <c r="M22" s="565"/>
      <c r="N22" s="571"/>
      <c r="O22" s="515"/>
      <c r="P22" s="9"/>
      <c r="R22" s="372"/>
      <c r="S22" s="372"/>
      <c r="T22" s="373"/>
      <c r="U22" s="373"/>
      <c r="V22" s="373"/>
      <c r="W22" s="63"/>
    </row>
    <row r="23" spans="1:23" s="2" customFormat="1">
      <c r="A23" s="572">
        <v>12228</v>
      </c>
      <c r="B23" s="572" t="s">
        <v>38</v>
      </c>
      <c r="C23" s="572" t="s">
        <v>38</v>
      </c>
      <c r="D23" s="572" t="s">
        <v>130</v>
      </c>
      <c r="E23" s="573">
        <v>43319.356458333335</v>
      </c>
      <c r="F23" s="441">
        <v>43319.356458333335</v>
      </c>
      <c r="G23" s="442">
        <v>0.35625000000000001</v>
      </c>
      <c r="H23" s="443">
        <v>3.7666666666666653</v>
      </c>
      <c r="I23" s="443">
        <v>3.5</v>
      </c>
      <c r="J23" s="443">
        <v>4.5</v>
      </c>
      <c r="K23" s="567"/>
      <c r="L23" s="567"/>
      <c r="M23" s="567"/>
      <c r="N23" s="443"/>
      <c r="O23" s="506" t="s">
        <v>140</v>
      </c>
      <c r="P23" s="9"/>
      <c r="Q23" s="345"/>
      <c r="R23" s="372"/>
      <c r="S23" s="372"/>
      <c r="T23" s="373"/>
      <c r="U23" s="373"/>
      <c r="V23" s="373"/>
      <c r="W23" s="16"/>
    </row>
    <row r="24" spans="1:23">
      <c r="A24" s="572">
        <v>12241</v>
      </c>
      <c r="B24" s="572" t="s">
        <v>38</v>
      </c>
      <c r="C24" s="572" t="s">
        <v>38</v>
      </c>
      <c r="D24" s="572" t="s">
        <v>131</v>
      </c>
      <c r="E24" s="573">
        <v>43319.513391203705</v>
      </c>
      <c r="F24" s="441">
        <v>43319.513391203705</v>
      </c>
      <c r="G24" s="442">
        <v>0.5131944444444444</v>
      </c>
      <c r="H24" s="443" t="s">
        <v>115</v>
      </c>
      <c r="I24" s="443" t="s">
        <v>115</v>
      </c>
      <c r="J24" s="443" t="s">
        <v>115</v>
      </c>
      <c r="K24" s="567"/>
      <c r="L24" s="567"/>
      <c r="M24" s="567"/>
      <c r="N24" s="443"/>
      <c r="O24" s="506"/>
      <c r="P24" s="9"/>
      <c r="R24" s="372"/>
      <c r="S24" s="372"/>
      <c r="T24" s="373"/>
      <c r="U24" s="373"/>
      <c r="V24" s="373"/>
      <c r="W24" s="63"/>
    </row>
    <row r="25" spans="1:23" s="63" customFormat="1">
      <c r="A25" s="568">
        <v>12262</v>
      </c>
      <c r="B25" s="568" t="s">
        <v>38</v>
      </c>
      <c r="C25" s="568" t="s">
        <v>38</v>
      </c>
      <c r="D25" s="568" t="s">
        <v>125</v>
      </c>
      <c r="E25" s="569">
        <v>43320.365960648145</v>
      </c>
      <c r="F25" s="574">
        <v>43320.365960648145</v>
      </c>
      <c r="G25" s="570">
        <v>0.36527777777777781</v>
      </c>
      <c r="H25" s="571">
        <v>9.6666666666666679</v>
      </c>
      <c r="I25" s="571">
        <v>8</v>
      </c>
      <c r="J25" s="571" t="s">
        <v>115</v>
      </c>
      <c r="K25" s="565"/>
      <c r="L25" s="565"/>
      <c r="M25" s="565"/>
      <c r="N25" s="571"/>
      <c r="O25" s="515"/>
      <c r="P25" s="9"/>
      <c r="Q25" s="345"/>
      <c r="R25" s="372"/>
      <c r="S25" s="372"/>
      <c r="T25" s="373"/>
      <c r="U25" s="373"/>
      <c r="V25" s="373"/>
      <c r="W25"/>
    </row>
    <row r="26" spans="1:23" s="63" customFormat="1">
      <c r="A26" s="568">
        <v>12273</v>
      </c>
      <c r="B26" s="568" t="s">
        <v>38</v>
      </c>
      <c r="C26" s="568" t="s">
        <v>38</v>
      </c>
      <c r="D26" s="568" t="s">
        <v>126</v>
      </c>
      <c r="E26" s="569">
        <v>43320.76871527778</v>
      </c>
      <c r="F26" s="574">
        <v>43320.76871527778</v>
      </c>
      <c r="G26" s="570">
        <v>0.7680555555555556</v>
      </c>
      <c r="H26" s="571" t="s">
        <v>115</v>
      </c>
      <c r="I26" s="571" t="s">
        <v>115</v>
      </c>
      <c r="J26" s="571" t="s">
        <v>115</v>
      </c>
      <c r="K26" s="565"/>
      <c r="L26" s="565"/>
      <c r="M26" s="565"/>
      <c r="N26" s="571"/>
      <c r="O26" s="515"/>
      <c r="P26" s="9"/>
      <c r="Q26" s="345"/>
      <c r="R26" s="372"/>
      <c r="S26" s="372"/>
      <c r="T26" s="373"/>
      <c r="U26" s="373"/>
      <c r="V26" s="373"/>
      <c r="W26"/>
    </row>
    <row r="27" spans="1:23" s="16" customFormat="1">
      <c r="A27" s="568">
        <v>12298</v>
      </c>
      <c r="B27" s="568" t="s">
        <v>38</v>
      </c>
      <c r="C27" s="568" t="s">
        <v>38</v>
      </c>
      <c r="D27" s="568" t="s">
        <v>125</v>
      </c>
      <c r="E27" s="569">
        <v>43321.358587962961</v>
      </c>
      <c r="F27" s="574">
        <v>43321.358587962961</v>
      </c>
      <c r="G27" s="570">
        <v>0.35833333333333334</v>
      </c>
      <c r="H27" s="571">
        <v>9.6666666666666661</v>
      </c>
      <c r="I27" s="571">
        <v>8</v>
      </c>
      <c r="J27" s="571" t="s">
        <v>115</v>
      </c>
      <c r="K27" s="565"/>
      <c r="L27" s="565"/>
      <c r="M27" s="565"/>
      <c r="N27" s="571"/>
      <c r="O27" s="515"/>
      <c r="P27" s="9"/>
      <c r="Q27" s="345"/>
      <c r="R27" s="372"/>
      <c r="S27" s="401"/>
      <c r="T27" s="401"/>
      <c r="U27" s="401"/>
      <c r="V27" s="401"/>
      <c r="W27" s="398"/>
    </row>
    <row r="28" spans="1:23" s="16" customFormat="1">
      <c r="A28" s="568">
        <v>12313</v>
      </c>
      <c r="B28" s="568" t="s">
        <v>38</v>
      </c>
      <c r="C28" s="568" t="s">
        <v>38</v>
      </c>
      <c r="D28" s="568" t="s">
        <v>126</v>
      </c>
      <c r="E28" s="569">
        <v>43321.761793981481</v>
      </c>
      <c r="F28" s="574">
        <v>43321.761793981481</v>
      </c>
      <c r="G28" s="570">
        <v>0.76111111111111107</v>
      </c>
      <c r="H28" s="571" t="s">
        <v>115</v>
      </c>
      <c r="I28" s="571" t="s">
        <v>115</v>
      </c>
      <c r="J28" s="571" t="s">
        <v>115</v>
      </c>
      <c r="K28" s="565"/>
      <c r="L28" s="565"/>
      <c r="M28" s="565"/>
      <c r="N28" s="571"/>
      <c r="O28" s="515"/>
      <c r="P28" s="9"/>
      <c r="Q28" s="345"/>
      <c r="R28" s="372"/>
      <c r="S28" s="372"/>
      <c r="T28" s="373"/>
      <c r="U28" s="373"/>
      <c r="V28" s="373"/>
      <c r="W28" s="398"/>
    </row>
    <row r="29" spans="1:23" s="16" customFormat="1">
      <c r="A29" s="568">
        <v>12333</v>
      </c>
      <c r="B29" s="568" t="s">
        <v>38</v>
      </c>
      <c r="C29" s="568" t="s">
        <v>38</v>
      </c>
      <c r="D29" s="568" t="s">
        <v>125</v>
      </c>
      <c r="E29" s="569">
        <v>43322.362233796295</v>
      </c>
      <c r="F29" s="574">
        <v>43322.362233796295</v>
      </c>
      <c r="G29" s="570">
        <v>0.36180555555555555</v>
      </c>
      <c r="H29" s="571">
        <v>9.6166666666666654</v>
      </c>
      <c r="I29" s="571">
        <v>8</v>
      </c>
      <c r="J29" s="571" t="s">
        <v>115</v>
      </c>
      <c r="K29" s="565"/>
      <c r="L29" s="565"/>
      <c r="M29" s="565"/>
      <c r="N29" s="571"/>
      <c r="O29" s="515"/>
      <c r="P29" s="9"/>
      <c r="Q29" s="345"/>
      <c r="R29" s="372"/>
      <c r="S29" s="372"/>
      <c r="T29" s="373"/>
      <c r="U29" s="373"/>
      <c r="V29" s="373"/>
      <c r="W29"/>
    </row>
    <row r="30" spans="1:23" s="16" customFormat="1">
      <c r="A30" s="568">
        <v>12349</v>
      </c>
      <c r="B30" s="568" t="s">
        <v>38</v>
      </c>
      <c r="C30" s="568" t="s">
        <v>38</v>
      </c>
      <c r="D30" s="568" t="s">
        <v>126</v>
      </c>
      <c r="E30" s="569">
        <v>43322.762511574074</v>
      </c>
      <c r="F30" s="574">
        <v>43322.762511574074</v>
      </c>
      <c r="G30" s="570">
        <v>0.76250000000000007</v>
      </c>
      <c r="H30" s="571" t="s">
        <v>115</v>
      </c>
      <c r="I30" s="571" t="s">
        <v>115</v>
      </c>
      <c r="J30" s="571" t="s">
        <v>115</v>
      </c>
      <c r="K30" s="571"/>
      <c r="L30" s="571"/>
      <c r="M30" s="571"/>
      <c r="N30" s="571"/>
      <c r="O30" s="515" t="s">
        <v>142</v>
      </c>
      <c r="P30" s="9"/>
      <c r="Q30" s="345"/>
      <c r="R30" s="372"/>
      <c r="S30" s="372"/>
      <c r="T30" s="373"/>
      <c r="U30" s="373"/>
      <c r="V30" s="373"/>
      <c r="W30"/>
    </row>
    <row r="31" spans="1:23">
      <c r="D31" s="458"/>
      <c r="E31" s="336"/>
      <c r="F31" s="373"/>
      <c r="G31" s="376"/>
      <c r="H31" s="377"/>
      <c r="I31" s="378"/>
      <c r="J31" s="378"/>
      <c r="K31" s="379"/>
      <c r="L31" s="379"/>
      <c r="M31" s="379"/>
      <c r="N31" s="379"/>
      <c r="O31" s="380"/>
    </row>
    <row r="32" spans="1:23">
      <c r="D32" s="9" t="s">
        <v>36</v>
      </c>
      <c r="O32" s="454"/>
    </row>
    <row r="33" spans="4:22">
      <c r="D33" s="9" t="s">
        <v>35</v>
      </c>
      <c r="O33" s="454"/>
      <c r="P33" s="399"/>
      <c r="Q33" s="399"/>
      <c r="R33" s="399"/>
      <c r="S33" s="399"/>
      <c r="T33" s="399"/>
      <c r="U33" s="399"/>
      <c r="V33" s="399"/>
    </row>
    <row r="34" spans="4:22">
      <c r="D34" s="172" t="s">
        <v>63</v>
      </c>
      <c r="O34" s="454"/>
    </row>
    <row r="35" spans="4:22">
      <c r="D35" s="458" t="s">
        <v>66</v>
      </c>
      <c r="O35" s="454"/>
    </row>
    <row r="36" spans="4:22">
      <c r="D36" s="458" t="s">
        <v>64</v>
      </c>
      <c r="E36" s="336"/>
      <c r="F36" s="373"/>
      <c r="G36" s="376"/>
      <c r="H36" s="377"/>
      <c r="I36" s="378"/>
      <c r="J36" s="378"/>
      <c r="K36" s="379"/>
      <c r="L36" s="379"/>
      <c r="M36" s="379"/>
      <c r="N36" s="379"/>
      <c r="O36" s="454"/>
    </row>
    <row r="37" spans="4:22">
      <c r="D37" s="458" t="s">
        <v>68</v>
      </c>
      <c r="E37" s="336"/>
      <c r="F37" s="373"/>
      <c r="G37" s="376"/>
      <c r="H37" s="377"/>
      <c r="I37" s="378"/>
      <c r="J37" s="378"/>
      <c r="K37" s="379"/>
      <c r="L37" s="379"/>
      <c r="M37" s="379"/>
      <c r="N37" s="379"/>
      <c r="O37" s="454"/>
      <c r="P37" s="444"/>
      <c r="Q37" s="444"/>
      <c r="R37" s="444"/>
      <c r="S37" s="444"/>
      <c r="T37" s="398"/>
      <c r="U37" s="398"/>
      <c r="V37" s="398"/>
    </row>
    <row r="38" spans="4:22">
      <c r="D38" s="458" t="s">
        <v>69</v>
      </c>
      <c r="E38" s="336"/>
      <c r="F38" s="373"/>
      <c r="G38" s="376"/>
      <c r="H38" s="377"/>
      <c r="I38" s="378"/>
      <c r="J38" s="378"/>
      <c r="K38" s="379"/>
      <c r="L38" s="379"/>
      <c r="M38" s="379"/>
      <c r="N38" s="379"/>
      <c r="O38" s="454"/>
      <c r="P38" s="18"/>
      <c r="Q38" s="18"/>
      <c r="R38" s="18"/>
      <c r="S38" s="18"/>
      <c r="T38" s="63"/>
      <c r="U38" s="63"/>
      <c r="V38" s="63"/>
    </row>
    <row r="39" spans="4:22">
      <c r="D39" s="458" t="s">
        <v>116</v>
      </c>
      <c r="E39" s="336"/>
      <c r="F39" s="373"/>
      <c r="G39" s="376"/>
      <c r="H39" s="377"/>
      <c r="I39" s="378"/>
      <c r="J39" s="378"/>
      <c r="K39" s="379"/>
      <c r="L39" s="379"/>
      <c r="M39" s="379"/>
      <c r="N39" s="379"/>
    </row>
    <row r="40" spans="4:22">
      <c r="D40" s="458" t="s">
        <v>67</v>
      </c>
      <c r="E40" s="336"/>
      <c r="F40" s="373"/>
      <c r="G40" s="376"/>
      <c r="H40" s="377"/>
      <c r="I40" s="378"/>
      <c r="J40" s="378"/>
      <c r="K40" s="379"/>
      <c r="L40" s="379"/>
      <c r="M40" s="379"/>
      <c r="N40" s="379"/>
    </row>
    <row r="41" spans="4:22">
      <c r="P41" s="18"/>
      <c r="Q41" s="18"/>
      <c r="R41" s="18"/>
      <c r="S41" s="18"/>
      <c r="T41" s="63"/>
      <c r="U41" s="63"/>
      <c r="V41" s="63"/>
    </row>
    <row r="59" spans="19:22">
      <c r="S59" s="444"/>
      <c r="T59" s="398"/>
      <c r="U59" s="398"/>
      <c r="V59" s="398"/>
    </row>
  </sheetData>
  <phoneticPr fontId="18" type="noConversion"/>
  <conditionalFormatting sqref="I7:I30">
    <cfRule type="cellIs" dxfId="1" priority="1" operator="lessThan">
      <formula>4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fitToHeight="0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工作表21"/>
  <dimension ref="A1:W126"/>
  <sheetViews>
    <sheetView view="pageBreakPreview" topLeftCell="D1" zoomScaleNormal="100" zoomScaleSheetLayoutView="100" workbookViewId="0">
      <selection activeCell="L16" sqref="L16"/>
    </sheetView>
  </sheetViews>
  <sheetFormatPr defaultRowHeight="16.5" outlineLevelCol="1"/>
  <cols>
    <col min="1" max="2" width="6.875" hidden="1" customWidth="1" outlineLevel="1"/>
    <col min="3" max="3" width="6.5" style="3" hidden="1" customWidth="1" outlineLevel="1"/>
    <col min="4" max="4" width="9.75" style="3" customWidth="1" collapsed="1"/>
    <col min="5" max="5" width="16.125" style="3" customWidth="1"/>
    <col min="6" max="6" width="7.5" style="16" customWidth="1"/>
    <col min="7" max="7" width="8.625" style="17" hidden="1" customWidth="1" outlineLevel="1"/>
    <col min="8" max="8" width="6.25" style="51" hidden="1" customWidth="1" outlineLevel="1"/>
    <col min="9" max="9" width="9.37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125" style="22" customWidth="1"/>
    <col min="15" max="15" width="10.625" style="28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18.125" style="335" customWidth="1"/>
  </cols>
  <sheetData>
    <row r="1" spans="1:23" s="4" customFormat="1" ht="28.5" thickBot="1">
      <c r="C1" s="5"/>
      <c r="D1" s="6"/>
      <c r="E1" s="6"/>
      <c r="F1" s="10"/>
      <c r="G1" s="11"/>
      <c r="H1" s="12"/>
      <c r="I1" s="13" t="str">
        <f>B7</f>
        <v>amber</v>
      </c>
      <c r="J1" s="46" t="s">
        <v>29</v>
      </c>
      <c r="K1" s="14"/>
      <c r="L1" s="14"/>
      <c r="M1" s="14"/>
      <c r="N1" s="14"/>
      <c r="O1" s="27"/>
      <c r="P1" s="334"/>
      <c r="Q1" s="334"/>
      <c r="R1" s="334"/>
      <c r="S1" s="334"/>
      <c r="T1" s="324"/>
      <c r="U1" s="324"/>
      <c r="V1" s="324"/>
      <c r="W1" s="324"/>
    </row>
    <row r="2" spans="1:23">
      <c r="D2" s="133" t="s">
        <v>74</v>
      </c>
      <c r="E2" s="184">
        <v>0</v>
      </c>
      <c r="F2" s="79" t="s">
        <v>75</v>
      </c>
      <c r="G2" s="80"/>
      <c r="H2" s="80"/>
      <c r="I2" s="81"/>
      <c r="J2" s="81" t="s">
        <v>53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3" ht="17.25" thickBot="1">
      <c r="D3" s="24" t="s">
        <v>76</v>
      </c>
      <c r="E3" s="188">
        <v>0</v>
      </c>
      <c r="F3" s="25"/>
      <c r="G3" s="26"/>
      <c r="H3" s="26"/>
      <c r="I3" s="88"/>
      <c r="J3" s="54">
        <f>D5+E5</f>
        <v>19.5</v>
      </c>
      <c r="K3" s="53">
        <f>SUM(K7:K76)</f>
        <v>6.18333333333333</v>
      </c>
      <c r="L3" s="53">
        <f>M6+N6</f>
        <v>6.18333333333333</v>
      </c>
      <c r="M3" s="53">
        <v>0</v>
      </c>
      <c r="N3" s="53">
        <v>0</v>
      </c>
      <c r="O3" s="50"/>
    </row>
    <row r="4" spans="1:23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160</v>
      </c>
      <c r="W4" s="448"/>
    </row>
    <row r="5" spans="1:23">
      <c r="D5" s="387">
        <f>J6</f>
        <v>19.5</v>
      </c>
      <c r="E5" s="136">
        <v>0</v>
      </c>
      <c r="F5" s="139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345" t="s">
        <v>40</v>
      </c>
      <c r="S5" s="363">
        <f>(L6+M6+N6)/160</f>
        <v>3.864583333333331E-2</v>
      </c>
      <c r="W5" s="448"/>
    </row>
    <row r="6" spans="1:23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 t="shared" ref="I6:N6" si="0">SUM(I7:I52)</f>
        <v>140.5</v>
      </c>
      <c r="J6" s="78">
        <f t="shared" si="0"/>
        <v>19.5</v>
      </c>
      <c r="K6" s="78">
        <f t="shared" si="0"/>
        <v>6.18333333333333</v>
      </c>
      <c r="L6" s="78">
        <f t="shared" si="0"/>
        <v>0</v>
      </c>
      <c r="M6" s="78">
        <f t="shared" si="0"/>
        <v>5.0166666666666657</v>
      </c>
      <c r="N6" s="78">
        <f t="shared" si="0"/>
        <v>1.1666666666666643</v>
      </c>
      <c r="O6" s="45"/>
      <c r="P6" s="368">
        <f>SUM(P7:P138)</f>
        <v>0</v>
      </c>
      <c r="Q6" s="368">
        <f>SUM(Q7:Q138)</f>
        <v>0</v>
      </c>
    </row>
    <row r="7" spans="1:23" s="16" customFormat="1">
      <c r="A7" s="424">
        <v>10695</v>
      </c>
      <c r="B7" s="424" t="s">
        <v>9</v>
      </c>
      <c r="C7" s="424" t="s">
        <v>9</v>
      </c>
      <c r="D7" s="425" t="s">
        <v>6</v>
      </c>
      <c r="E7" s="426">
        <v>43252.367037037038</v>
      </c>
      <c r="F7" s="427">
        <v>43252.367037037038</v>
      </c>
      <c r="G7" s="428">
        <v>0.3666666666666667</v>
      </c>
      <c r="H7" s="429">
        <v>9.7000000000000011</v>
      </c>
      <c r="I7" s="429">
        <v>8</v>
      </c>
      <c r="J7" s="429" t="s">
        <v>115</v>
      </c>
      <c r="K7" s="429"/>
      <c r="L7" s="429"/>
      <c r="M7" s="429"/>
      <c r="N7" s="429"/>
      <c r="O7" s="164"/>
      <c r="P7" s="345"/>
      <c r="Q7" s="369"/>
      <c r="R7" s="149"/>
      <c r="S7" s="149"/>
      <c r="T7" s="130"/>
      <c r="U7" s="130"/>
      <c r="V7" s="130"/>
      <c r="W7" s="130"/>
    </row>
    <row r="8" spans="1:23" s="16" customFormat="1">
      <c r="A8" s="424">
        <v>10708</v>
      </c>
      <c r="B8" s="424" t="s">
        <v>9</v>
      </c>
      <c r="C8" s="424" t="s">
        <v>9</v>
      </c>
      <c r="D8" s="430" t="s">
        <v>5</v>
      </c>
      <c r="E8" s="431">
        <v>43252.771423611113</v>
      </c>
      <c r="F8" s="427">
        <v>43252.771423611113</v>
      </c>
      <c r="G8" s="428">
        <v>0.77083333333333337</v>
      </c>
      <c r="H8" s="429" t="s">
        <v>115</v>
      </c>
      <c r="I8" s="429" t="s">
        <v>115</v>
      </c>
      <c r="J8" s="429" t="s">
        <v>115</v>
      </c>
      <c r="K8" s="429"/>
      <c r="L8" s="429"/>
      <c r="M8" s="429"/>
      <c r="N8" s="429"/>
      <c r="O8" s="164"/>
      <c r="P8" s="345"/>
      <c r="Q8" s="369"/>
      <c r="R8" s="149"/>
      <c r="S8" s="149"/>
      <c r="T8" s="130"/>
      <c r="U8" s="130"/>
      <c r="V8" s="130"/>
      <c r="W8" s="130"/>
    </row>
    <row r="9" spans="1:23" s="423" customFormat="1">
      <c r="A9" s="432">
        <v>10722</v>
      </c>
      <c r="B9" s="432" t="s">
        <v>9</v>
      </c>
      <c r="C9" s="432" t="s">
        <v>9</v>
      </c>
      <c r="D9" s="433" t="s">
        <v>6</v>
      </c>
      <c r="E9" s="434">
        <v>43255.36645833333</v>
      </c>
      <c r="F9" s="435">
        <v>43255.36645833333</v>
      </c>
      <c r="G9" s="436">
        <v>0.3659722222222222</v>
      </c>
      <c r="H9" s="437">
        <v>8.7166666666666668</v>
      </c>
      <c r="I9" s="437">
        <v>7</v>
      </c>
      <c r="J9" s="437">
        <v>1</v>
      </c>
      <c r="K9" s="437"/>
      <c r="L9" s="437"/>
      <c r="M9" s="437"/>
      <c r="N9" s="437"/>
      <c r="O9" s="36" t="s">
        <v>122</v>
      </c>
      <c r="P9" s="16"/>
      <c r="Q9" s="16"/>
      <c r="R9" s="137"/>
      <c r="S9" s="137"/>
      <c r="T9" s="16"/>
      <c r="U9" s="16"/>
      <c r="V9" s="16"/>
      <c r="W9" s="16"/>
    </row>
    <row r="10" spans="1:23" s="404" customFormat="1">
      <c r="A10" s="424">
        <v>10732</v>
      </c>
      <c r="B10" s="424" t="s">
        <v>91</v>
      </c>
      <c r="C10" s="424" t="s">
        <v>9</v>
      </c>
      <c r="D10" s="430" t="s">
        <v>5</v>
      </c>
      <c r="E10" s="431">
        <v>43255.729363425926</v>
      </c>
      <c r="F10" s="427">
        <v>43255.729363425926</v>
      </c>
      <c r="G10" s="428">
        <v>0.72916666666666663</v>
      </c>
      <c r="H10" s="429" t="s">
        <v>115</v>
      </c>
      <c r="I10" s="429" t="s">
        <v>115</v>
      </c>
      <c r="J10" s="429" t="s">
        <v>115</v>
      </c>
      <c r="K10" s="429"/>
      <c r="L10" s="429"/>
      <c r="M10" s="429"/>
      <c r="N10" s="429"/>
      <c r="O10" s="164"/>
      <c r="P10" s="63"/>
      <c r="Q10" s="63"/>
      <c r="R10" s="18"/>
      <c r="S10" s="18"/>
      <c r="T10" s="63"/>
      <c r="U10" s="63"/>
      <c r="V10" s="63"/>
      <c r="W10" s="63"/>
    </row>
    <row r="11" spans="1:23" s="423" customFormat="1">
      <c r="A11" s="432">
        <v>10750</v>
      </c>
      <c r="B11" s="432" t="s">
        <v>9</v>
      </c>
      <c r="C11" s="432" t="s">
        <v>9</v>
      </c>
      <c r="D11" s="433" t="s">
        <v>6</v>
      </c>
      <c r="E11" s="434">
        <v>43256.364583333336</v>
      </c>
      <c r="F11" s="435">
        <v>43256.364583333336</v>
      </c>
      <c r="G11" s="436">
        <v>0.36458333333333331</v>
      </c>
      <c r="H11" s="437">
        <v>8.75</v>
      </c>
      <c r="I11" s="437">
        <v>7</v>
      </c>
      <c r="J11" s="437">
        <v>1</v>
      </c>
      <c r="K11" s="437"/>
      <c r="L11" s="437"/>
      <c r="M11" s="437"/>
      <c r="N11" s="437"/>
      <c r="O11" s="36" t="s">
        <v>122</v>
      </c>
      <c r="P11" s="444"/>
      <c r="Q11" s="453"/>
      <c r="R11" s="137"/>
      <c r="S11" s="137"/>
      <c r="T11" s="16"/>
      <c r="U11" s="452"/>
      <c r="V11" s="16"/>
      <c r="W11" s="16"/>
    </row>
    <row r="12" spans="1:23" s="404" customFormat="1">
      <c r="A12" s="424">
        <v>10755</v>
      </c>
      <c r="B12" s="424" t="s">
        <v>9</v>
      </c>
      <c r="C12" s="424" t="s">
        <v>9</v>
      </c>
      <c r="D12" s="430" t="s">
        <v>5</v>
      </c>
      <c r="E12" s="431">
        <v>43256.729328703703</v>
      </c>
      <c r="F12" s="427">
        <v>43256.729328703703</v>
      </c>
      <c r="G12" s="428">
        <v>0.72916666666666663</v>
      </c>
      <c r="H12" s="429" t="s">
        <v>115</v>
      </c>
      <c r="I12" s="429" t="s">
        <v>115</v>
      </c>
      <c r="J12" s="429" t="s">
        <v>115</v>
      </c>
      <c r="K12" s="429"/>
      <c r="L12" s="429"/>
      <c r="M12" s="429"/>
      <c r="N12" s="429"/>
      <c r="O12" s="164"/>
      <c r="P12" s="345"/>
      <c r="Q12" s="369"/>
      <c r="R12" s="372"/>
      <c r="S12" s="372"/>
      <c r="T12" s="373"/>
      <c r="U12" s="373"/>
      <c r="V12" s="373"/>
      <c r="W12" s="373"/>
    </row>
    <row r="13" spans="1:23" s="392" customFormat="1">
      <c r="A13" s="432">
        <v>10775</v>
      </c>
      <c r="B13" s="432" t="s">
        <v>9</v>
      </c>
      <c r="C13" s="432" t="s">
        <v>9</v>
      </c>
      <c r="D13" s="433" t="s">
        <v>6</v>
      </c>
      <c r="E13" s="434">
        <v>43257.364733796298</v>
      </c>
      <c r="F13" s="435">
        <v>43257.364733796298</v>
      </c>
      <c r="G13" s="436">
        <v>0.36458333333333331</v>
      </c>
      <c r="H13" s="437">
        <v>8.75</v>
      </c>
      <c r="I13" s="437">
        <v>7</v>
      </c>
      <c r="J13" s="437">
        <v>1</v>
      </c>
      <c r="K13" s="437"/>
      <c r="L13" s="437"/>
      <c r="M13" s="437"/>
      <c r="N13" s="437"/>
      <c r="O13" s="36" t="s">
        <v>122</v>
      </c>
      <c r="P13" s="137"/>
      <c r="Q13" s="397"/>
      <c r="R13" s="137"/>
      <c r="S13" s="137"/>
      <c r="T13" s="16"/>
      <c r="U13" s="16"/>
      <c r="V13" s="16"/>
      <c r="W13" s="16"/>
    </row>
    <row r="14" spans="1:23" s="16" customFormat="1">
      <c r="A14" s="424">
        <v>10781</v>
      </c>
      <c r="B14" s="424" t="s">
        <v>9</v>
      </c>
      <c r="C14" s="424" t="s">
        <v>9</v>
      </c>
      <c r="D14" s="430" t="s">
        <v>5</v>
      </c>
      <c r="E14" s="431">
        <v>43257.729479166665</v>
      </c>
      <c r="F14" s="427">
        <v>43257.729479166665</v>
      </c>
      <c r="G14" s="428">
        <v>0.72916666666666663</v>
      </c>
      <c r="H14" s="429" t="s">
        <v>115</v>
      </c>
      <c r="I14" s="429" t="s">
        <v>115</v>
      </c>
      <c r="J14" s="429" t="s">
        <v>115</v>
      </c>
      <c r="K14" s="429"/>
      <c r="L14" s="429"/>
      <c r="M14" s="429"/>
      <c r="N14" s="429"/>
      <c r="O14" s="164"/>
      <c r="P14" s="137"/>
      <c r="Q14" s="397"/>
      <c r="R14" s="137"/>
      <c r="S14" s="137"/>
    </row>
    <row r="15" spans="1:23" s="137" customFormat="1">
      <c r="A15" s="432">
        <v>10800</v>
      </c>
      <c r="B15" s="432" t="s">
        <v>9</v>
      </c>
      <c r="C15" s="432" t="s">
        <v>9</v>
      </c>
      <c r="D15" s="433" t="s">
        <v>6</v>
      </c>
      <c r="E15" s="434">
        <v>43258.362812500003</v>
      </c>
      <c r="F15" s="435">
        <v>43258.362812500003</v>
      </c>
      <c r="G15" s="436">
        <v>0.36249999999999999</v>
      </c>
      <c r="H15" s="437">
        <v>8.9166666666666661</v>
      </c>
      <c r="I15" s="437">
        <v>7</v>
      </c>
      <c r="J15" s="437">
        <v>1</v>
      </c>
      <c r="K15" s="437"/>
      <c r="L15" s="437"/>
      <c r="M15" s="437"/>
      <c r="N15" s="437"/>
      <c r="O15" s="36" t="s">
        <v>122</v>
      </c>
      <c r="Q15" s="397"/>
      <c r="T15" s="16"/>
      <c r="U15" s="16"/>
      <c r="V15" s="16"/>
      <c r="W15" s="16"/>
    </row>
    <row r="16" spans="1:23" s="18" customFormat="1">
      <c r="A16" s="424">
        <v>10808</v>
      </c>
      <c r="B16" s="424" t="s">
        <v>9</v>
      </c>
      <c r="C16" s="424" t="s">
        <v>9</v>
      </c>
      <c r="D16" s="430" t="s">
        <v>5</v>
      </c>
      <c r="E16" s="431">
        <v>43258.734606481485</v>
      </c>
      <c r="F16" s="427">
        <v>43258.734606481485</v>
      </c>
      <c r="G16" s="428">
        <v>0.73402777777777783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164"/>
      <c r="P16" s="137"/>
      <c r="Q16" s="397"/>
      <c r="R16" s="137"/>
      <c r="S16" s="137"/>
      <c r="T16" s="16"/>
      <c r="U16" s="16"/>
      <c r="V16" s="16"/>
      <c r="W16" s="16"/>
    </row>
    <row r="17" spans="1:23" s="137" customFormat="1">
      <c r="A17" s="432">
        <v>10829</v>
      </c>
      <c r="B17" s="432" t="s">
        <v>9</v>
      </c>
      <c r="C17" s="432" t="s">
        <v>9</v>
      </c>
      <c r="D17" s="433" t="s">
        <v>6</v>
      </c>
      <c r="E17" s="434">
        <v>43259.362685185188</v>
      </c>
      <c r="F17" s="435">
        <v>43259.362685185188</v>
      </c>
      <c r="G17" s="436">
        <v>0.36249999999999999</v>
      </c>
      <c r="H17" s="437">
        <v>8.6166666666666671</v>
      </c>
      <c r="I17" s="437">
        <v>7</v>
      </c>
      <c r="J17" s="437">
        <v>1</v>
      </c>
      <c r="K17" s="437"/>
      <c r="L17" s="437"/>
      <c r="M17" s="437"/>
      <c r="N17" s="437"/>
      <c r="O17" s="36" t="s">
        <v>122</v>
      </c>
      <c r="P17" s="444"/>
      <c r="Q17" s="453"/>
      <c r="T17" s="16"/>
      <c r="U17" s="16"/>
      <c r="V17" s="16"/>
      <c r="W17" s="16"/>
    </row>
    <row r="18" spans="1:23" s="18" customFormat="1">
      <c r="A18" s="424">
        <v>10838</v>
      </c>
      <c r="B18" s="424" t="s">
        <v>9</v>
      </c>
      <c r="C18" s="424" t="s">
        <v>9</v>
      </c>
      <c r="D18" s="430" t="s">
        <v>5</v>
      </c>
      <c r="E18" s="431">
        <v>43259.721550925926</v>
      </c>
      <c r="F18" s="427">
        <v>43259.721550925926</v>
      </c>
      <c r="G18" s="428">
        <v>0.72152777777777777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164"/>
      <c r="P18" s="345"/>
      <c r="Q18" s="369"/>
      <c r="R18" s="372"/>
      <c r="S18" s="372"/>
      <c r="T18" s="373"/>
      <c r="U18" s="373"/>
      <c r="V18" s="373"/>
      <c r="W18" s="373"/>
    </row>
    <row r="19" spans="1:23" s="137" customFormat="1">
      <c r="A19" s="432">
        <v>10866</v>
      </c>
      <c r="B19" s="432" t="s">
        <v>9</v>
      </c>
      <c r="C19" s="432" t="s">
        <v>9</v>
      </c>
      <c r="D19" s="433" t="s">
        <v>6</v>
      </c>
      <c r="E19" s="434">
        <v>43262.36859953704</v>
      </c>
      <c r="F19" s="435">
        <v>43262.36859953704</v>
      </c>
      <c r="G19" s="436">
        <v>0.36805555555555558</v>
      </c>
      <c r="H19" s="437">
        <v>3.3166666666666655</v>
      </c>
      <c r="I19" s="455">
        <v>3</v>
      </c>
      <c r="J19" s="437">
        <v>5</v>
      </c>
      <c r="K19" s="437"/>
      <c r="L19" s="437"/>
      <c r="M19" s="437"/>
      <c r="N19" s="437"/>
      <c r="O19" s="36" t="s">
        <v>122</v>
      </c>
      <c r="P19" s="444"/>
      <c r="Q19" s="453"/>
      <c r="T19" s="16"/>
      <c r="U19" s="16"/>
      <c r="V19" s="16"/>
      <c r="W19" s="16"/>
    </row>
    <row r="20" spans="1:23" s="137" customFormat="1">
      <c r="A20" s="424">
        <v>10871</v>
      </c>
      <c r="B20" s="424" t="s">
        <v>9</v>
      </c>
      <c r="C20" s="424" t="s">
        <v>9</v>
      </c>
      <c r="D20" s="430" t="s">
        <v>5</v>
      </c>
      <c r="E20" s="431">
        <v>43262.506932870368</v>
      </c>
      <c r="F20" s="427">
        <v>43262.506932870368</v>
      </c>
      <c r="G20" s="428">
        <v>0.50624999999999998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164"/>
      <c r="P20" s="345"/>
      <c r="Q20" s="369"/>
      <c r="R20" s="372"/>
      <c r="S20" s="372"/>
      <c r="T20" s="373"/>
      <c r="U20" s="373"/>
      <c r="V20" s="373"/>
      <c r="W20" s="373"/>
    </row>
    <row r="21" spans="1:23" s="137" customFormat="1">
      <c r="A21" s="432">
        <v>10889</v>
      </c>
      <c r="B21" s="432" t="s">
        <v>9</v>
      </c>
      <c r="C21" s="432" t="s">
        <v>9</v>
      </c>
      <c r="D21" s="433" t="s">
        <v>6</v>
      </c>
      <c r="E21" s="434">
        <v>43263.362291666665</v>
      </c>
      <c r="F21" s="435">
        <v>43263.362291666665</v>
      </c>
      <c r="G21" s="436">
        <v>0.36180555555555555</v>
      </c>
      <c r="H21" s="437">
        <v>8.6166666666666671</v>
      </c>
      <c r="I21" s="437">
        <v>7</v>
      </c>
      <c r="J21" s="437">
        <v>1</v>
      </c>
      <c r="K21" s="437"/>
      <c r="L21" s="437"/>
      <c r="M21" s="437"/>
      <c r="N21" s="437"/>
      <c r="O21" s="36" t="s">
        <v>122</v>
      </c>
      <c r="P21" s="444"/>
      <c r="Q21" s="453"/>
      <c r="T21" s="16"/>
      <c r="U21" s="16"/>
      <c r="V21" s="16"/>
      <c r="W21" s="16"/>
    </row>
    <row r="22" spans="1:23" s="137" customFormat="1">
      <c r="A22" s="424">
        <v>10896</v>
      </c>
      <c r="B22" s="424" t="s">
        <v>9</v>
      </c>
      <c r="C22" s="424" t="s">
        <v>9</v>
      </c>
      <c r="D22" s="430" t="s">
        <v>5</v>
      </c>
      <c r="E22" s="431">
        <v>43263.720983796295</v>
      </c>
      <c r="F22" s="427">
        <v>43263.720983796295</v>
      </c>
      <c r="G22" s="428">
        <v>0.72083333333333333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164"/>
      <c r="P22" s="345"/>
      <c r="Q22" s="369"/>
      <c r="R22" s="372"/>
      <c r="S22" s="372"/>
      <c r="T22" s="373"/>
      <c r="U22" s="373"/>
      <c r="V22" s="373"/>
      <c r="W22" s="373"/>
    </row>
    <row r="23" spans="1:23" s="16" customFormat="1">
      <c r="A23" s="432">
        <v>10915</v>
      </c>
      <c r="B23" s="432" t="s">
        <v>119</v>
      </c>
      <c r="C23" s="432" t="s">
        <v>9</v>
      </c>
      <c r="D23" s="433" t="s">
        <v>6</v>
      </c>
      <c r="E23" s="434">
        <v>43264.365046296298</v>
      </c>
      <c r="F23" s="435">
        <v>43264.365046296298</v>
      </c>
      <c r="G23" s="436">
        <v>0.36458333333333331</v>
      </c>
      <c r="H23" s="437">
        <v>8.75</v>
      </c>
      <c r="I23" s="437">
        <v>7</v>
      </c>
      <c r="J23" s="437">
        <v>1</v>
      </c>
      <c r="K23" s="437"/>
      <c r="L23" s="437"/>
      <c r="M23" s="437"/>
      <c r="N23" s="437"/>
      <c r="O23" s="36" t="s">
        <v>122</v>
      </c>
      <c r="P23" s="444"/>
      <c r="Q23" s="453"/>
      <c r="R23" s="137"/>
      <c r="S23" s="137"/>
    </row>
    <row r="24" spans="1:23" s="9" customFormat="1">
      <c r="A24" s="424">
        <v>10923</v>
      </c>
      <c r="B24" s="424" t="s">
        <v>9</v>
      </c>
      <c r="C24" s="424" t="s">
        <v>9</v>
      </c>
      <c r="D24" s="430" t="s">
        <v>5</v>
      </c>
      <c r="E24" s="431">
        <v>43264.729687500003</v>
      </c>
      <c r="F24" s="427">
        <v>43264.729687500003</v>
      </c>
      <c r="G24" s="428">
        <v>0.72916666666666663</v>
      </c>
      <c r="H24" s="429" t="s">
        <v>115</v>
      </c>
      <c r="I24" s="429" t="s">
        <v>115</v>
      </c>
      <c r="J24" s="429" t="s">
        <v>115</v>
      </c>
      <c r="K24" s="429"/>
      <c r="L24" s="429"/>
      <c r="M24" s="429"/>
      <c r="N24" s="429"/>
      <c r="O24" s="164"/>
      <c r="P24" s="345"/>
      <c r="Q24" s="369"/>
      <c r="R24" s="372"/>
      <c r="S24" s="372"/>
      <c r="T24" s="373"/>
      <c r="U24" s="373"/>
      <c r="V24" s="373"/>
      <c r="W24" s="373"/>
    </row>
    <row r="25" spans="1:23" s="18" customFormat="1">
      <c r="A25" s="424">
        <v>10941</v>
      </c>
      <c r="B25" s="424" t="s">
        <v>9</v>
      </c>
      <c r="C25" s="424" t="s">
        <v>9</v>
      </c>
      <c r="D25" s="430" t="s">
        <v>6</v>
      </c>
      <c r="E25" s="431">
        <v>43265.371886574074</v>
      </c>
      <c r="F25" s="427">
        <v>43265.371886574074</v>
      </c>
      <c r="G25" s="428">
        <v>0.37152777777777773</v>
      </c>
      <c r="H25" s="429">
        <v>9.5666666666666664</v>
      </c>
      <c r="I25" s="429">
        <v>8</v>
      </c>
      <c r="J25" s="429" t="s">
        <v>115</v>
      </c>
      <c r="K25" s="429"/>
      <c r="L25" s="429"/>
      <c r="M25" s="429"/>
      <c r="N25" s="429"/>
      <c r="O25" s="164"/>
      <c r="P25" s="345"/>
      <c r="Q25" s="369"/>
      <c r="R25" s="372"/>
      <c r="S25" s="372"/>
      <c r="T25" s="373"/>
      <c r="U25" s="373"/>
      <c r="V25" s="373"/>
      <c r="W25" s="373"/>
    </row>
    <row r="26" spans="1:23" s="18" customFormat="1">
      <c r="A26" s="424">
        <v>10948</v>
      </c>
      <c r="B26" s="424" t="s">
        <v>9</v>
      </c>
      <c r="C26" s="424" t="s">
        <v>9</v>
      </c>
      <c r="D26" s="430" t="s">
        <v>5</v>
      </c>
      <c r="E26" s="431">
        <v>43265.770451388889</v>
      </c>
      <c r="F26" s="427">
        <v>43265.770451388889</v>
      </c>
      <c r="G26" s="428">
        <v>0.77013888888888893</v>
      </c>
      <c r="H26" s="429" t="s">
        <v>115</v>
      </c>
      <c r="I26" s="429" t="s">
        <v>115</v>
      </c>
      <c r="J26" s="429" t="s">
        <v>115</v>
      </c>
      <c r="K26" s="429"/>
      <c r="L26" s="429"/>
      <c r="M26" s="429"/>
      <c r="N26" s="429"/>
      <c r="O26" s="164"/>
      <c r="P26" s="345"/>
      <c r="Q26" s="369"/>
      <c r="R26" s="372"/>
      <c r="S26" s="372"/>
      <c r="T26" s="373"/>
      <c r="U26" s="373"/>
      <c r="V26" s="373"/>
      <c r="W26" s="373"/>
    </row>
    <row r="27" spans="1:23" s="137" customFormat="1">
      <c r="A27" s="424">
        <v>10952</v>
      </c>
      <c r="B27" s="424" t="s">
        <v>9</v>
      </c>
      <c r="C27" s="424" t="s">
        <v>9</v>
      </c>
      <c r="D27" s="430" t="s">
        <v>7</v>
      </c>
      <c r="E27" s="431">
        <v>43265.773194444446</v>
      </c>
      <c r="F27" s="427">
        <v>43265.773194444446</v>
      </c>
      <c r="G27" s="428">
        <v>0.7729166666666667</v>
      </c>
      <c r="H27" s="429" t="s">
        <v>115</v>
      </c>
      <c r="I27" s="429" t="s">
        <v>115</v>
      </c>
      <c r="J27" s="429" t="s">
        <v>115</v>
      </c>
      <c r="K27" s="429">
        <v>1.0166666666666657</v>
      </c>
      <c r="L27" s="429"/>
      <c r="M27" s="429">
        <v>1.0166666666666657</v>
      </c>
      <c r="N27" s="429">
        <v>0</v>
      </c>
      <c r="O27" s="164"/>
      <c r="P27" s="345"/>
      <c r="Q27" s="369"/>
      <c r="R27" s="372"/>
      <c r="S27" s="372"/>
      <c r="T27" s="373"/>
      <c r="U27" s="373"/>
      <c r="V27" s="373"/>
      <c r="W27" s="373"/>
    </row>
    <row r="28" spans="1:23" s="137" customFormat="1">
      <c r="A28" s="424">
        <v>10956</v>
      </c>
      <c r="B28" s="424" t="s">
        <v>9</v>
      </c>
      <c r="C28" s="424" t="s">
        <v>9</v>
      </c>
      <c r="D28" s="430" t="s">
        <v>8</v>
      </c>
      <c r="E28" s="431">
        <v>43265.815416666665</v>
      </c>
      <c r="F28" s="427">
        <v>43265.815416666665</v>
      </c>
      <c r="G28" s="428">
        <v>0.81527777777777777</v>
      </c>
      <c r="H28" s="429" t="s">
        <v>115</v>
      </c>
      <c r="I28" s="429" t="s">
        <v>115</v>
      </c>
      <c r="J28" s="429" t="s">
        <v>115</v>
      </c>
      <c r="K28" s="429"/>
      <c r="L28" s="429"/>
      <c r="M28" s="429"/>
      <c r="N28" s="429"/>
      <c r="O28" s="164"/>
      <c r="P28" s="345"/>
      <c r="Q28" s="369"/>
      <c r="R28" s="372"/>
      <c r="S28" s="372"/>
      <c r="T28" s="373"/>
      <c r="U28" s="373"/>
      <c r="V28" s="373"/>
      <c r="W28" s="373"/>
    </row>
    <row r="29" spans="1:23" s="137" customFormat="1">
      <c r="A29" s="424">
        <v>10963</v>
      </c>
      <c r="B29" s="424" t="s">
        <v>9</v>
      </c>
      <c r="C29" s="424" t="s">
        <v>9</v>
      </c>
      <c r="D29" s="430" t="s">
        <v>6</v>
      </c>
      <c r="E29" s="431">
        <v>43266.368796296294</v>
      </c>
      <c r="F29" s="427">
        <v>43266.368796296294</v>
      </c>
      <c r="G29" s="428">
        <v>0.36874999999999997</v>
      </c>
      <c r="H29" s="429">
        <v>9.75</v>
      </c>
      <c r="I29" s="429">
        <v>8</v>
      </c>
      <c r="J29" s="429" t="s">
        <v>115</v>
      </c>
      <c r="K29" s="429"/>
      <c r="L29" s="429"/>
      <c r="M29" s="429"/>
      <c r="N29" s="429"/>
      <c r="O29" s="164"/>
      <c r="P29" s="345"/>
      <c r="Q29" s="369"/>
      <c r="R29" s="372"/>
      <c r="S29" s="372"/>
      <c r="T29" s="373"/>
      <c r="U29" s="373"/>
      <c r="V29" s="373"/>
      <c r="W29" s="373"/>
    </row>
    <row r="30" spans="1:23" s="137" customFormat="1">
      <c r="A30" s="424">
        <v>10980</v>
      </c>
      <c r="B30" s="424" t="s">
        <v>9</v>
      </c>
      <c r="C30" s="424" t="s">
        <v>9</v>
      </c>
      <c r="D30" s="430" t="s">
        <v>5</v>
      </c>
      <c r="E30" s="431">
        <v>43266.775381944448</v>
      </c>
      <c r="F30" s="427">
        <v>43266.775381944448</v>
      </c>
      <c r="G30" s="428">
        <v>0.77500000000000002</v>
      </c>
      <c r="H30" s="429" t="s">
        <v>115</v>
      </c>
      <c r="I30" s="429" t="s">
        <v>115</v>
      </c>
      <c r="J30" s="429" t="s">
        <v>115</v>
      </c>
      <c r="K30" s="429"/>
      <c r="L30" s="429"/>
      <c r="M30" s="429"/>
      <c r="N30" s="429"/>
      <c r="O30" s="164"/>
      <c r="P30" s="345"/>
      <c r="Q30" s="369"/>
      <c r="R30" s="372"/>
      <c r="S30" s="372"/>
      <c r="T30" s="373"/>
      <c r="U30" s="373"/>
      <c r="V30" s="373"/>
      <c r="W30" s="373"/>
    </row>
    <row r="31" spans="1:23" s="137" customFormat="1">
      <c r="A31" s="424">
        <v>10963</v>
      </c>
      <c r="B31" s="424" t="s">
        <v>9</v>
      </c>
      <c r="C31" s="424" t="s">
        <v>9</v>
      </c>
      <c r="D31" s="430" t="s">
        <v>6</v>
      </c>
      <c r="E31" s="431">
        <v>43270.354212962964</v>
      </c>
      <c r="F31" s="427">
        <v>43270.354212962964</v>
      </c>
      <c r="G31" s="428">
        <v>0.35416666666666669</v>
      </c>
      <c r="H31" s="429">
        <v>9.5</v>
      </c>
      <c r="I31" s="429">
        <v>8</v>
      </c>
      <c r="J31" s="429" t="s">
        <v>115</v>
      </c>
      <c r="K31" s="429"/>
      <c r="L31" s="429"/>
      <c r="M31" s="429"/>
      <c r="N31" s="429"/>
      <c r="O31" s="164"/>
      <c r="P31" s="399"/>
      <c r="Q31" s="400"/>
      <c r="R31" s="401"/>
      <c r="S31" s="401"/>
      <c r="T31" s="401"/>
      <c r="U31" s="401"/>
      <c r="V31" s="401"/>
      <c r="W31" s="401"/>
    </row>
    <row r="32" spans="1:23" s="18" customFormat="1">
      <c r="A32" s="424">
        <v>10980</v>
      </c>
      <c r="B32" s="424" t="s">
        <v>9</v>
      </c>
      <c r="C32" s="424" t="s">
        <v>9</v>
      </c>
      <c r="D32" s="430" t="s">
        <v>5</v>
      </c>
      <c r="E32" s="431">
        <v>43270.750381944446</v>
      </c>
      <c r="F32" s="427">
        <v>43270.750381944446</v>
      </c>
      <c r="G32" s="428">
        <v>0.75</v>
      </c>
      <c r="H32" s="429" t="s">
        <v>115</v>
      </c>
      <c r="I32" s="429" t="s">
        <v>115</v>
      </c>
      <c r="J32" s="429" t="s">
        <v>115</v>
      </c>
      <c r="K32" s="429"/>
      <c r="L32" s="429"/>
      <c r="M32" s="429"/>
      <c r="N32" s="429"/>
      <c r="O32" s="164"/>
      <c r="P32" s="345"/>
      <c r="Q32" s="369"/>
      <c r="R32" s="372"/>
      <c r="S32" s="372"/>
      <c r="T32" s="373"/>
      <c r="U32" s="373"/>
      <c r="V32" s="373"/>
      <c r="W32" s="373"/>
    </row>
    <row r="33" spans="1:23" s="398" customFormat="1">
      <c r="A33" s="432">
        <v>11015</v>
      </c>
      <c r="B33" s="432" t="s">
        <v>91</v>
      </c>
      <c r="C33" s="432" t="s">
        <v>9</v>
      </c>
      <c r="D33" s="433" t="s">
        <v>6</v>
      </c>
      <c r="E33" s="434">
        <v>43271.455983796295</v>
      </c>
      <c r="F33" s="435">
        <v>43271.455983796295</v>
      </c>
      <c r="G33" s="436">
        <v>0.45555555555555555</v>
      </c>
      <c r="H33" s="437">
        <v>6.1833333333333336</v>
      </c>
      <c r="I33" s="437">
        <v>4.5</v>
      </c>
      <c r="J33" s="437">
        <v>3.5</v>
      </c>
      <c r="K33" s="437"/>
      <c r="L33" s="437"/>
      <c r="M33" s="437"/>
      <c r="N33" s="437"/>
      <c r="O33" s="36" t="s">
        <v>122</v>
      </c>
      <c r="P33" s="444"/>
      <c r="Q33" s="453"/>
      <c r="R33" s="137"/>
      <c r="S33" s="137"/>
      <c r="T33" s="16"/>
      <c r="U33" s="16"/>
      <c r="V33" s="16"/>
      <c r="W33" s="16"/>
    </row>
    <row r="34" spans="1:23" s="2" customFormat="1">
      <c r="A34" s="424">
        <v>11020</v>
      </c>
      <c r="B34" s="424" t="s">
        <v>9</v>
      </c>
      <c r="C34" s="424" t="s">
        <v>9</v>
      </c>
      <c r="D34" s="430" t="s">
        <v>5</v>
      </c>
      <c r="E34" s="431">
        <v>43271.71334490741</v>
      </c>
      <c r="F34" s="427">
        <v>43271.71334490741</v>
      </c>
      <c r="G34" s="428">
        <v>0.71319444444444446</v>
      </c>
      <c r="H34" s="429" t="s">
        <v>115</v>
      </c>
      <c r="I34" s="429" t="s">
        <v>115</v>
      </c>
      <c r="J34" s="429" t="s">
        <v>115</v>
      </c>
      <c r="K34" s="429"/>
      <c r="L34" s="429"/>
      <c r="M34" s="429"/>
      <c r="N34" s="429"/>
      <c r="O34" s="164"/>
      <c r="P34" s="345"/>
      <c r="Q34" s="369"/>
      <c r="R34" s="372"/>
      <c r="S34" s="372"/>
      <c r="T34" s="373"/>
      <c r="U34" s="373"/>
      <c r="V34" s="373"/>
      <c r="W34" s="373"/>
    </row>
    <row r="35" spans="1:23" s="16" customFormat="1">
      <c r="A35" s="424">
        <v>11036</v>
      </c>
      <c r="B35" s="424" t="s">
        <v>9</v>
      </c>
      <c r="C35" s="424" t="s">
        <v>9</v>
      </c>
      <c r="D35" s="430" t="s">
        <v>6</v>
      </c>
      <c r="E35" s="431">
        <v>43272.36215277778</v>
      </c>
      <c r="F35" s="427">
        <v>43272.36215277778</v>
      </c>
      <c r="G35" s="428">
        <v>0.36180555555555555</v>
      </c>
      <c r="H35" s="429">
        <v>9.8333333333333339</v>
      </c>
      <c r="I35" s="429">
        <v>8</v>
      </c>
      <c r="J35" s="429" t="s">
        <v>115</v>
      </c>
      <c r="K35" s="429"/>
      <c r="L35" s="429"/>
      <c r="M35" s="429"/>
      <c r="N35" s="429"/>
      <c r="O35" s="164"/>
      <c r="P35" s="345"/>
      <c r="Q35" s="369"/>
      <c r="R35" s="374"/>
      <c r="S35" s="374"/>
      <c r="T35" s="375"/>
      <c r="U35" s="375"/>
      <c r="V35" s="375"/>
      <c r="W35" s="375"/>
    </row>
    <row r="36" spans="1:23" s="392" customFormat="1">
      <c r="A36" s="424">
        <v>11055</v>
      </c>
      <c r="B36" s="424" t="s">
        <v>9</v>
      </c>
      <c r="C36" s="424" t="s">
        <v>9</v>
      </c>
      <c r="D36" s="430" t="s">
        <v>5</v>
      </c>
      <c r="E36" s="431">
        <v>43272.772175925929</v>
      </c>
      <c r="F36" s="427">
        <v>43272.772175925929</v>
      </c>
      <c r="G36" s="428">
        <v>0.7715277777777777</v>
      </c>
      <c r="H36" s="429" t="s">
        <v>115</v>
      </c>
      <c r="I36" s="429" t="s">
        <v>115</v>
      </c>
      <c r="J36" s="429" t="s">
        <v>115</v>
      </c>
      <c r="K36" s="429"/>
      <c r="L36" s="429"/>
      <c r="M36" s="429"/>
      <c r="N36" s="429"/>
      <c r="O36" s="164"/>
      <c r="P36" s="345"/>
      <c r="Q36" s="369"/>
      <c r="R36" s="345"/>
      <c r="S36" s="345"/>
      <c r="T36" s="335"/>
      <c r="U36" s="335"/>
      <c r="V36" s="335"/>
      <c r="W36" s="335"/>
    </row>
    <row r="37" spans="1:23" s="137" customFormat="1">
      <c r="A37" s="424">
        <v>11056</v>
      </c>
      <c r="B37" s="424" t="s">
        <v>9</v>
      </c>
      <c r="C37" s="424" t="s">
        <v>9</v>
      </c>
      <c r="D37" s="430" t="s">
        <v>7</v>
      </c>
      <c r="E37" s="431">
        <v>43272.772210648145</v>
      </c>
      <c r="F37" s="427">
        <v>43272.772210648145</v>
      </c>
      <c r="G37" s="428">
        <v>0.7715277777777777</v>
      </c>
      <c r="H37" s="429" t="s">
        <v>115</v>
      </c>
      <c r="I37" s="429" t="s">
        <v>115</v>
      </c>
      <c r="J37" s="429" t="s">
        <v>115</v>
      </c>
      <c r="K37" s="429">
        <v>2.4833333333333325</v>
      </c>
      <c r="L37" s="429"/>
      <c r="M37" s="429">
        <v>2</v>
      </c>
      <c r="N37" s="429">
        <v>0.4833333333333325</v>
      </c>
      <c r="O37" s="186"/>
      <c r="P37" s="345"/>
      <c r="Q37" s="369"/>
      <c r="R37" s="372"/>
      <c r="S37" s="372"/>
      <c r="T37" s="373"/>
      <c r="U37" s="373"/>
      <c r="V37" s="373"/>
      <c r="W37" s="373"/>
    </row>
    <row r="38" spans="1:23" s="18" customFormat="1">
      <c r="A38" s="424">
        <v>11064</v>
      </c>
      <c r="B38" s="424" t="s">
        <v>9</v>
      </c>
      <c r="C38" s="424" t="s">
        <v>9</v>
      </c>
      <c r="D38" s="430" t="s">
        <v>8</v>
      </c>
      <c r="E38" s="431">
        <v>43272.875497685185</v>
      </c>
      <c r="F38" s="427">
        <v>43272.875497685185</v>
      </c>
      <c r="G38" s="428">
        <v>0.875</v>
      </c>
      <c r="H38" s="429" t="s">
        <v>115</v>
      </c>
      <c r="I38" s="429" t="s">
        <v>115</v>
      </c>
      <c r="J38" s="429" t="s">
        <v>115</v>
      </c>
      <c r="K38" s="429"/>
      <c r="L38" s="429"/>
      <c r="M38" s="429"/>
      <c r="N38" s="429"/>
      <c r="O38" s="186"/>
      <c r="P38" s="345"/>
      <c r="Q38" s="369"/>
      <c r="T38" s="63"/>
      <c r="U38" s="63"/>
      <c r="V38" s="63"/>
      <c r="W38" s="63"/>
    </row>
    <row r="39" spans="1:23" s="137" customFormat="1">
      <c r="A39" s="432">
        <v>11068</v>
      </c>
      <c r="B39" s="432" t="s">
        <v>9</v>
      </c>
      <c r="C39" s="432" t="s">
        <v>9</v>
      </c>
      <c r="D39" s="433" t="s">
        <v>6</v>
      </c>
      <c r="E39" s="434">
        <v>43273.361921296295</v>
      </c>
      <c r="F39" s="435">
        <v>43273.361921296295</v>
      </c>
      <c r="G39" s="436">
        <v>0.36180555555555555</v>
      </c>
      <c r="H39" s="437">
        <v>8.8166666666666664</v>
      </c>
      <c r="I39" s="437">
        <v>7</v>
      </c>
      <c r="J39" s="437">
        <v>1</v>
      </c>
      <c r="K39" s="437"/>
      <c r="L39" s="437"/>
      <c r="M39" s="437"/>
      <c r="N39" s="437"/>
      <c r="O39" s="36" t="s">
        <v>122</v>
      </c>
      <c r="Q39" s="397"/>
      <c r="R39" s="16"/>
      <c r="S39" s="16"/>
      <c r="T39" s="16"/>
      <c r="U39" s="16"/>
      <c r="V39" s="16"/>
      <c r="W39" s="16"/>
    </row>
    <row r="40" spans="1:23" s="18" customFormat="1">
      <c r="A40" s="424">
        <v>11078</v>
      </c>
      <c r="B40" s="424" t="s">
        <v>9</v>
      </c>
      <c r="C40" s="424" t="s">
        <v>9</v>
      </c>
      <c r="D40" s="430" t="s">
        <v>5</v>
      </c>
      <c r="E40" s="431">
        <v>43273.729421296295</v>
      </c>
      <c r="F40" s="427">
        <v>43273.729421296295</v>
      </c>
      <c r="G40" s="428">
        <v>0.72916666666666663</v>
      </c>
      <c r="H40" s="429" t="s">
        <v>115</v>
      </c>
      <c r="I40" s="429" t="s">
        <v>115</v>
      </c>
      <c r="J40" s="429" t="s">
        <v>115</v>
      </c>
      <c r="K40" s="429"/>
      <c r="L40" s="429"/>
      <c r="M40" s="429"/>
      <c r="N40" s="429"/>
      <c r="O40" s="164"/>
      <c r="P40" s="137"/>
      <c r="Q40" s="397"/>
      <c r="R40" s="16"/>
      <c r="S40" s="16"/>
      <c r="T40" s="16"/>
      <c r="U40" s="16"/>
      <c r="V40" s="16"/>
      <c r="W40" s="16"/>
    </row>
    <row r="41" spans="1:23" s="137" customFormat="1">
      <c r="A41" s="432">
        <v>11105</v>
      </c>
      <c r="B41" s="432" t="s">
        <v>9</v>
      </c>
      <c r="C41" s="432" t="s">
        <v>9</v>
      </c>
      <c r="D41" s="433" t="s">
        <v>6</v>
      </c>
      <c r="E41" s="434">
        <v>43276.354618055557</v>
      </c>
      <c r="F41" s="435">
        <v>43276.576145833336</v>
      </c>
      <c r="G41" s="436">
        <v>0.5756944444444444</v>
      </c>
      <c r="H41" s="437">
        <v>3.6333333333333337</v>
      </c>
      <c r="I41" s="437">
        <v>7</v>
      </c>
      <c r="J41" s="437">
        <v>1</v>
      </c>
      <c r="K41" s="437"/>
      <c r="L41" s="437"/>
      <c r="M41" s="437"/>
      <c r="N41" s="437"/>
      <c r="O41" s="36" t="s">
        <v>122</v>
      </c>
      <c r="P41" s="444"/>
      <c r="Q41" s="453"/>
      <c r="T41" s="16"/>
      <c r="U41" s="16"/>
      <c r="V41" s="16"/>
      <c r="W41" s="16"/>
    </row>
    <row r="42" spans="1:23" s="9" customFormat="1">
      <c r="A42" s="424">
        <v>11106</v>
      </c>
      <c r="B42" s="424" t="s">
        <v>9</v>
      </c>
      <c r="C42" s="424" t="s">
        <v>9</v>
      </c>
      <c r="D42" s="430" t="s">
        <v>5</v>
      </c>
      <c r="E42" s="431">
        <v>43276.727766203701</v>
      </c>
      <c r="F42" s="427">
        <v>43276.727766203701</v>
      </c>
      <c r="G42" s="428">
        <v>0.7270833333333333</v>
      </c>
      <c r="H42" s="429" t="s">
        <v>115</v>
      </c>
      <c r="I42" s="429" t="s">
        <v>115</v>
      </c>
      <c r="J42" s="429" t="s">
        <v>115</v>
      </c>
      <c r="K42" s="429"/>
      <c r="L42" s="429"/>
      <c r="M42" s="429"/>
      <c r="N42" s="429"/>
      <c r="O42" s="186"/>
      <c r="P42" s="345"/>
      <c r="Q42" s="369"/>
      <c r="R42" s="18"/>
      <c r="S42" s="18"/>
      <c r="T42" s="63"/>
      <c r="U42" s="63"/>
      <c r="V42" s="63"/>
      <c r="W42" s="63"/>
    </row>
    <row r="43" spans="1:23" s="137" customFormat="1">
      <c r="A43" s="424">
        <v>11119</v>
      </c>
      <c r="B43" s="424" t="s">
        <v>9</v>
      </c>
      <c r="C43" s="424" t="s">
        <v>9</v>
      </c>
      <c r="D43" s="430" t="s">
        <v>6</v>
      </c>
      <c r="E43" s="431">
        <v>43277.368159722224</v>
      </c>
      <c r="F43" s="427">
        <v>43277.368159722224</v>
      </c>
      <c r="G43" s="428">
        <v>0.36805555555555558</v>
      </c>
      <c r="H43" s="429">
        <v>9.6000000000000014</v>
      </c>
      <c r="I43" s="429">
        <v>8</v>
      </c>
      <c r="J43" s="429" t="s">
        <v>115</v>
      </c>
      <c r="K43" s="429"/>
      <c r="L43" s="429"/>
      <c r="M43" s="429"/>
      <c r="N43" s="429"/>
      <c r="O43" s="164"/>
      <c r="P43" s="345"/>
      <c r="Q43" s="369"/>
      <c r="R43" s="18"/>
      <c r="S43" s="18"/>
      <c r="T43" s="63"/>
      <c r="U43" s="63"/>
      <c r="V43" s="63"/>
      <c r="W43" s="63"/>
    </row>
    <row r="44" spans="1:23" s="18" customFormat="1">
      <c r="A44" s="424">
        <v>11129</v>
      </c>
      <c r="B44" s="424" t="s">
        <v>9</v>
      </c>
      <c r="C44" s="424" t="s">
        <v>9</v>
      </c>
      <c r="D44" s="430" t="s">
        <v>5</v>
      </c>
      <c r="E44" s="431">
        <v>43277.768055555556</v>
      </c>
      <c r="F44" s="427">
        <v>43277.768055555556</v>
      </c>
      <c r="G44" s="428">
        <v>0.7680555555555556</v>
      </c>
      <c r="H44" s="429" t="s">
        <v>115</v>
      </c>
      <c r="I44" s="429" t="s">
        <v>115</v>
      </c>
      <c r="J44" s="429" t="s">
        <v>115</v>
      </c>
      <c r="K44" s="429"/>
      <c r="L44" s="429"/>
      <c r="M44" s="429"/>
      <c r="N44" s="429"/>
      <c r="O44" s="164"/>
      <c r="P44" s="345"/>
      <c r="Q44" s="369"/>
      <c r="R44" s="370"/>
      <c r="S44" s="370"/>
      <c r="T44" s="371"/>
      <c r="U44" s="371"/>
      <c r="V44" s="371"/>
      <c r="W44" s="371"/>
    </row>
    <row r="45" spans="1:23" s="18" customFormat="1">
      <c r="A45" s="424">
        <v>11131</v>
      </c>
      <c r="B45" s="424" t="s">
        <v>9</v>
      </c>
      <c r="C45" s="424" t="s">
        <v>9</v>
      </c>
      <c r="D45" s="430" t="s">
        <v>7</v>
      </c>
      <c r="E45" s="431">
        <v>43277.77107638889</v>
      </c>
      <c r="F45" s="427">
        <v>43277.77107638889</v>
      </c>
      <c r="G45" s="428">
        <v>0.77083333333333337</v>
      </c>
      <c r="H45" s="429" t="s">
        <v>115</v>
      </c>
      <c r="I45" s="429" t="s">
        <v>115</v>
      </c>
      <c r="J45" s="429" t="s">
        <v>115</v>
      </c>
      <c r="K45" s="429">
        <v>2.6833333333333318</v>
      </c>
      <c r="L45" s="429"/>
      <c r="M45" s="429">
        <v>2</v>
      </c>
      <c r="N45" s="429">
        <v>0.68333333333333179</v>
      </c>
      <c r="O45" s="164"/>
      <c r="P45" s="345"/>
      <c r="Q45" s="369"/>
      <c r="R45" s="374"/>
      <c r="S45" s="374"/>
      <c r="T45" s="375"/>
      <c r="U45" s="375"/>
      <c r="V45" s="375"/>
      <c r="W45" s="375"/>
    </row>
    <row r="46" spans="1:23" s="18" customFormat="1">
      <c r="A46" s="424">
        <v>11142</v>
      </c>
      <c r="B46" s="424" t="s">
        <v>9</v>
      </c>
      <c r="C46" s="424" t="s">
        <v>9</v>
      </c>
      <c r="D46" s="430" t="s">
        <v>8</v>
      </c>
      <c r="E46" s="431">
        <v>43277.882743055554</v>
      </c>
      <c r="F46" s="427">
        <v>43277.882743055554</v>
      </c>
      <c r="G46" s="428">
        <v>0.88263888888888886</v>
      </c>
      <c r="H46" s="429" t="s">
        <v>115</v>
      </c>
      <c r="I46" s="429" t="s">
        <v>115</v>
      </c>
      <c r="J46" s="429" t="s">
        <v>115</v>
      </c>
      <c r="K46" s="429"/>
      <c r="L46" s="429"/>
      <c r="M46" s="429"/>
      <c r="N46" s="429"/>
      <c r="O46" s="164"/>
      <c r="P46" s="345"/>
      <c r="Q46" s="369"/>
      <c r="R46" s="345"/>
      <c r="S46" s="345"/>
      <c r="T46" s="335"/>
      <c r="U46" s="335"/>
      <c r="V46" s="335"/>
      <c r="W46" s="335"/>
    </row>
    <row r="47" spans="1:23" s="16" customFormat="1">
      <c r="A47" s="432">
        <v>11149</v>
      </c>
      <c r="B47" s="432" t="s">
        <v>9</v>
      </c>
      <c r="C47" s="432" t="s">
        <v>9</v>
      </c>
      <c r="D47" s="433" t="s">
        <v>6</v>
      </c>
      <c r="E47" s="434">
        <v>43278.367685185185</v>
      </c>
      <c r="F47" s="435">
        <v>43278.367685185185</v>
      </c>
      <c r="G47" s="436">
        <v>0.36736111111111108</v>
      </c>
      <c r="H47" s="437">
        <v>8.8166666666666664</v>
      </c>
      <c r="I47" s="437">
        <v>7</v>
      </c>
      <c r="J47" s="437">
        <v>1</v>
      </c>
      <c r="K47" s="437"/>
      <c r="L47" s="437"/>
      <c r="M47" s="437"/>
      <c r="N47" s="437"/>
      <c r="O47" s="36" t="s">
        <v>122</v>
      </c>
      <c r="P47" s="444"/>
      <c r="Q47" s="453"/>
      <c r="R47" s="137"/>
      <c r="S47" s="137"/>
    </row>
    <row r="48" spans="1:23" s="63" customFormat="1">
      <c r="A48" s="424">
        <v>11154</v>
      </c>
      <c r="B48" s="424" t="s">
        <v>9</v>
      </c>
      <c r="C48" s="424" t="s">
        <v>9</v>
      </c>
      <c r="D48" s="430" t="s">
        <v>5</v>
      </c>
      <c r="E48" s="431">
        <v>43278.735300925924</v>
      </c>
      <c r="F48" s="427">
        <v>43278.735300925924</v>
      </c>
      <c r="G48" s="428">
        <v>0.73472222222222217</v>
      </c>
      <c r="H48" s="429" t="s">
        <v>115</v>
      </c>
      <c r="I48" s="429" t="s">
        <v>115</v>
      </c>
      <c r="J48" s="429" t="s">
        <v>115</v>
      </c>
      <c r="K48" s="429"/>
      <c r="L48" s="429"/>
      <c r="M48" s="429"/>
      <c r="N48" s="429"/>
      <c r="O48" s="164"/>
      <c r="P48" s="345"/>
      <c r="Q48" s="369"/>
      <c r="R48" s="370"/>
      <c r="S48" s="370"/>
      <c r="T48" s="371"/>
      <c r="U48" s="371"/>
      <c r="V48" s="371"/>
      <c r="W48" s="371"/>
    </row>
    <row r="49" spans="1:23" s="16" customFormat="1">
      <c r="A49" s="432">
        <v>11180</v>
      </c>
      <c r="B49" s="432" t="s">
        <v>9</v>
      </c>
      <c r="C49" s="432" t="s">
        <v>9</v>
      </c>
      <c r="D49" s="433" t="s">
        <v>6</v>
      </c>
      <c r="E49" s="434">
        <v>43279.366354166668</v>
      </c>
      <c r="F49" s="435">
        <v>43279.366354166668</v>
      </c>
      <c r="G49" s="436">
        <v>0.3659722222222222</v>
      </c>
      <c r="H49" s="437">
        <v>8.5333333333333332</v>
      </c>
      <c r="I49" s="437">
        <v>7</v>
      </c>
      <c r="J49" s="437">
        <v>1</v>
      </c>
      <c r="K49" s="437"/>
      <c r="L49" s="437"/>
      <c r="M49" s="437"/>
      <c r="N49" s="437"/>
      <c r="O49" s="36" t="s">
        <v>122</v>
      </c>
      <c r="P49" s="444"/>
      <c r="Q49" s="453"/>
      <c r="R49" s="137"/>
      <c r="S49" s="137"/>
    </row>
    <row r="50" spans="1:23" s="16" customFormat="1">
      <c r="A50" s="424">
        <v>11187</v>
      </c>
      <c r="B50" s="424" t="s">
        <v>9</v>
      </c>
      <c r="C50" s="424" t="s">
        <v>9</v>
      </c>
      <c r="D50" s="430" t="s">
        <v>5</v>
      </c>
      <c r="E50" s="431">
        <v>43279.721898148149</v>
      </c>
      <c r="F50" s="427">
        <v>43279.721898148149</v>
      </c>
      <c r="G50" s="428">
        <v>0.72152777777777777</v>
      </c>
      <c r="H50" s="429" t="s">
        <v>115</v>
      </c>
      <c r="I50" s="429" t="s">
        <v>115</v>
      </c>
      <c r="J50" s="429" t="s">
        <v>115</v>
      </c>
      <c r="K50" s="429"/>
      <c r="L50" s="429"/>
      <c r="M50" s="429"/>
      <c r="N50" s="429"/>
      <c r="O50" s="164"/>
      <c r="P50" s="18"/>
      <c r="Q50" s="390"/>
      <c r="R50" s="18"/>
      <c r="S50" s="18"/>
      <c r="T50" s="63"/>
      <c r="U50" s="63"/>
      <c r="V50" s="63"/>
      <c r="W50" s="63"/>
    </row>
    <row r="51" spans="1:23" s="16" customFormat="1">
      <c r="A51" s="424">
        <v>11207</v>
      </c>
      <c r="B51" s="424" t="s">
        <v>9</v>
      </c>
      <c r="C51" s="424" t="s">
        <v>9</v>
      </c>
      <c r="D51" s="430" t="s">
        <v>6</v>
      </c>
      <c r="E51" s="431">
        <v>43280.371631944443</v>
      </c>
      <c r="F51" s="427">
        <v>43280.371631944443</v>
      </c>
      <c r="G51" s="428">
        <v>0.37152777777777773</v>
      </c>
      <c r="H51" s="429">
        <v>9.7666666666666657</v>
      </c>
      <c r="I51" s="429">
        <v>8</v>
      </c>
      <c r="J51" s="429" t="s">
        <v>115</v>
      </c>
      <c r="K51" s="429"/>
      <c r="L51" s="429"/>
      <c r="M51" s="429"/>
      <c r="N51" s="429"/>
      <c r="O51" s="164"/>
      <c r="P51" s="137"/>
      <c r="Q51" s="397"/>
      <c r="R51" s="137"/>
      <c r="S51" s="137"/>
      <c r="T51" s="137"/>
      <c r="U51" s="137"/>
      <c r="V51" s="137"/>
      <c r="W51" s="137"/>
    </row>
    <row r="52" spans="1:23">
      <c r="A52" s="424">
        <v>11222</v>
      </c>
      <c r="B52" s="424" t="s">
        <v>9</v>
      </c>
      <c r="C52" s="424" t="s">
        <v>9</v>
      </c>
      <c r="D52" s="430" t="s">
        <v>5</v>
      </c>
      <c r="E52" s="431">
        <v>43280.778773148151</v>
      </c>
      <c r="F52" s="427">
        <v>43280.778773148151</v>
      </c>
      <c r="G52" s="428">
        <v>0.77847222222222223</v>
      </c>
      <c r="H52" s="429" t="s">
        <v>115</v>
      </c>
      <c r="I52" s="429" t="s">
        <v>115</v>
      </c>
      <c r="J52" s="429" t="s">
        <v>115</v>
      </c>
      <c r="K52" s="429"/>
      <c r="L52" s="429"/>
      <c r="M52" s="429"/>
      <c r="N52" s="429"/>
      <c r="O52" s="164"/>
      <c r="P52" s="137"/>
      <c r="Q52" s="397"/>
      <c r="R52" s="137"/>
      <c r="S52" s="137"/>
      <c r="T52" s="137"/>
      <c r="U52" s="137"/>
      <c r="V52" s="137"/>
      <c r="W52" s="137"/>
    </row>
    <row r="53" spans="1:23">
      <c r="D53"/>
      <c r="O53" s="22"/>
      <c r="Q53" s="369"/>
      <c r="R53" s="370"/>
      <c r="S53" s="370"/>
      <c r="T53" s="371"/>
      <c r="U53" s="371"/>
      <c r="V53" s="371"/>
      <c r="W53" s="371"/>
    </row>
    <row r="54" spans="1:23">
      <c r="D54" s="9" t="s">
        <v>36</v>
      </c>
      <c r="O54" s="22"/>
      <c r="Q54" s="369"/>
    </row>
    <row r="55" spans="1:23">
      <c r="D55" s="9" t="s">
        <v>35</v>
      </c>
      <c r="O55" s="22"/>
      <c r="Q55" s="369"/>
      <c r="R55" s="137"/>
      <c r="S55" s="137"/>
      <c r="T55" s="16"/>
      <c r="U55" s="16"/>
      <c r="V55" s="16"/>
      <c r="W55" s="16"/>
    </row>
    <row r="56" spans="1:23">
      <c r="D56" s="172" t="s">
        <v>63</v>
      </c>
      <c r="O56" s="22"/>
      <c r="Q56" s="369"/>
    </row>
    <row r="57" spans="1:23">
      <c r="D57" t="s">
        <v>66</v>
      </c>
      <c r="O57" s="22"/>
      <c r="Q57" s="369"/>
      <c r="R57" s="374"/>
      <c r="S57" s="374"/>
      <c r="T57" s="375"/>
      <c r="U57" s="375"/>
      <c r="V57" s="375"/>
      <c r="W57" s="375"/>
    </row>
    <row r="58" spans="1:23">
      <c r="D58" t="s">
        <v>64</v>
      </c>
      <c r="E58" s="336"/>
      <c r="F58" s="373"/>
      <c r="G58" s="376"/>
      <c r="H58" s="377"/>
      <c r="I58" s="378"/>
      <c r="J58" s="378"/>
      <c r="K58" s="379"/>
      <c r="L58" s="379"/>
      <c r="M58" s="379"/>
      <c r="N58" s="379"/>
      <c r="O58" s="22"/>
      <c r="Q58" s="369"/>
    </row>
    <row r="59" spans="1:23">
      <c r="D59" t="s">
        <v>68</v>
      </c>
      <c r="E59" s="336"/>
      <c r="F59" s="373"/>
      <c r="G59" s="376"/>
      <c r="H59" s="377"/>
      <c r="I59" s="378"/>
      <c r="J59" s="378"/>
      <c r="K59" s="379"/>
      <c r="L59" s="379"/>
      <c r="M59" s="379"/>
      <c r="N59" s="379"/>
      <c r="O59" s="22"/>
      <c r="Q59" s="369"/>
      <c r="R59" s="374"/>
      <c r="S59" s="374"/>
      <c r="T59" s="375"/>
      <c r="U59" s="375"/>
      <c r="V59" s="375"/>
      <c r="W59" s="375"/>
    </row>
    <row r="60" spans="1:23">
      <c r="D60" t="s">
        <v>69</v>
      </c>
      <c r="E60" s="336"/>
      <c r="F60" s="373"/>
      <c r="G60" s="376"/>
      <c r="H60" s="377"/>
      <c r="I60" s="378"/>
      <c r="J60" s="378"/>
      <c r="K60" s="379"/>
      <c r="L60" s="379"/>
      <c r="M60" s="379"/>
      <c r="N60" s="379"/>
      <c r="O60" s="22"/>
      <c r="Q60" s="369"/>
      <c r="R60" s="18"/>
      <c r="S60" s="18"/>
      <c r="T60" s="63"/>
      <c r="U60" s="63"/>
      <c r="V60" s="63"/>
      <c r="W60" s="63"/>
    </row>
    <row r="61" spans="1:23">
      <c r="D61" t="s">
        <v>116</v>
      </c>
      <c r="E61" s="336"/>
      <c r="F61" s="373"/>
      <c r="G61" s="376"/>
      <c r="H61" s="377"/>
      <c r="I61" s="378"/>
      <c r="J61" s="378"/>
      <c r="K61" s="379"/>
      <c r="L61" s="379"/>
      <c r="M61" s="379"/>
      <c r="N61" s="379"/>
      <c r="O61" s="22"/>
      <c r="P61" s="137"/>
      <c r="Q61" s="397"/>
      <c r="R61" s="137"/>
      <c r="S61" s="137"/>
      <c r="T61" s="16"/>
      <c r="U61" s="16"/>
      <c r="V61" s="16"/>
      <c r="W61" s="16"/>
    </row>
    <row r="62" spans="1:23">
      <c r="D62" t="s">
        <v>67</v>
      </c>
      <c r="E62" s="336"/>
      <c r="F62" s="373"/>
      <c r="G62" s="376"/>
      <c r="H62" s="377"/>
      <c r="I62" s="378"/>
      <c r="J62" s="378"/>
      <c r="K62" s="379"/>
      <c r="L62" s="379"/>
      <c r="M62" s="379"/>
      <c r="N62" s="379"/>
      <c r="O62" s="22"/>
      <c r="P62" s="137"/>
      <c r="Q62" s="397"/>
      <c r="R62" s="137"/>
      <c r="S62" s="137"/>
      <c r="T62" s="16"/>
      <c r="U62" s="16"/>
      <c r="V62" s="16"/>
      <c r="W62" s="16"/>
    </row>
    <row r="63" spans="1:23">
      <c r="O63" s="22"/>
      <c r="P63" s="137"/>
      <c r="Q63" s="397"/>
      <c r="R63" s="137"/>
      <c r="S63" s="137"/>
      <c r="T63" s="16"/>
      <c r="U63" s="16"/>
      <c r="V63" s="16"/>
      <c r="W63" s="16"/>
    </row>
    <row r="64" spans="1:23">
      <c r="O64" s="22"/>
      <c r="P64" s="137"/>
      <c r="Q64" s="397"/>
      <c r="R64" s="137"/>
      <c r="S64" s="137"/>
      <c r="T64" s="16"/>
      <c r="U64" s="16"/>
      <c r="V64" s="16"/>
      <c r="W64" s="16"/>
    </row>
    <row r="65" spans="16:23">
      <c r="P65" s="137"/>
      <c r="Q65" s="397"/>
      <c r="R65" s="137"/>
      <c r="S65" s="137"/>
      <c r="T65" s="16"/>
      <c r="U65" s="16"/>
      <c r="V65" s="16"/>
      <c r="W65" s="16"/>
    </row>
    <row r="66" spans="16:23">
      <c r="P66" s="137"/>
      <c r="Q66" s="397"/>
      <c r="R66" s="137"/>
      <c r="S66" s="137"/>
      <c r="T66" s="16"/>
      <c r="U66" s="16"/>
      <c r="V66" s="16"/>
      <c r="W66" s="16"/>
    </row>
    <row r="67" spans="16:23">
      <c r="P67" s="137"/>
      <c r="Q67" s="397"/>
    </row>
    <row r="68" spans="16:23">
      <c r="P68" s="137"/>
      <c r="Q68" s="397"/>
    </row>
    <row r="69" spans="16:23">
      <c r="P69" s="137"/>
      <c r="Q69" s="397"/>
    </row>
    <row r="70" spans="16:23">
      <c r="P70" s="137"/>
      <c r="Q70" s="397"/>
    </row>
    <row r="71" spans="16:23">
      <c r="P71" s="137"/>
      <c r="Q71" s="397"/>
    </row>
    <row r="72" spans="16:23">
      <c r="P72" s="137"/>
      <c r="Q72" s="397"/>
    </row>
    <row r="73" spans="16:23">
      <c r="P73" s="137"/>
      <c r="Q73" s="397"/>
      <c r="R73" s="137"/>
      <c r="S73" s="137"/>
      <c r="T73" s="16"/>
      <c r="U73" s="16"/>
      <c r="V73" s="16"/>
      <c r="W73" s="16"/>
    </row>
    <row r="74" spans="16:23">
      <c r="P74" s="137"/>
      <c r="Q74" s="397"/>
      <c r="R74" s="137"/>
      <c r="S74" s="137"/>
      <c r="T74" s="16"/>
      <c r="U74" s="16"/>
      <c r="V74" s="16"/>
      <c r="W74" s="16"/>
    </row>
    <row r="75" spans="16:23">
      <c r="P75" s="137"/>
      <c r="Q75" s="397"/>
      <c r="R75" s="137"/>
      <c r="S75" s="137"/>
      <c r="T75" s="16"/>
      <c r="U75" s="16"/>
      <c r="V75" s="16"/>
      <c r="W75" s="16"/>
    </row>
    <row r="76" spans="16:23">
      <c r="P76" s="137"/>
      <c r="Q76" s="397"/>
      <c r="R76" s="137"/>
      <c r="S76" s="137"/>
      <c r="T76" s="16"/>
      <c r="U76" s="16"/>
      <c r="V76" s="16"/>
      <c r="W76" s="16"/>
    </row>
    <row r="77" spans="16:23">
      <c r="P77" s="137"/>
      <c r="Q77" s="397"/>
    </row>
    <row r="78" spans="16:23">
      <c r="P78" s="137"/>
      <c r="Q78" s="397"/>
    </row>
    <row r="79" spans="16:23">
      <c r="P79" s="137"/>
      <c r="Q79" s="397"/>
    </row>
    <row r="80" spans="16:23">
      <c r="P80" s="137"/>
      <c r="Q80" s="397"/>
    </row>
    <row r="81" spans="16:23">
      <c r="P81" s="137"/>
      <c r="Q81" s="397"/>
    </row>
    <row r="82" spans="16:23">
      <c r="P82" s="137"/>
      <c r="Q82" s="397"/>
    </row>
    <row r="83" spans="16:23">
      <c r="P83" s="137"/>
      <c r="Q83" s="397"/>
      <c r="R83" s="399"/>
      <c r="S83" s="399"/>
      <c r="T83" s="399"/>
      <c r="U83" s="399"/>
      <c r="V83" s="399"/>
      <c r="W83" s="399"/>
    </row>
    <row r="84" spans="16:23">
      <c r="P84" s="137"/>
      <c r="Q84" s="397"/>
    </row>
    <row r="85" spans="16:23">
      <c r="P85" s="137"/>
      <c r="Q85" s="397"/>
    </row>
    <row r="86" spans="16:23">
      <c r="P86" s="137"/>
      <c r="Q86" s="397"/>
    </row>
    <row r="87" spans="16:23">
      <c r="P87" s="137"/>
      <c r="Q87" s="397"/>
      <c r="R87" s="444"/>
      <c r="S87" s="444"/>
      <c r="T87" s="398"/>
      <c r="U87" s="398"/>
      <c r="V87" s="398"/>
      <c r="W87" s="398"/>
    </row>
    <row r="88" spans="16:23">
      <c r="P88" s="137"/>
      <c r="Q88" s="397"/>
      <c r="R88" s="18"/>
      <c r="S88" s="18"/>
      <c r="T88" s="63"/>
      <c r="U88" s="63"/>
      <c r="V88" s="63"/>
      <c r="W88" s="63"/>
    </row>
    <row r="89" spans="16:23">
      <c r="P89" s="137"/>
      <c r="Q89" s="397"/>
    </row>
    <row r="90" spans="16:23">
      <c r="P90" s="137"/>
      <c r="Q90" s="397"/>
    </row>
    <row r="91" spans="16:23">
      <c r="P91" s="137"/>
      <c r="Q91" s="397"/>
      <c r="R91" s="18"/>
      <c r="S91" s="18"/>
      <c r="T91" s="63"/>
      <c r="U91" s="63"/>
      <c r="V91" s="63"/>
      <c r="W91" s="63"/>
    </row>
    <row r="92" spans="16:23">
      <c r="P92" s="137"/>
      <c r="Q92" s="397"/>
    </row>
    <row r="93" spans="16:23">
      <c r="P93" s="137"/>
      <c r="Q93" s="397"/>
    </row>
    <row r="94" spans="16:23">
      <c r="P94" s="137"/>
      <c r="Q94" s="397"/>
    </row>
    <row r="95" spans="16:23">
      <c r="P95" s="137"/>
      <c r="Q95" s="397"/>
    </row>
    <row r="96" spans="16:23">
      <c r="P96" s="137"/>
      <c r="Q96" s="397"/>
    </row>
    <row r="97" spans="16:23">
      <c r="P97" s="137"/>
      <c r="Q97" s="397"/>
    </row>
    <row r="98" spans="16:23">
      <c r="P98" s="137"/>
      <c r="Q98" s="397"/>
    </row>
    <row r="99" spans="16:23">
      <c r="P99" s="137"/>
      <c r="Q99" s="397"/>
    </row>
    <row r="100" spans="16:23">
      <c r="P100" s="137"/>
      <c r="Q100" s="397"/>
    </row>
    <row r="101" spans="16:23">
      <c r="P101" s="137"/>
      <c r="Q101" s="397"/>
    </row>
    <row r="102" spans="16:23">
      <c r="P102" s="137"/>
      <c r="Q102" s="397"/>
    </row>
    <row r="103" spans="16:23">
      <c r="P103" s="137"/>
      <c r="Q103" s="397"/>
    </row>
    <row r="104" spans="16:23">
      <c r="P104" s="137"/>
      <c r="Q104" s="397"/>
    </row>
    <row r="105" spans="16:23">
      <c r="P105" s="137"/>
      <c r="Q105" s="397"/>
    </row>
    <row r="106" spans="16:23">
      <c r="P106" s="137"/>
      <c r="Q106" s="397"/>
    </row>
    <row r="107" spans="16:23">
      <c r="P107" s="137"/>
      <c r="Q107" s="397"/>
    </row>
    <row r="108" spans="16:23">
      <c r="P108" s="137"/>
      <c r="Q108" s="397"/>
    </row>
    <row r="109" spans="16:23">
      <c r="P109" s="137"/>
      <c r="Q109" s="397"/>
      <c r="R109" s="444"/>
      <c r="S109" s="444"/>
      <c r="T109" s="398"/>
      <c r="U109" s="398"/>
      <c r="V109" s="398"/>
      <c r="W109" s="398"/>
    </row>
    <row r="110" spans="16:23">
      <c r="P110" s="137"/>
      <c r="Q110" s="397"/>
    </row>
    <row r="111" spans="16:23">
      <c r="P111" s="137"/>
      <c r="Q111" s="397"/>
    </row>
    <row r="112" spans="16:23">
      <c r="P112" s="137"/>
      <c r="Q112" s="397"/>
    </row>
    <row r="113" spans="16:17">
      <c r="P113" s="137"/>
      <c r="Q113" s="397"/>
    </row>
    <row r="114" spans="16:17">
      <c r="P114" s="137"/>
      <c r="Q114" s="397"/>
    </row>
    <row r="115" spans="16:17">
      <c r="P115" s="137"/>
      <c r="Q115" s="397"/>
    </row>
    <row r="116" spans="16:17">
      <c r="P116" s="137"/>
      <c r="Q116" s="397"/>
    </row>
    <row r="117" spans="16:17">
      <c r="P117" s="137"/>
      <c r="Q117" s="397"/>
    </row>
    <row r="118" spans="16:17">
      <c r="P118" s="137"/>
      <c r="Q118" s="397"/>
    </row>
    <row r="119" spans="16:17">
      <c r="P119" s="137"/>
      <c r="Q119" s="397"/>
    </row>
    <row r="120" spans="16:17">
      <c r="P120" s="137"/>
      <c r="Q120" s="397"/>
    </row>
    <row r="121" spans="16:17">
      <c r="P121" s="137"/>
      <c r="Q121" s="397"/>
    </row>
    <row r="122" spans="16:17">
      <c r="P122" s="137"/>
      <c r="Q122" s="397"/>
    </row>
    <row r="123" spans="16:17">
      <c r="P123" s="137"/>
      <c r="Q123" s="397"/>
    </row>
    <row r="124" spans="16:17">
      <c r="P124" s="137"/>
      <c r="Q124" s="397"/>
    </row>
    <row r="125" spans="16:17">
      <c r="P125" s="137"/>
      <c r="Q125" s="397"/>
    </row>
    <row r="126" spans="16:17">
      <c r="P126" s="137"/>
      <c r="Q126" s="39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工作表22"/>
  <dimension ref="A1:Z140"/>
  <sheetViews>
    <sheetView view="pageBreakPreview" topLeftCell="D1" zoomScaleNormal="100" zoomScaleSheetLayoutView="100" workbookViewId="0">
      <selection activeCell="V19" sqref="V19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7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4.375" style="380" customWidth="1"/>
    <col min="16" max="17" width="9" style="345"/>
    <col min="18" max="18" width="2.5" style="345" customWidth="1"/>
    <col min="19" max="19" width="9" style="345"/>
    <col min="20" max="20" width="3" style="335" customWidth="1"/>
    <col min="21" max="21" width="7.5" style="335" customWidth="1"/>
    <col min="22" max="22" width="9" style="335"/>
    <col min="23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B15</f>
        <v>AN</v>
      </c>
      <c r="J1" s="258" t="s">
        <v>29</v>
      </c>
      <c r="K1" s="259"/>
      <c r="L1" s="259"/>
      <c r="M1" s="259"/>
      <c r="N1" s="259"/>
      <c r="O1" s="333"/>
      <c r="P1" s="334"/>
      <c r="Q1" s="334"/>
      <c r="R1" s="334"/>
      <c r="S1" s="334"/>
      <c r="T1" s="324"/>
      <c r="U1" s="324"/>
      <c r="V1" s="32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344" t="s">
        <v>27</v>
      </c>
    </row>
    <row r="3" spans="1:25" ht="17.25" thickBot="1">
      <c r="D3" s="272" t="s">
        <v>76</v>
      </c>
      <c r="E3" s="273">
        <v>0</v>
      </c>
      <c r="F3" s="274"/>
      <c r="G3" s="275"/>
      <c r="H3" s="275"/>
      <c r="I3" s="276"/>
      <c r="J3" s="277">
        <f>D5+E5</f>
        <v>0</v>
      </c>
      <c r="K3" s="278">
        <f>SUM(K15:K62)</f>
        <v>15.499999999999995</v>
      </c>
      <c r="L3" s="278">
        <f>J3</f>
        <v>0</v>
      </c>
      <c r="M3" s="278">
        <f>M6-L3</f>
        <v>14.283333333333331</v>
      </c>
      <c r="N3" s="278">
        <f t="shared" ref="N3" si="0">N6</f>
        <v>2.133333333333332</v>
      </c>
      <c r="O3" s="352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39" t="s">
        <v>118</v>
      </c>
      <c r="Q4" s="357" t="s">
        <v>23</v>
      </c>
      <c r="R4" s="345" t="s">
        <v>30</v>
      </c>
      <c r="S4" s="357" t="s">
        <v>25</v>
      </c>
      <c r="T4" s="358" t="s">
        <v>31</v>
      </c>
      <c r="U4" s="359">
        <f>I6+J6</f>
        <v>136</v>
      </c>
    </row>
    <row r="5" spans="1:25">
      <c r="D5" s="420">
        <f>J6</f>
        <v>0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41" t="s">
        <v>117</v>
      </c>
      <c r="Q5" s="345" t="s">
        <v>40</v>
      </c>
      <c r="S5" s="363">
        <f>(L6+M6+N6)/160</f>
        <v>0.10260416666666665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368">
        <f t="shared" ref="I6:N6" si="1">SUM(I7:I75)</f>
        <v>136</v>
      </c>
      <c r="J6" s="368">
        <f t="shared" si="1"/>
        <v>0</v>
      </c>
      <c r="K6" s="368">
        <f t="shared" si="1"/>
        <v>16.416666666666664</v>
      </c>
      <c r="L6" s="368">
        <f t="shared" si="1"/>
        <v>0</v>
      </c>
      <c r="M6" s="368">
        <f t="shared" si="1"/>
        <v>14.283333333333331</v>
      </c>
      <c r="N6" s="368">
        <f t="shared" si="1"/>
        <v>2.133333333333332</v>
      </c>
      <c r="O6" s="368">
        <f>SUM(O7:O75)</f>
        <v>16.416666666666664</v>
      </c>
      <c r="P6" s="368">
        <f>SUM(P15:P154)</f>
        <v>0</v>
      </c>
      <c r="Q6" s="368">
        <f>SUM(Q15:Q154)</f>
        <v>0</v>
      </c>
      <c r="W6" s="8"/>
    </row>
    <row r="7" spans="1:25" s="16" customFormat="1">
      <c r="A7" s="145">
        <v>9920</v>
      </c>
      <c r="B7" s="145" t="s">
        <v>106</v>
      </c>
      <c r="C7" s="145" t="s">
        <v>106</v>
      </c>
      <c r="D7" s="450" t="s">
        <v>6</v>
      </c>
      <c r="E7" s="451">
        <v>43217.35465277778</v>
      </c>
      <c r="F7" s="104">
        <f>E7</f>
        <v>43217.35465277778</v>
      </c>
      <c r="G7" s="125" t="str">
        <f>HOUR(E7)&amp;":"&amp;MINUTE(E7)</f>
        <v>8:30</v>
      </c>
      <c r="H7" s="126">
        <f>IF(D7="上班",(G8-G7)*24,"-")</f>
        <v>9.8999999999999986</v>
      </c>
      <c r="I7" s="127">
        <f t="shared" ref="I7:I14" si="2">IF(D7="上班",IF(H7-1.5&gt;8,8,H7-1.5),"-")</f>
        <v>8</v>
      </c>
      <c r="J7" s="127" t="str">
        <f t="shared" ref="J7:J14" si="3">IF(I7&lt;8,8-I7,"-")</f>
        <v>-</v>
      </c>
      <c r="K7" s="128">
        <f t="shared" ref="K7:K13" si="4">IF(D7="加班",(G8-G7)*24,0)</f>
        <v>0</v>
      </c>
      <c r="L7" s="128"/>
      <c r="M7" s="129">
        <f t="shared" ref="M7:M14" si="5">IF(K7&gt;2,2,K7)</f>
        <v>0</v>
      </c>
      <c r="N7" s="129">
        <f t="shared" ref="N7:N14" si="6">IF(K7&gt;2,K7-2,0)</f>
        <v>0</v>
      </c>
      <c r="O7" s="393">
        <f t="shared" ref="O7:O14" si="7">M7+N7</f>
        <v>0</v>
      </c>
      <c r="P7" s="137"/>
      <c r="Q7" s="382"/>
      <c r="R7" s="137"/>
      <c r="V7" s="382"/>
    </row>
    <row r="8" spans="1:25" s="16" customFormat="1">
      <c r="A8" s="140">
        <v>9924</v>
      </c>
      <c r="B8" s="140" t="s">
        <v>107</v>
      </c>
      <c r="C8" s="140" t="s">
        <v>106</v>
      </c>
      <c r="D8" s="143" t="s">
        <v>5</v>
      </c>
      <c r="E8" s="144">
        <v>43217.767141203702</v>
      </c>
      <c r="F8" s="104">
        <f t="shared" ref="F8:F14" si="8">E8</f>
        <v>43217.767141203702</v>
      </c>
      <c r="G8" s="125" t="str">
        <f t="shared" ref="G8:G14" si="9">HOUR(E8)&amp;":"&amp;MINUTE(E8)</f>
        <v>18:24</v>
      </c>
      <c r="H8" s="126" t="str">
        <f t="shared" ref="H8:H13" si="10">IF(D8="上班",(G9-G8)*24,"-")</f>
        <v>-</v>
      </c>
      <c r="I8" s="127" t="str">
        <f t="shared" si="2"/>
        <v>-</v>
      </c>
      <c r="J8" s="127" t="str">
        <f t="shared" si="3"/>
        <v>-</v>
      </c>
      <c r="K8" s="128">
        <f t="shared" si="4"/>
        <v>0</v>
      </c>
      <c r="L8" s="128"/>
      <c r="M8" s="129">
        <f t="shared" si="5"/>
        <v>0</v>
      </c>
      <c r="N8" s="129">
        <f t="shared" si="6"/>
        <v>0</v>
      </c>
      <c r="O8" s="393">
        <f t="shared" si="7"/>
        <v>0</v>
      </c>
      <c r="P8" s="137"/>
      <c r="Q8" s="382"/>
      <c r="R8" s="137"/>
      <c r="V8" s="382"/>
    </row>
    <row r="9" spans="1:25" s="16" customFormat="1">
      <c r="A9" s="140">
        <v>9931</v>
      </c>
      <c r="B9" s="140" t="s">
        <v>107</v>
      </c>
      <c r="C9" s="140" t="s">
        <v>106</v>
      </c>
      <c r="D9" s="143" t="s">
        <v>7</v>
      </c>
      <c r="E9" s="144">
        <v>43217.771527777775</v>
      </c>
      <c r="F9" s="104">
        <f t="shared" si="8"/>
        <v>43217.771527777775</v>
      </c>
      <c r="G9" s="125" t="str">
        <f t="shared" si="9"/>
        <v>18:31</v>
      </c>
      <c r="H9" s="126" t="str">
        <f t="shared" si="10"/>
        <v>-</v>
      </c>
      <c r="I9" s="127" t="str">
        <f t="shared" si="2"/>
        <v>-</v>
      </c>
      <c r="J9" s="127" t="str">
        <f t="shared" si="3"/>
        <v>-</v>
      </c>
      <c r="K9" s="128">
        <f t="shared" si="4"/>
        <v>0.8333333333333357</v>
      </c>
      <c r="L9" s="128"/>
      <c r="M9" s="129">
        <f t="shared" si="5"/>
        <v>0.8333333333333357</v>
      </c>
      <c r="N9" s="129">
        <f t="shared" si="6"/>
        <v>0</v>
      </c>
      <c r="O9" s="393">
        <f t="shared" si="7"/>
        <v>0.8333333333333357</v>
      </c>
      <c r="P9" s="137"/>
      <c r="Q9" s="382"/>
      <c r="R9" s="137"/>
      <c r="V9" s="382"/>
    </row>
    <row r="10" spans="1:25" s="16" customFormat="1">
      <c r="A10" s="140">
        <v>9941</v>
      </c>
      <c r="B10" s="140" t="s">
        <v>106</v>
      </c>
      <c r="C10" s="140" t="s">
        <v>106</v>
      </c>
      <c r="D10" s="143" t="s">
        <v>8</v>
      </c>
      <c r="E10" s="144">
        <v>43217.806817129633</v>
      </c>
      <c r="F10" s="104">
        <f t="shared" si="8"/>
        <v>43217.806817129633</v>
      </c>
      <c r="G10" s="125" t="str">
        <f t="shared" si="9"/>
        <v>19:21</v>
      </c>
      <c r="H10" s="126" t="str">
        <f t="shared" si="10"/>
        <v>-</v>
      </c>
      <c r="I10" s="127" t="str">
        <f t="shared" si="2"/>
        <v>-</v>
      </c>
      <c r="J10" s="127" t="str">
        <f t="shared" si="3"/>
        <v>-</v>
      </c>
      <c r="K10" s="128">
        <f t="shared" si="4"/>
        <v>0</v>
      </c>
      <c r="L10" s="128"/>
      <c r="M10" s="129">
        <f t="shared" si="5"/>
        <v>0</v>
      </c>
      <c r="N10" s="129">
        <f t="shared" si="6"/>
        <v>0</v>
      </c>
      <c r="O10" s="393">
        <f t="shared" si="7"/>
        <v>0</v>
      </c>
      <c r="P10" s="137"/>
      <c r="Q10" s="382"/>
      <c r="R10" s="137"/>
      <c r="V10" s="382"/>
    </row>
    <row r="11" spans="1:25" s="16" customFormat="1">
      <c r="A11" s="140">
        <v>9953</v>
      </c>
      <c r="B11" s="140" t="s">
        <v>107</v>
      </c>
      <c r="C11" s="140" t="s">
        <v>106</v>
      </c>
      <c r="D11" s="143" t="s">
        <v>6</v>
      </c>
      <c r="E11" s="144">
        <v>43220.356770833336</v>
      </c>
      <c r="F11" s="104">
        <f t="shared" si="8"/>
        <v>43220.356770833336</v>
      </c>
      <c r="G11" s="125" t="str">
        <f t="shared" si="9"/>
        <v>8:33</v>
      </c>
      <c r="H11" s="126">
        <f t="shared" si="10"/>
        <v>9.966666666666665</v>
      </c>
      <c r="I11" s="127">
        <f t="shared" si="2"/>
        <v>8</v>
      </c>
      <c r="J11" s="127" t="str">
        <f t="shared" si="3"/>
        <v>-</v>
      </c>
      <c r="K11" s="128">
        <f t="shared" si="4"/>
        <v>0</v>
      </c>
      <c r="L11" s="128"/>
      <c r="M11" s="129">
        <f t="shared" si="5"/>
        <v>0</v>
      </c>
      <c r="N11" s="129">
        <f t="shared" si="6"/>
        <v>0</v>
      </c>
      <c r="O11" s="393">
        <f t="shared" si="7"/>
        <v>0</v>
      </c>
      <c r="P11" s="137"/>
      <c r="Q11" s="382"/>
      <c r="R11" s="137"/>
      <c r="S11" s="63"/>
      <c r="V11" s="382"/>
      <c r="X11" s="63"/>
    </row>
    <row r="12" spans="1:25" s="16" customFormat="1">
      <c r="A12" s="140">
        <v>9981</v>
      </c>
      <c r="B12" s="140" t="s">
        <v>106</v>
      </c>
      <c r="C12" s="140" t="s">
        <v>106</v>
      </c>
      <c r="D12" s="143" t="s">
        <v>5</v>
      </c>
      <c r="E12" s="144">
        <v>43220.771863425929</v>
      </c>
      <c r="F12" s="104">
        <f t="shared" si="8"/>
        <v>43220.771863425929</v>
      </c>
      <c r="G12" s="125" t="str">
        <f t="shared" si="9"/>
        <v>18:31</v>
      </c>
      <c r="H12" s="126" t="str">
        <f t="shared" si="10"/>
        <v>-</v>
      </c>
      <c r="I12" s="127" t="str">
        <f t="shared" si="2"/>
        <v>-</v>
      </c>
      <c r="J12" s="127" t="str">
        <f t="shared" si="3"/>
        <v>-</v>
      </c>
      <c r="K12" s="128">
        <f t="shared" si="4"/>
        <v>0</v>
      </c>
      <c r="L12" s="128"/>
      <c r="M12" s="129">
        <f t="shared" si="5"/>
        <v>0</v>
      </c>
      <c r="N12" s="129">
        <f t="shared" si="6"/>
        <v>0</v>
      </c>
      <c r="O12" s="393">
        <f t="shared" si="7"/>
        <v>0</v>
      </c>
      <c r="P12" s="137"/>
      <c r="Q12" s="382"/>
      <c r="R12" s="137"/>
      <c r="S12" s="63"/>
      <c r="V12" s="382"/>
      <c r="X12" s="63"/>
    </row>
    <row r="13" spans="1:25" s="63" customFormat="1">
      <c r="A13" s="140">
        <v>9982</v>
      </c>
      <c r="B13" s="140" t="s">
        <v>106</v>
      </c>
      <c r="C13" s="140" t="s">
        <v>106</v>
      </c>
      <c r="D13" s="143" t="s">
        <v>7</v>
      </c>
      <c r="E13" s="144">
        <v>43220.771932870368</v>
      </c>
      <c r="F13" s="104">
        <f t="shared" si="8"/>
        <v>43220.771932870368</v>
      </c>
      <c r="G13" s="125" t="str">
        <f t="shared" si="9"/>
        <v>18:31</v>
      </c>
      <c r="H13" s="126" t="str">
        <f t="shared" si="10"/>
        <v>-</v>
      </c>
      <c r="I13" s="127" t="str">
        <f t="shared" si="2"/>
        <v>-</v>
      </c>
      <c r="J13" s="127" t="str">
        <f t="shared" si="3"/>
        <v>-</v>
      </c>
      <c r="K13" s="128">
        <f t="shared" si="4"/>
        <v>8.3333333333335702E-2</v>
      </c>
      <c r="L13" s="128"/>
      <c r="M13" s="129">
        <f t="shared" si="5"/>
        <v>8.3333333333335702E-2</v>
      </c>
      <c r="N13" s="129">
        <f t="shared" si="6"/>
        <v>0</v>
      </c>
      <c r="O13" s="393">
        <f t="shared" si="7"/>
        <v>8.3333333333335702E-2</v>
      </c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9987</v>
      </c>
      <c r="B14" s="140" t="s">
        <v>107</v>
      </c>
      <c r="C14" s="140" t="s">
        <v>106</v>
      </c>
      <c r="D14" s="143" t="s">
        <v>8</v>
      </c>
      <c r="E14" s="144">
        <v>43220.775370370371</v>
      </c>
      <c r="F14" s="104">
        <f t="shared" si="8"/>
        <v>43220.775370370371</v>
      </c>
      <c r="G14" s="125" t="str">
        <f t="shared" si="9"/>
        <v>18:36</v>
      </c>
      <c r="H14" s="126" t="str">
        <f>IF(D14="上班",(#REF!-G14)*24,"-")</f>
        <v>-</v>
      </c>
      <c r="I14" s="127" t="str">
        <f t="shared" si="2"/>
        <v>-</v>
      </c>
      <c r="J14" s="127" t="str">
        <f t="shared" si="3"/>
        <v>-</v>
      </c>
      <c r="K14" s="128">
        <f>IF(D14="加班",(#REF!-G14)*24,0)</f>
        <v>0</v>
      </c>
      <c r="L14" s="128"/>
      <c r="M14" s="129">
        <f t="shared" si="5"/>
        <v>0</v>
      </c>
      <c r="N14" s="129">
        <f t="shared" si="6"/>
        <v>0</v>
      </c>
      <c r="O14" s="393">
        <f t="shared" si="7"/>
        <v>0</v>
      </c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424">
        <v>10006</v>
      </c>
      <c r="B15" s="424" t="s">
        <v>107</v>
      </c>
      <c r="C15" s="424" t="s">
        <v>106</v>
      </c>
      <c r="D15" s="425" t="s">
        <v>6</v>
      </c>
      <c r="E15" s="426">
        <v>43222.356932870367</v>
      </c>
      <c r="F15" s="427">
        <v>43222.356932870367</v>
      </c>
      <c r="G15" s="428">
        <v>0.35625000000000001</v>
      </c>
      <c r="H15" s="429">
        <v>10.050000000000001</v>
      </c>
      <c r="I15" s="429">
        <v>8</v>
      </c>
      <c r="J15" s="429" t="s">
        <v>115</v>
      </c>
      <c r="K15" s="429"/>
      <c r="L15" s="429"/>
      <c r="M15" s="429"/>
      <c r="N15" s="429"/>
      <c r="O15" s="393">
        <f>M15+N15</f>
        <v>0</v>
      </c>
      <c r="P15" s="345"/>
      <c r="Q15" s="369"/>
      <c r="R15" s="149"/>
      <c r="S15" s="149"/>
      <c r="T15" s="130"/>
      <c r="U15" s="130"/>
      <c r="V15" s="130"/>
      <c r="W15" s="16"/>
      <c r="X15" s="16"/>
      <c r="Y15" s="16"/>
    </row>
    <row r="16" spans="1:25" s="303" customFormat="1">
      <c r="A16" s="424">
        <v>10026</v>
      </c>
      <c r="B16" s="424" t="s">
        <v>107</v>
      </c>
      <c r="C16" s="424" t="s">
        <v>106</v>
      </c>
      <c r="D16" s="430" t="s">
        <v>5</v>
      </c>
      <c r="E16" s="431">
        <v>43222.775370370371</v>
      </c>
      <c r="F16" s="427">
        <v>43222.775370370371</v>
      </c>
      <c r="G16" s="428">
        <v>0.77500000000000002</v>
      </c>
      <c r="H16" s="429" t="s">
        <v>115</v>
      </c>
      <c r="I16" s="429" t="s">
        <v>115</v>
      </c>
      <c r="J16" s="429" t="s">
        <v>115</v>
      </c>
      <c r="K16" s="429"/>
      <c r="L16" s="429"/>
      <c r="M16" s="429"/>
      <c r="N16" s="429"/>
      <c r="O16" s="393">
        <f t="shared" ref="O16:O64" si="11">M16+N16</f>
        <v>0</v>
      </c>
      <c r="P16" s="345"/>
      <c r="Q16" s="369"/>
      <c r="R16" s="149"/>
      <c r="S16" s="149"/>
      <c r="T16" s="130"/>
      <c r="U16" s="130"/>
      <c r="V16" s="130"/>
      <c r="W16" s="16"/>
      <c r="X16" s="16"/>
      <c r="Y16" s="16"/>
    </row>
    <row r="17" spans="1:25" s="303" customFormat="1">
      <c r="A17" s="424">
        <v>10027</v>
      </c>
      <c r="B17" s="424" t="s">
        <v>107</v>
      </c>
      <c r="C17" s="424" t="s">
        <v>106</v>
      </c>
      <c r="D17" s="430" t="s">
        <v>7</v>
      </c>
      <c r="E17" s="431">
        <v>43222.775393518517</v>
      </c>
      <c r="F17" s="427">
        <v>43222.775393518517</v>
      </c>
      <c r="G17" s="428">
        <v>0.77500000000000002</v>
      </c>
      <c r="H17" s="429" t="s">
        <v>115</v>
      </c>
      <c r="I17" s="429" t="s">
        <v>115</v>
      </c>
      <c r="J17" s="429" t="s">
        <v>115</v>
      </c>
      <c r="K17" s="429">
        <v>2.2000000000000002</v>
      </c>
      <c r="L17" s="429"/>
      <c r="M17" s="429">
        <v>2</v>
      </c>
      <c r="N17" s="429">
        <v>0.20000000000000018</v>
      </c>
      <c r="O17" s="393">
        <f t="shared" si="11"/>
        <v>2.2000000000000002</v>
      </c>
      <c r="P17" s="373"/>
      <c r="Q17" s="373"/>
      <c r="R17" s="372"/>
      <c r="S17" s="372"/>
      <c r="T17" s="373"/>
      <c r="U17" s="373"/>
      <c r="V17" s="373"/>
      <c r="W17" s="16"/>
      <c r="X17" s="16"/>
      <c r="Y17" s="16"/>
    </row>
    <row r="18" spans="1:25" s="303" customFormat="1">
      <c r="A18" s="424">
        <v>10038</v>
      </c>
      <c r="B18" s="424" t="s">
        <v>107</v>
      </c>
      <c r="C18" s="424" t="s">
        <v>106</v>
      </c>
      <c r="D18" s="430" t="s">
        <v>8</v>
      </c>
      <c r="E18" s="431">
        <v>43222.867222222223</v>
      </c>
      <c r="F18" s="427">
        <v>43222.867222222223</v>
      </c>
      <c r="G18" s="428">
        <v>0.8666666666666667</v>
      </c>
      <c r="H18" s="429" t="s">
        <v>115</v>
      </c>
      <c r="I18" s="429" t="s">
        <v>115</v>
      </c>
      <c r="J18" s="429" t="s">
        <v>115</v>
      </c>
      <c r="K18" s="429"/>
      <c r="L18" s="429"/>
      <c r="M18" s="429"/>
      <c r="N18" s="429"/>
      <c r="O18" s="393">
        <f t="shared" si="11"/>
        <v>0</v>
      </c>
      <c r="P18" s="63"/>
      <c r="Q18" s="63"/>
      <c r="R18" s="18"/>
      <c r="S18" s="18"/>
      <c r="T18" s="63"/>
      <c r="U18" s="63"/>
      <c r="V18" s="63"/>
      <c r="W18" s="16"/>
      <c r="X18" s="16"/>
      <c r="Y18" s="16"/>
    </row>
    <row r="19" spans="1:25" s="16" customFormat="1">
      <c r="A19" s="424">
        <v>10043</v>
      </c>
      <c r="B19" s="424" t="s">
        <v>107</v>
      </c>
      <c r="C19" s="424" t="s">
        <v>106</v>
      </c>
      <c r="D19" s="430" t="s">
        <v>6</v>
      </c>
      <c r="E19" s="431">
        <v>43223.35728009259</v>
      </c>
      <c r="F19" s="427">
        <v>43223.35728009259</v>
      </c>
      <c r="G19" s="428">
        <v>0.35694444444444445</v>
      </c>
      <c r="H19" s="429">
        <v>10.033333333333333</v>
      </c>
      <c r="I19" s="429">
        <v>8</v>
      </c>
      <c r="J19" s="429" t="s">
        <v>115</v>
      </c>
      <c r="K19" s="429"/>
      <c r="L19" s="429"/>
      <c r="M19" s="429"/>
      <c r="N19" s="429"/>
      <c r="O19" s="393">
        <f t="shared" si="11"/>
        <v>0</v>
      </c>
      <c r="P19" s="345"/>
      <c r="Q19" s="369"/>
      <c r="R19" s="18"/>
      <c r="S19" s="18"/>
      <c r="T19" s="63"/>
      <c r="U19" s="63"/>
      <c r="V19" s="63"/>
      <c r="X19" s="63"/>
    </row>
    <row r="20" spans="1:25" s="16" customFormat="1">
      <c r="A20" s="424">
        <v>10063</v>
      </c>
      <c r="B20" s="424" t="s">
        <v>107</v>
      </c>
      <c r="C20" s="424" t="s">
        <v>106</v>
      </c>
      <c r="D20" s="430" t="s">
        <v>5</v>
      </c>
      <c r="E20" s="431">
        <v>43223.775335648148</v>
      </c>
      <c r="F20" s="427">
        <v>43223.775335648148</v>
      </c>
      <c r="G20" s="428">
        <v>0.77500000000000002</v>
      </c>
      <c r="H20" s="429" t="s">
        <v>115</v>
      </c>
      <c r="I20" s="429" t="s">
        <v>115</v>
      </c>
      <c r="J20" s="429" t="s">
        <v>115</v>
      </c>
      <c r="K20" s="429"/>
      <c r="L20" s="429"/>
      <c r="M20" s="429"/>
      <c r="N20" s="429"/>
      <c r="O20" s="393">
        <f t="shared" si="11"/>
        <v>0</v>
      </c>
      <c r="P20" s="345"/>
      <c r="Q20" s="369"/>
      <c r="R20" s="372"/>
      <c r="S20" s="372"/>
      <c r="T20" s="373"/>
      <c r="U20" s="373"/>
      <c r="V20" s="373"/>
      <c r="X20" s="63"/>
    </row>
    <row r="21" spans="1:25" s="63" customFormat="1">
      <c r="A21" s="424">
        <v>10064</v>
      </c>
      <c r="B21" s="424" t="s">
        <v>107</v>
      </c>
      <c r="C21" s="424" t="s">
        <v>106</v>
      </c>
      <c r="D21" s="430" t="s">
        <v>7</v>
      </c>
      <c r="E21" s="431">
        <v>43223.775370370371</v>
      </c>
      <c r="F21" s="427">
        <v>43223.775370370371</v>
      </c>
      <c r="G21" s="428">
        <v>0.77500000000000002</v>
      </c>
      <c r="H21" s="429" t="s">
        <v>115</v>
      </c>
      <c r="I21" s="429" t="s">
        <v>115</v>
      </c>
      <c r="J21" s="429" t="s">
        <v>115</v>
      </c>
      <c r="K21" s="429">
        <v>0.34999999999999876</v>
      </c>
      <c r="L21" s="429"/>
      <c r="M21" s="429">
        <v>0.34999999999999876</v>
      </c>
      <c r="N21" s="429">
        <v>0</v>
      </c>
      <c r="O21" s="393">
        <f t="shared" si="11"/>
        <v>0.34999999999999876</v>
      </c>
      <c r="P21" s="137"/>
      <c r="Q21" s="397"/>
      <c r="R21" s="137"/>
      <c r="S21" s="137"/>
      <c r="T21" s="16"/>
      <c r="U21" s="16"/>
      <c r="V21" s="16"/>
      <c r="W21" s="16"/>
      <c r="X21" s="16"/>
      <c r="Y21" s="16"/>
    </row>
    <row r="22" spans="1:25" s="63" customFormat="1">
      <c r="A22" s="424">
        <v>10066</v>
      </c>
      <c r="B22" s="424" t="s">
        <v>107</v>
      </c>
      <c r="C22" s="424" t="s">
        <v>106</v>
      </c>
      <c r="D22" s="430" t="s">
        <v>8</v>
      </c>
      <c r="E22" s="431">
        <v>43223.789710648147</v>
      </c>
      <c r="F22" s="427">
        <v>43223.789710648147</v>
      </c>
      <c r="G22" s="428">
        <v>0.7895833333333333</v>
      </c>
      <c r="H22" s="429" t="s">
        <v>115</v>
      </c>
      <c r="I22" s="429" t="s">
        <v>115</v>
      </c>
      <c r="J22" s="429" t="s">
        <v>115</v>
      </c>
      <c r="K22" s="429"/>
      <c r="L22" s="429"/>
      <c r="M22" s="429"/>
      <c r="N22" s="429"/>
      <c r="O22" s="393">
        <f t="shared" si="11"/>
        <v>0</v>
      </c>
      <c r="P22" s="137"/>
      <c r="Q22" s="397"/>
      <c r="R22" s="137"/>
      <c r="S22" s="137"/>
      <c r="T22" s="16"/>
      <c r="U22" s="16"/>
      <c r="V22" s="16"/>
      <c r="W22" s="16"/>
      <c r="X22" s="16"/>
      <c r="Y22" s="16"/>
    </row>
    <row r="23" spans="1:25">
      <c r="A23" s="424">
        <v>10071</v>
      </c>
      <c r="B23" s="424" t="s">
        <v>107</v>
      </c>
      <c r="C23" s="424" t="s">
        <v>106</v>
      </c>
      <c r="D23" s="430" t="s">
        <v>6</v>
      </c>
      <c r="E23" s="431">
        <v>43224.360555555555</v>
      </c>
      <c r="F23" s="438">
        <v>43224.360555555555</v>
      </c>
      <c r="G23" s="439">
        <v>0.36041666666666666</v>
      </c>
      <c r="H23" s="440">
        <v>9.7333333333333343</v>
      </c>
      <c r="I23" s="440">
        <v>8</v>
      </c>
      <c r="J23" s="440" t="s">
        <v>115</v>
      </c>
      <c r="K23" s="440"/>
      <c r="L23" s="440"/>
      <c r="M23" s="440"/>
      <c r="N23" s="440"/>
      <c r="O23" s="393">
        <f t="shared" si="11"/>
        <v>0</v>
      </c>
      <c r="P23" s="137"/>
      <c r="Q23" s="397"/>
      <c r="R23" s="137"/>
      <c r="S23" s="137"/>
      <c r="T23" s="16"/>
      <c r="U23" s="16"/>
      <c r="V23" s="16"/>
    </row>
    <row r="24" spans="1:25">
      <c r="A24" s="424">
        <v>10084</v>
      </c>
      <c r="B24" s="424" t="s">
        <v>107</v>
      </c>
      <c r="C24" s="424" t="s">
        <v>106</v>
      </c>
      <c r="D24" s="430" t="s">
        <v>5</v>
      </c>
      <c r="E24" s="431">
        <v>43224.766192129631</v>
      </c>
      <c r="F24" s="438">
        <v>43224.766192129631</v>
      </c>
      <c r="G24" s="439">
        <v>0.76597222222222217</v>
      </c>
      <c r="H24" s="440" t="s">
        <v>115</v>
      </c>
      <c r="I24" s="440" t="s">
        <v>115</v>
      </c>
      <c r="J24" s="440" t="s">
        <v>115</v>
      </c>
      <c r="K24" s="440"/>
      <c r="L24" s="440"/>
      <c r="M24" s="440"/>
      <c r="N24" s="440"/>
      <c r="O24" s="393">
        <f t="shared" si="11"/>
        <v>0</v>
      </c>
      <c r="P24" s="137"/>
      <c r="Q24" s="397"/>
      <c r="R24" s="137"/>
      <c r="S24" s="137"/>
      <c r="T24" s="16"/>
      <c r="U24" s="16"/>
      <c r="V24" s="16"/>
    </row>
    <row r="25" spans="1:25">
      <c r="A25" s="424">
        <v>10098</v>
      </c>
      <c r="B25" s="424" t="s">
        <v>107</v>
      </c>
      <c r="C25" s="424" t="s">
        <v>106</v>
      </c>
      <c r="D25" s="430" t="s">
        <v>6</v>
      </c>
      <c r="E25" s="431">
        <v>43227.354247685187</v>
      </c>
      <c r="F25" s="438">
        <v>43227.354247685187</v>
      </c>
      <c r="G25" s="439">
        <v>0.35416666666666669</v>
      </c>
      <c r="H25" s="440">
        <v>10.133333333333333</v>
      </c>
      <c r="I25" s="440">
        <v>8</v>
      </c>
      <c r="J25" s="440" t="s">
        <v>115</v>
      </c>
      <c r="K25" s="440"/>
      <c r="L25" s="440"/>
      <c r="M25" s="440"/>
      <c r="N25" s="440"/>
      <c r="O25" s="393">
        <f t="shared" si="11"/>
        <v>0</v>
      </c>
      <c r="Q25" s="369"/>
      <c r="R25" s="372"/>
      <c r="S25" s="372"/>
      <c r="T25" s="373"/>
      <c r="U25" s="373"/>
      <c r="V25" s="373"/>
      <c r="W25" s="261"/>
      <c r="X25" s="261"/>
      <c r="Y25" s="261"/>
    </row>
    <row r="26" spans="1:25">
      <c r="A26" s="424">
        <v>10122</v>
      </c>
      <c r="B26" s="424" t="s">
        <v>107</v>
      </c>
      <c r="C26" s="424" t="s">
        <v>106</v>
      </c>
      <c r="D26" s="430" t="s">
        <v>5</v>
      </c>
      <c r="E26" s="431">
        <v>43227.776886574073</v>
      </c>
      <c r="F26" s="438">
        <v>43227.776886574073</v>
      </c>
      <c r="G26" s="439">
        <v>0.77638888888888891</v>
      </c>
      <c r="H26" s="440" t="s">
        <v>115</v>
      </c>
      <c r="I26" s="440" t="s">
        <v>115</v>
      </c>
      <c r="J26" s="440" t="s">
        <v>115</v>
      </c>
      <c r="K26" s="440"/>
      <c r="L26" s="440"/>
      <c r="M26" s="440"/>
      <c r="N26" s="440"/>
      <c r="O26" s="393">
        <f t="shared" si="11"/>
        <v>0</v>
      </c>
      <c r="Q26" s="369"/>
      <c r="R26" s="372"/>
      <c r="S26" s="372"/>
      <c r="T26" s="373"/>
      <c r="U26" s="373"/>
      <c r="V26" s="373"/>
      <c r="W26" s="261"/>
      <c r="X26" s="261"/>
      <c r="Y26" s="261"/>
    </row>
    <row r="27" spans="1:25">
      <c r="A27" s="424">
        <v>10123</v>
      </c>
      <c r="B27" s="424" t="s">
        <v>107</v>
      </c>
      <c r="C27" s="424" t="s">
        <v>106</v>
      </c>
      <c r="D27" s="430" t="s">
        <v>7</v>
      </c>
      <c r="E27" s="431">
        <v>43227.776967592596</v>
      </c>
      <c r="F27" s="438">
        <v>43227.776967592596</v>
      </c>
      <c r="G27" s="439">
        <v>0.77638888888888891</v>
      </c>
      <c r="H27" s="440" t="s">
        <v>115</v>
      </c>
      <c r="I27" s="440" t="s">
        <v>115</v>
      </c>
      <c r="J27" s="440" t="s">
        <v>115</v>
      </c>
      <c r="K27" s="440">
        <v>0.28333333333333233</v>
      </c>
      <c r="L27" s="440"/>
      <c r="M27" s="440">
        <v>0.28333333333333233</v>
      </c>
      <c r="N27" s="440">
        <v>0</v>
      </c>
      <c r="O27" s="393">
        <f t="shared" si="11"/>
        <v>0.28333333333333233</v>
      </c>
      <c r="P27" s="9"/>
      <c r="R27" s="372"/>
      <c r="S27" s="372"/>
      <c r="T27" s="373"/>
      <c r="U27" s="373"/>
      <c r="V27" s="373"/>
    </row>
    <row r="28" spans="1:25">
      <c r="A28" s="424">
        <v>10125</v>
      </c>
      <c r="B28" s="424" t="s">
        <v>107</v>
      </c>
      <c r="C28" s="424" t="s">
        <v>106</v>
      </c>
      <c r="D28" s="430" t="s">
        <v>8</v>
      </c>
      <c r="E28" s="431">
        <v>43227.788842592592</v>
      </c>
      <c r="F28" s="438">
        <v>43227.788842592592</v>
      </c>
      <c r="G28" s="439">
        <v>0.78819444444444453</v>
      </c>
      <c r="H28" s="440" t="s">
        <v>115</v>
      </c>
      <c r="I28" s="440" t="s">
        <v>115</v>
      </c>
      <c r="J28" s="440" t="s">
        <v>115</v>
      </c>
      <c r="K28" s="440"/>
      <c r="L28" s="440"/>
      <c r="M28" s="440"/>
      <c r="N28" s="440"/>
      <c r="O28" s="393">
        <f t="shared" si="11"/>
        <v>0</v>
      </c>
      <c r="P28" s="9"/>
      <c r="R28" s="372"/>
      <c r="S28" s="372"/>
      <c r="T28" s="373"/>
      <c r="U28" s="373"/>
      <c r="V28" s="373"/>
    </row>
    <row r="29" spans="1:25">
      <c r="A29" s="424">
        <v>10134</v>
      </c>
      <c r="B29" s="424" t="s">
        <v>107</v>
      </c>
      <c r="C29" s="424" t="s">
        <v>106</v>
      </c>
      <c r="D29" s="430" t="s">
        <v>6</v>
      </c>
      <c r="E29" s="431">
        <v>43228.356388888889</v>
      </c>
      <c r="F29" s="438">
        <v>43228.356388888889</v>
      </c>
      <c r="G29" s="439">
        <v>0.35625000000000001</v>
      </c>
      <c r="H29" s="440">
        <v>10.35</v>
      </c>
      <c r="I29" s="440">
        <v>8</v>
      </c>
      <c r="J29" s="440" t="s">
        <v>115</v>
      </c>
      <c r="K29" s="440"/>
      <c r="L29" s="440"/>
      <c r="M29" s="440"/>
      <c r="N29" s="440"/>
      <c r="O29" s="393">
        <f t="shared" si="11"/>
        <v>0</v>
      </c>
      <c r="P29" s="9"/>
      <c r="R29" s="372"/>
      <c r="S29" s="372"/>
      <c r="T29" s="373"/>
      <c r="U29" s="373"/>
      <c r="V29" s="373"/>
    </row>
    <row r="30" spans="1:25">
      <c r="A30" s="424">
        <v>10154</v>
      </c>
      <c r="B30" s="424" t="s">
        <v>107</v>
      </c>
      <c r="C30" s="424" t="s">
        <v>106</v>
      </c>
      <c r="D30" s="430" t="s">
        <v>5</v>
      </c>
      <c r="E30" s="431">
        <v>43228.78765046296</v>
      </c>
      <c r="F30" s="438">
        <v>43228.78765046296</v>
      </c>
      <c r="G30" s="439">
        <v>0.78749999999999998</v>
      </c>
      <c r="H30" s="440" t="s">
        <v>115</v>
      </c>
      <c r="I30" s="440" t="s">
        <v>115</v>
      </c>
      <c r="J30" s="440" t="s">
        <v>115</v>
      </c>
      <c r="K30" s="440"/>
      <c r="L30" s="440"/>
      <c r="M30" s="440"/>
      <c r="N30" s="440"/>
      <c r="O30" s="393">
        <f t="shared" si="11"/>
        <v>0</v>
      </c>
      <c r="P30" s="9"/>
      <c r="R30" s="372"/>
      <c r="S30" s="372"/>
      <c r="T30" s="373"/>
      <c r="U30" s="373"/>
      <c r="V30" s="373"/>
    </row>
    <row r="31" spans="1:25">
      <c r="A31" s="424">
        <v>10160</v>
      </c>
      <c r="B31" s="424" t="s">
        <v>107</v>
      </c>
      <c r="C31" s="424" t="s">
        <v>106</v>
      </c>
      <c r="D31" s="430" t="s">
        <v>6</v>
      </c>
      <c r="E31" s="431">
        <v>43229.354594907411</v>
      </c>
      <c r="F31" s="438">
        <v>43229.354594907411</v>
      </c>
      <c r="G31" s="439">
        <v>0.35416666666666669</v>
      </c>
      <c r="H31" s="440">
        <v>10.283333333333333</v>
      </c>
      <c r="I31" s="440">
        <v>8</v>
      </c>
      <c r="J31" s="440" t="s">
        <v>115</v>
      </c>
      <c r="K31" s="440"/>
      <c r="L31" s="440"/>
      <c r="M31" s="440"/>
      <c r="N31" s="440"/>
      <c r="O31" s="393">
        <f t="shared" si="11"/>
        <v>0</v>
      </c>
      <c r="P31" s="9"/>
      <c r="R31" s="372"/>
      <c r="S31" s="372"/>
      <c r="T31" s="373"/>
      <c r="U31" s="373"/>
      <c r="V31" s="373"/>
    </row>
    <row r="32" spans="1:25">
      <c r="A32" s="424">
        <v>10182</v>
      </c>
      <c r="B32" s="424" t="s">
        <v>107</v>
      </c>
      <c r="C32" s="424" t="s">
        <v>106</v>
      </c>
      <c r="D32" s="430" t="s">
        <v>5</v>
      </c>
      <c r="E32" s="431">
        <v>43229.783113425925</v>
      </c>
      <c r="F32" s="438">
        <v>43229.783113425925</v>
      </c>
      <c r="G32" s="439">
        <v>0.78263888888888899</v>
      </c>
      <c r="H32" s="440" t="s">
        <v>115</v>
      </c>
      <c r="I32" s="440" t="s">
        <v>115</v>
      </c>
      <c r="J32" s="440" t="s">
        <v>115</v>
      </c>
      <c r="K32" s="440"/>
      <c r="L32" s="440"/>
      <c r="M32" s="440"/>
      <c r="N32" s="440"/>
      <c r="O32" s="393">
        <f t="shared" si="11"/>
        <v>0</v>
      </c>
      <c r="P32" s="9"/>
      <c r="R32" s="372"/>
      <c r="S32" s="372"/>
      <c r="T32" s="373"/>
      <c r="U32" s="373"/>
      <c r="V32" s="373"/>
    </row>
    <row r="33" spans="1:26" s="262" customFormat="1">
      <c r="A33" s="424">
        <v>10183</v>
      </c>
      <c r="B33" s="424" t="s">
        <v>107</v>
      </c>
      <c r="C33" s="424" t="s">
        <v>106</v>
      </c>
      <c r="D33" s="430" t="s">
        <v>7</v>
      </c>
      <c r="E33" s="431">
        <v>43229.783136574071</v>
      </c>
      <c r="F33" s="438">
        <v>43229.783136574071</v>
      </c>
      <c r="G33" s="439">
        <v>0.78263888888888899</v>
      </c>
      <c r="H33" s="440" t="s">
        <v>115</v>
      </c>
      <c r="I33" s="440" t="s">
        <v>115</v>
      </c>
      <c r="J33" s="440" t="s">
        <v>115</v>
      </c>
      <c r="K33" s="440">
        <v>2.4499999999999993</v>
      </c>
      <c r="L33" s="440"/>
      <c r="M33" s="440">
        <v>2</v>
      </c>
      <c r="N33" s="440">
        <v>0.44999999999999929</v>
      </c>
      <c r="O33" s="393">
        <f t="shared" si="11"/>
        <v>2.4499999999999993</v>
      </c>
      <c r="P33" s="9"/>
      <c r="Q33" s="345"/>
      <c r="R33" s="372"/>
      <c r="S33" s="372"/>
      <c r="T33" s="373"/>
      <c r="U33" s="373"/>
      <c r="V33" s="373"/>
      <c r="W33"/>
      <c r="X33" s="391"/>
      <c r="Y33" s="391"/>
      <c r="Z33" s="261"/>
    </row>
    <row r="34" spans="1:26">
      <c r="A34" s="424">
        <v>10192</v>
      </c>
      <c r="B34" s="424" t="s">
        <v>107</v>
      </c>
      <c r="C34" s="424" t="s">
        <v>106</v>
      </c>
      <c r="D34" s="430" t="s">
        <v>8</v>
      </c>
      <c r="E34" s="431">
        <v>43229.884988425925</v>
      </c>
      <c r="F34" s="438">
        <v>43229.884988425925</v>
      </c>
      <c r="G34" s="439">
        <v>0.8847222222222223</v>
      </c>
      <c r="H34" s="440" t="s">
        <v>115</v>
      </c>
      <c r="I34" s="440" t="s">
        <v>115</v>
      </c>
      <c r="J34" s="440" t="s">
        <v>115</v>
      </c>
      <c r="K34" s="440"/>
      <c r="L34" s="440"/>
      <c r="M34" s="440"/>
      <c r="N34" s="440"/>
      <c r="O34" s="393">
        <f t="shared" si="11"/>
        <v>0</v>
      </c>
      <c r="P34" s="9"/>
      <c r="R34" s="372"/>
      <c r="S34" s="372"/>
      <c r="T34" s="373"/>
      <c r="U34" s="373"/>
      <c r="V34" s="373"/>
    </row>
    <row r="35" spans="1:26">
      <c r="A35" s="424">
        <v>10196</v>
      </c>
      <c r="B35" s="424" t="s">
        <v>107</v>
      </c>
      <c r="C35" s="424" t="s">
        <v>106</v>
      </c>
      <c r="D35" s="430" t="s">
        <v>6</v>
      </c>
      <c r="E35" s="431">
        <v>43230.355914351851</v>
      </c>
      <c r="F35" s="438">
        <v>43230.355914351851</v>
      </c>
      <c r="G35" s="439">
        <v>0.35555555555555557</v>
      </c>
      <c r="H35" s="440">
        <v>10.15</v>
      </c>
      <c r="I35" s="440">
        <v>8</v>
      </c>
      <c r="J35" s="440" t="s">
        <v>115</v>
      </c>
      <c r="K35" s="440"/>
      <c r="L35" s="440"/>
      <c r="M35" s="440"/>
      <c r="N35" s="440"/>
      <c r="O35" s="393">
        <f t="shared" si="11"/>
        <v>0</v>
      </c>
      <c r="P35" s="9"/>
      <c r="R35" s="372"/>
      <c r="S35" s="372"/>
      <c r="T35" s="373"/>
      <c r="U35" s="373"/>
      <c r="V35" s="373"/>
    </row>
    <row r="36" spans="1:26">
      <c r="A36" s="424">
        <v>10216</v>
      </c>
      <c r="B36" s="424" t="s">
        <v>107</v>
      </c>
      <c r="C36" s="424" t="s">
        <v>106</v>
      </c>
      <c r="D36" s="430" t="s">
        <v>5</v>
      </c>
      <c r="E36" s="431">
        <v>43230.778506944444</v>
      </c>
      <c r="F36" s="438">
        <v>43230.778506944444</v>
      </c>
      <c r="G36" s="439">
        <v>0.77847222222222223</v>
      </c>
      <c r="H36" s="440" t="s">
        <v>115</v>
      </c>
      <c r="I36" s="440" t="s">
        <v>115</v>
      </c>
      <c r="J36" s="440" t="s">
        <v>115</v>
      </c>
      <c r="K36" s="440"/>
      <c r="L36" s="440"/>
      <c r="M36" s="440"/>
      <c r="N36" s="440"/>
      <c r="O36" s="393">
        <f t="shared" si="11"/>
        <v>0</v>
      </c>
      <c r="P36" s="9"/>
      <c r="R36" s="372"/>
      <c r="S36" s="372"/>
      <c r="T36" s="373"/>
      <c r="U36" s="373"/>
      <c r="V36" s="373"/>
    </row>
    <row r="37" spans="1:26">
      <c r="A37" s="424">
        <v>10222</v>
      </c>
      <c r="B37" s="424" t="s">
        <v>107</v>
      </c>
      <c r="C37" s="424" t="s">
        <v>106</v>
      </c>
      <c r="D37" s="430" t="s">
        <v>6</v>
      </c>
      <c r="E37" s="431">
        <v>43231.355138888888</v>
      </c>
      <c r="F37" s="438">
        <v>43231.355138888888</v>
      </c>
      <c r="G37" s="439">
        <v>0.35486111111111113</v>
      </c>
      <c r="H37" s="440">
        <v>9.9833333333333343</v>
      </c>
      <c r="I37" s="440">
        <v>8</v>
      </c>
      <c r="J37" s="440" t="s">
        <v>115</v>
      </c>
      <c r="K37" s="440"/>
      <c r="L37" s="440"/>
      <c r="M37" s="440"/>
      <c r="N37" s="440"/>
      <c r="O37" s="393">
        <f t="shared" si="11"/>
        <v>0</v>
      </c>
      <c r="P37" s="9"/>
      <c r="R37" s="372"/>
      <c r="S37" s="372"/>
      <c r="T37" s="373"/>
      <c r="U37" s="373"/>
      <c r="V37" s="373"/>
    </row>
    <row r="38" spans="1:26">
      <c r="A38" s="424">
        <v>10182</v>
      </c>
      <c r="B38" s="424" t="s">
        <v>107</v>
      </c>
      <c r="C38" s="424" t="s">
        <v>106</v>
      </c>
      <c r="D38" s="430" t="s">
        <v>5</v>
      </c>
      <c r="E38" s="431">
        <v>43231.771307870367</v>
      </c>
      <c r="F38" s="438">
        <v>43231.771307870367</v>
      </c>
      <c r="G38" s="439">
        <v>0.77083333333333337</v>
      </c>
      <c r="H38" s="440" t="s">
        <v>115</v>
      </c>
      <c r="I38" s="440" t="s">
        <v>115</v>
      </c>
      <c r="J38" s="440" t="s">
        <v>115</v>
      </c>
      <c r="K38" s="440"/>
      <c r="L38" s="440"/>
      <c r="M38" s="440"/>
      <c r="N38" s="440"/>
      <c r="O38" s="393">
        <f t="shared" si="11"/>
        <v>0</v>
      </c>
      <c r="P38" s="9"/>
      <c r="R38" s="372"/>
      <c r="S38" s="372"/>
      <c r="T38" s="373"/>
      <c r="U38" s="373"/>
      <c r="V38" s="373"/>
    </row>
    <row r="39" spans="1:26">
      <c r="A39" s="424">
        <v>10183</v>
      </c>
      <c r="B39" s="424" t="s">
        <v>107</v>
      </c>
      <c r="C39" s="424" t="s">
        <v>106</v>
      </c>
      <c r="D39" s="430" t="s">
        <v>7</v>
      </c>
      <c r="E39" s="431">
        <v>43231.771331018521</v>
      </c>
      <c r="F39" s="438">
        <v>43231.771331018521</v>
      </c>
      <c r="G39" s="439">
        <v>0.77083333333333337</v>
      </c>
      <c r="H39" s="440" t="s">
        <v>115</v>
      </c>
      <c r="I39" s="440" t="s">
        <v>115</v>
      </c>
      <c r="J39" s="440" t="s">
        <v>115</v>
      </c>
      <c r="K39" s="440">
        <v>0.75</v>
      </c>
      <c r="L39" s="440"/>
      <c r="M39" s="440">
        <v>0.75</v>
      </c>
      <c r="N39" s="440">
        <v>0</v>
      </c>
      <c r="O39" s="393">
        <f t="shared" si="11"/>
        <v>0.75</v>
      </c>
      <c r="P39" s="9"/>
      <c r="R39" s="372"/>
      <c r="S39" s="401"/>
      <c r="T39" s="401"/>
      <c r="U39" s="401"/>
      <c r="V39" s="401"/>
    </row>
    <row r="40" spans="1:26">
      <c r="A40" s="424">
        <v>10192</v>
      </c>
      <c r="B40" s="424" t="s">
        <v>107</v>
      </c>
      <c r="C40" s="424" t="s">
        <v>106</v>
      </c>
      <c r="D40" s="430" t="s">
        <v>8</v>
      </c>
      <c r="E40" s="431">
        <v>43231.802349537036</v>
      </c>
      <c r="F40" s="438">
        <v>43231.802349537036</v>
      </c>
      <c r="G40" s="439">
        <v>0.80208333333333337</v>
      </c>
      <c r="H40" s="440" t="s">
        <v>115</v>
      </c>
      <c r="I40" s="440" t="s">
        <v>115</v>
      </c>
      <c r="J40" s="440" t="s">
        <v>115</v>
      </c>
      <c r="K40" s="440"/>
      <c r="L40" s="440"/>
      <c r="M40" s="440"/>
      <c r="N40" s="440"/>
      <c r="O40" s="393">
        <f t="shared" si="11"/>
        <v>0</v>
      </c>
      <c r="P40" s="9"/>
      <c r="R40" s="372"/>
      <c r="S40" s="372"/>
      <c r="T40" s="373"/>
      <c r="U40" s="373"/>
      <c r="V40" s="373"/>
    </row>
    <row r="41" spans="1:26">
      <c r="A41" s="424">
        <v>10239</v>
      </c>
      <c r="B41" s="424" t="s">
        <v>107</v>
      </c>
      <c r="C41" s="424" t="s">
        <v>106</v>
      </c>
      <c r="D41" s="430" t="s">
        <v>6</v>
      </c>
      <c r="E41" s="431">
        <v>43234.354768518519</v>
      </c>
      <c r="F41" s="438">
        <v>43234.354768518519</v>
      </c>
      <c r="G41" s="439">
        <v>0.35416666666666669</v>
      </c>
      <c r="H41" s="440">
        <v>10</v>
      </c>
      <c r="I41" s="440">
        <v>8</v>
      </c>
      <c r="J41" s="440" t="s">
        <v>115</v>
      </c>
      <c r="K41" s="440"/>
      <c r="L41" s="440"/>
      <c r="M41" s="440"/>
      <c r="N41" s="440"/>
      <c r="O41" s="393">
        <f t="shared" si="11"/>
        <v>0</v>
      </c>
      <c r="P41" s="9"/>
      <c r="R41" s="372"/>
      <c r="S41" s="372"/>
      <c r="T41" s="373"/>
      <c r="U41" s="373"/>
      <c r="V41" s="373"/>
    </row>
    <row r="42" spans="1:26">
      <c r="A42" s="424">
        <v>10256</v>
      </c>
      <c r="B42" s="424" t="s">
        <v>107</v>
      </c>
      <c r="C42" s="424" t="s">
        <v>106</v>
      </c>
      <c r="D42" s="430" t="s">
        <v>5</v>
      </c>
      <c r="E42" s="431">
        <v>43234.771041666667</v>
      </c>
      <c r="F42" s="438">
        <v>43234.771041666667</v>
      </c>
      <c r="G42" s="439">
        <v>0.77083333333333337</v>
      </c>
      <c r="H42" s="440" t="s">
        <v>115</v>
      </c>
      <c r="I42" s="440" t="s">
        <v>115</v>
      </c>
      <c r="J42" s="440" t="s">
        <v>115</v>
      </c>
      <c r="K42" s="440"/>
      <c r="L42" s="440"/>
      <c r="M42" s="440"/>
      <c r="N42" s="440"/>
      <c r="O42" s="393">
        <f t="shared" si="11"/>
        <v>0</v>
      </c>
      <c r="P42" s="9"/>
      <c r="R42" s="372"/>
      <c r="S42" s="372"/>
      <c r="T42" s="373"/>
      <c r="U42" s="373"/>
      <c r="V42" s="373"/>
    </row>
    <row r="43" spans="1:26">
      <c r="A43" s="424">
        <v>10257</v>
      </c>
      <c r="B43" s="424" t="s">
        <v>107</v>
      </c>
      <c r="C43" s="424" t="s">
        <v>106</v>
      </c>
      <c r="D43" s="430" t="s">
        <v>7</v>
      </c>
      <c r="E43" s="431">
        <v>43234.771099537036</v>
      </c>
      <c r="F43" s="438">
        <v>43234.771099537036</v>
      </c>
      <c r="G43" s="439">
        <v>0.77083333333333337</v>
      </c>
      <c r="H43" s="440" t="s">
        <v>115</v>
      </c>
      <c r="I43" s="440" t="s">
        <v>115</v>
      </c>
      <c r="J43" s="440" t="s">
        <v>115</v>
      </c>
      <c r="K43" s="440">
        <v>3.1999999999999993</v>
      </c>
      <c r="L43" s="440"/>
      <c r="M43" s="440">
        <v>2</v>
      </c>
      <c r="N43" s="440">
        <v>1.1999999999999993</v>
      </c>
      <c r="O43" s="393">
        <f t="shared" si="11"/>
        <v>3.1999999999999993</v>
      </c>
      <c r="P43" s="9"/>
      <c r="R43" s="372"/>
      <c r="S43" s="374"/>
      <c r="T43" s="375"/>
      <c r="U43" s="375"/>
      <c r="V43" s="375"/>
    </row>
    <row r="44" spans="1:26">
      <c r="A44" s="424">
        <v>10267</v>
      </c>
      <c r="B44" s="424" t="s">
        <v>107</v>
      </c>
      <c r="C44" s="424" t="s">
        <v>106</v>
      </c>
      <c r="D44" s="430" t="s">
        <v>8</v>
      </c>
      <c r="E44" s="431">
        <v>43234.904398148145</v>
      </c>
      <c r="F44" s="438">
        <v>43234.904398148145</v>
      </c>
      <c r="G44" s="439">
        <v>0.90416666666666667</v>
      </c>
      <c r="H44" s="440" t="s">
        <v>115</v>
      </c>
      <c r="I44" s="440" t="s">
        <v>115</v>
      </c>
      <c r="J44" s="440" t="s">
        <v>115</v>
      </c>
      <c r="K44" s="440"/>
      <c r="L44" s="440"/>
      <c r="M44" s="440"/>
      <c r="N44" s="440"/>
      <c r="O44" s="393">
        <f t="shared" si="11"/>
        <v>0</v>
      </c>
      <c r="P44" s="9"/>
      <c r="R44" s="372"/>
    </row>
    <row r="45" spans="1:26">
      <c r="A45" s="424">
        <v>10271</v>
      </c>
      <c r="B45" s="424" t="s">
        <v>107</v>
      </c>
      <c r="C45" s="424" t="s">
        <v>106</v>
      </c>
      <c r="D45" s="430" t="s">
        <v>6</v>
      </c>
      <c r="E45" s="431">
        <v>43235.35560185185</v>
      </c>
      <c r="F45" s="438">
        <v>43235.35560185185</v>
      </c>
      <c r="G45" s="439">
        <v>0.35555555555555557</v>
      </c>
      <c r="H45" s="440">
        <v>10.016666666666667</v>
      </c>
      <c r="I45" s="440">
        <v>8</v>
      </c>
      <c r="J45" s="440" t="s">
        <v>115</v>
      </c>
      <c r="K45" s="440"/>
      <c r="L45" s="440"/>
      <c r="M45" s="440"/>
      <c r="N45" s="440"/>
      <c r="O45" s="393">
        <f t="shared" si="11"/>
        <v>0</v>
      </c>
      <c r="P45" s="9"/>
      <c r="R45" s="372"/>
      <c r="S45" s="372"/>
      <c r="T45" s="373"/>
      <c r="U45" s="373"/>
      <c r="V45" s="373"/>
    </row>
    <row r="46" spans="1:26">
      <c r="A46" s="424">
        <v>10294</v>
      </c>
      <c r="B46" s="424" t="s">
        <v>107</v>
      </c>
      <c r="C46" s="424" t="s">
        <v>106</v>
      </c>
      <c r="D46" s="430" t="s">
        <v>5</v>
      </c>
      <c r="E46" s="431">
        <v>43235.773206018515</v>
      </c>
      <c r="F46" s="438">
        <v>43235.773206018515</v>
      </c>
      <c r="G46" s="439">
        <v>0.7729166666666667</v>
      </c>
      <c r="H46" s="440" t="s">
        <v>115</v>
      </c>
      <c r="I46" s="440" t="s">
        <v>115</v>
      </c>
      <c r="J46" s="440" t="s">
        <v>115</v>
      </c>
      <c r="K46" s="440"/>
      <c r="L46" s="440"/>
      <c r="M46" s="440"/>
      <c r="N46" s="440"/>
      <c r="O46" s="393">
        <f t="shared" si="11"/>
        <v>0</v>
      </c>
      <c r="P46" s="9"/>
      <c r="R46" s="372"/>
      <c r="S46" s="18"/>
      <c r="T46" s="63"/>
      <c r="U46" s="63"/>
      <c r="V46" s="63"/>
    </row>
    <row r="47" spans="1:26">
      <c r="A47" s="424">
        <v>10295</v>
      </c>
      <c r="B47" s="424" t="s">
        <v>107</v>
      </c>
      <c r="C47" s="424" t="s">
        <v>106</v>
      </c>
      <c r="D47" s="430" t="s">
        <v>7</v>
      </c>
      <c r="E47" s="431">
        <v>43235.773229166669</v>
      </c>
      <c r="F47" s="438">
        <v>43235.773229166669</v>
      </c>
      <c r="G47" s="439">
        <v>0.7729166666666667</v>
      </c>
      <c r="H47" s="440" t="s">
        <v>115</v>
      </c>
      <c r="I47" s="440" t="s">
        <v>115</v>
      </c>
      <c r="J47" s="440" t="s">
        <v>115</v>
      </c>
      <c r="K47" s="440">
        <v>0.49999999999999822</v>
      </c>
      <c r="L47" s="440"/>
      <c r="M47" s="440">
        <v>0.49999999999999822</v>
      </c>
      <c r="N47" s="440">
        <v>0</v>
      </c>
      <c r="O47" s="393">
        <f t="shared" si="11"/>
        <v>0.49999999999999822</v>
      </c>
      <c r="P47" s="9"/>
      <c r="R47" s="372"/>
      <c r="S47" s="16"/>
      <c r="T47" s="16"/>
      <c r="U47" s="16"/>
      <c r="V47" s="16"/>
    </row>
    <row r="48" spans="1:26">
      <c r="A48" s="424">
        <v>10296</v>
      </c>
      <c r="B48" s="424" t="s">
        <v>107</v>
      </c>
      <c r="C48" s="424" t="s">
        <v>106</v>
      </c>
      <c r="D48" s="430" t="s">
        <v>8</v>
      </c>
      <c r="E48" s="431">
        <v>43235.794050925928</v>
      </c>
      <c r="F48" s="438">
        <v>43235.794050925928</v>
      </c>
      <c r="G48" s="439">
        <v>0.79375000000000007</v>
      </c>
      <c r="H48" s="440" t="s">
        <v>115</v>
      </c>
      <c r="I48" s="440" t="s">
        <v>115</v>
      </c>
      <c r="J48" s="440" t="s">
        <v>115</v>
      </c>
      <c r="K48" s="440"/>
      <c r="L48" s="440"/>
      <c r="M48" s="440"/>
      <c r="N48" s="440"/>
      <c r="O48" s="393">
        <f t="shared" si="11"/>
        <v>0</v>
      </c>
      <c r="P48" s="9"/>
      <c r="R48" s="372"/>
      <c r="S48" s="16"/>
      <c r="T48" s="16"/>
      <c r="U48" s="16"/>
      <c r="V48" s="16"/>
    </row>
    <row r="49" spans="1:22">
      <c r="A49" s="424">
        <v>10303</v>
      </c>
      <c r="B49" s="424" t="s">
        <v>107</v>
      </c>
      <c r="C49" s="424" t="s">
        <v>106</v>
      </c>
      <c r="D49" s="430" t="s">
        <v>6</v>
      </c>
      <c r="E49" s="431">
        <v>43236.355995370373</v>
      </c>
      <c r="F49" s="438">
        <v>43236.355995370373</v>
      </c>
      <c r="G49" s="439">
        <v>0.35555555555555557</v>
      </c>
      <c r="H49" s="440">
        <v>9.5666666666666664</v>
      </c>
      <c r="I49" s="440">
        <v>8</v>
      </c>
      <c r="J49" s="440" t="s">
        <v>115</v>
      </c>
      <c r="K49" s="440"/>
      <c r="L49" s="440"/>
      <c r="M49" s="440"/>
      <c r="N49" s="440"/>
      <c r="O49" s="393">
        <f t="shared" si="11"/>
        <v>0</v>
      </c>
      <c r="P49" s="9"/>
      <c r="R49" s="372"/>
      <c r="S49" s="370"/>
      <c r="T49" s="371"/>
      <c r="U49" s="371"/>
      <c r="V49" s="371"/>
    </row>
    <row r="50" spans="1:22">
      <c r="A50" s="424">
        <v>10316</v>
      </c>
      <c r="B50" s="424" t="s">
        <v>107</v>
      </c>
      <c r="C50" s="424" t="s">
        <v>106</v>
      </c>
      <c r="D50" s="430" t="s">
        <v>5</v>
      </c>
      <c r="E50" s="431">
        <v>43236.75439814815</v>
      </c>
      <c r="F50" s="438">
        <v>43236.75439814815</v>
      </c>
      <c r="G50" s="439">
        <v>0.75416666666666676</v>
      </c>
      <c r="H50" s="440" t="s">
        <v>115</v>
      </c>
      <c r="I50" s="440" t="s">
        <v>115</v>
      </c>
      <c r="J50" s="440" t="s">
        <v>115</v>
      </c>
      <c r="K50" s="440"/>
      <c r="L50" s="440"/>
      <c r="M50" s="440"/>
      <c r="N50" s="440"/>
      <c r="O50" s="393">
        <f t="shared" si="11"/>
        <v>0</v>
      </c>
      <c r="P50" s="9"/>
      <c r="R50" s="372"/>
      <c r="S50" s="18"/>
      <c r="T50" s="63"/>
      <c r="U50" s="63"/>
      <c r="V50" s="63"/>
    </row>
    <row r="51" spans="1:22">
      <c r="A51" s="424">
        <v>10332</v>
      </c>
      <c r="B51" s="424" t="s">
        <v>107</v>
      </c>
      <c r="C51" s="424" t="s">
        <v>106</v>
      </c>
      <c r="D51" s="430" t="s">
        <v>6</v>
      </c>
      <c r="E51" s="431">
        <v>43237.35864583333</v>
      </c>
      <c r="F51" s="438">
        <v>43237.35864583333</v>
      </c>
      <c r="G51" s="439">
        <v>0.35833333333333334</v>
      </c>
      <c r="H51" s="440">
        <v>9.9</v>
      </c>
      <c r="I51" s="440">
        <v>8</v>
      </c>
      <c r="J51" s="440" t="s">
        <v>115</v>
      </c>
      <c r="K51" s="440"/>
      <c r="L51" s="440"/>
      <c r="M51" s="440"/>
      <c r="N51" s="440"/>
      <c r="O51" s="393">
        <f t="shared" si="11"/>
        <v>0</v>
      </c>
      <c r="P51" s="9"/>
      <c r="R51" s="372"/>
      <c r="S51" s="18"/>
      <c r="T51" s="63"/>
      <c r="U51" s="63"/>
      <c r="V51" s="63"/>
    </row>
    <row r="52" spans="1:22">
      <c r="A52" s="424">
        <v>10349</v>
      </c>
      <c r="B52" s="424" t="s">
        <v>107</v>
      </c>
      <c r="C52" s="424" t="s">
        <v>106</v>
      </c>
      <c r="D52" s="430" t="s">
        <v>5</v>
      </c>
      <c r="E52" s="431">
        <v>43237.771111111113</v>
      </c>
      <c r="F52" s="438">
        <v>43237.771111111113</v>
      </c>
      <c r="G52" s="439">
        <v>0.77083333333333337</v>
      </c>
      <c r="H52" s="440" t="s">
        <v>115</v>
      </c>
      <c r="I52" s="440" t="s">
        <v>115</v>
      </c>
      <c r="J52" s="440" t="s">
        <v>115</v>
      </c>
      <c r="K52" s="440"/>
      <c r="L52" s="440"/>
      <c r="M52" s="440"/>
      <c r="N52" s="440"/>
      <c r="O52" s="393">
        <f t="shared" si="11"/>
        <v>0</v>
      </c>
      <c r="P52" s="9"/>
      <c r="R52" s="372"/>
      <c r="S52" s="370"/>
      <c r="T52" s="371"/>
      <c r="U52" s="371"/>
      <c r="V52" s="371"/>
    </row>
    <row r="53" spans="1:22">
      <c r="A53" s="424">
        <v>10350</v>
      </c>
      <c r="B53" s="424" t="s">
        <v>107</v>
      </c>
      <c r="C53" s="424" t="s">
        <v>106</v>
      </c>
      <c r="D53" s="430" t="s">
        <v>7</v>
      </c>
      <c r="E53" s="431">
        <v>43237.771134259259</v>
      </c>
      <c r="F53" s="438">
        <v>43237.771134259259</v>
      </c>
      <c r="G53" s="439">
        <v>0.77083333333333337</v>
      </c>
      <c r="H53" s="440" t="s">
        <v>115</v>
      </c>
      <c r="I53" s="440" t="s">
        <v>115</v>
      </c>
      <c r="J53" s="440" t="s">
        <v>115</v>
      </c>
      <c r="K53" s="440">
        <v>1.7666666666666657</v>
      </c>
      <c r="L53" s="440"/>
      <c r="M53" s="440">
        <v>1.7666666666666657</v>
      </c>
      <c r="N53" s="440">
        <v>0</v>
      </c>
      <c r="O53" s="393">
        <f t="shared" si="11"/>
        <v>1.7666666666666657</v>
      </c>
      <c r="P53" s="9"/>
      <c r="R53" s="372"/>
      <c r="S53" s="374"/>
      <c r="T53" s="375"/>
      <c r="U53" s="375"/>
      <c r="V53" s="375"/>
    </row>
    <row r="54" spans="1:22">
      <c r="A54" s="424">
        <v>10355</v>
      </c>
      <c r="B54" s="424" t="s">
        <v>107</v>
      </c>
      <c r="C54" s="424" t="s">
        <v>106</v>
      </c>
      <c r="D54" s="430" t="s">
        <v>8</v>
      </c>
      <c r="E54" s="431">
        <v>43237.844525462962</v>
      </c>
      <c r="F54" s="438">
        <v>43237.844525462962</v>
      </c>
      <c r="G54" s="439">
        <v>0.84444444444444444</v>
      </c>
      <c r="H54" s="440" t="s">
        <v>115</v>
      </c>
      <c r="I54" s="440" t="s">
        <v>115</v>
      </c>
      <c r="J54" s="440" t="s">
        <v>115</v>
      </c>
      <c r="K54" s="440"/>
      <c r="L54" s="440"/>
      <c r="M54" s="440"/>
      <c r="N54" s="440"/>
      <c r="O54" s="393">
        <f t="shared" si="11"/>
        <v>0</v>
      </c>
      <c r="P54" s="9"/>
      <c r="R54" s="372"/>
    </row>
    <row r="55" spans="1:22">
      <c r="A55" s="424">
        <v>10361</v>
      </c>
      <c r="B55" s="424" t="s">
        <v>107</v>
      </c>
      <c r="C55" s="424" t="s">
        <v>106</v>
      </c>
      <c r="D55" s="430" t="s">
        <v>6</v>
      </c>
      <c r="E55" s="431">
        <v>43238.35633101852</v>
      </c>
      <c r="F55" s="438">
        <v>43238.35633101852</v>
      </c>
      <c r="G55" s="439">
        <v>0.35625000000000001</v>
      </c>
      <c r="H55" s="440">
        <v>10</v>
      </c>
      <c r="I55" s="440">
        <v>8</v>
      </c>
      <c r="J55" s="440" t="s">
        <v>115</v>
      </c>
      <c r="K55" s="440"/>
      <c r="L55" s="440"/>
      <c r="M55" s="440"/>
      <c r="N55" s="440"/>
      <c r="O55" s="393">
        <f t="shared" si="11"/>
        <v>0</v>
      </c>
      <c r="P55" s="9"/>
      <c r="R55" s="372"/>
      <c r="S55" s="370"/>
      <c r="T55" s="371"/>
      <c r="U55" s="371"/>
      <c r="V55" s="371"/>
    </row>
    <row r="56" spans="1:22">
      <c r="A56" s="424">
        <v>10376</v>
      </c>
      <c r="B56" s="424" t="s">
        <v>107</v>
      </c>
      <c r="C56" s="424" t="s">
        <v>106</v>
      </c>
      <c r="D56" s="430" t="s">
        <v>5</v>
      </c>
      <c r="E56" s="431">
        <v>43238.772986111115</v>
      </c>
      <c r="F56" s="438">
        <v>43238.772986111115</v>
      </c>
      <c r="G56" s="439">
        <v>0.7729166666666667</v>
      </c>
      <c r="H56" s="440" t="s">
        <v>115</v>
      </c>
      <c r="I56" s="440" t="s">
        <v>115</v>
      </c>
      <c r="J56" s="440" t="s">
        <v>115</v>
      </c>
      <c r="K56" s="440"/>
      <c r="L56" s="440"/>
      <c r="M56" s="440"/>
      <c r="N56" s="440"/>
      <c r="O56" s="393">
        <f t="shared" si="11"/>
        <v>0</v>
      </c>
      <c r="P56" s="9"/>
      <c r="R56" s="372"/>
      <c r="S56" s="370"/>
      <c r="T56" s="371"/>
      <c r="U56" s="371"/>
      <c r="V56" s="371"/>
    </row>
    <row r="57" spans="1:22">
      <c r="A57" s="424">
        <v>10378</v>
      </c>
      <c r="B57" s="424" t="s">
        <v>107</v>
      </c>
      <c r="C57" s="424" t="s">
        <v>106</v>
      </c>
      <c r="D57" s="430" t="s">
        <v>7</v>
      </c>
      <c r="E57" s="431">
        <v>43238.773020833331</v>
      </c>
      <c r="F57" s="438">
        <v>43238.773020833331</v>
      </c>
      <c r="G57" s="439">
        <v>0.7729166666666667</v>
      </c>
      <c r="H57" s="440" t="s">
        <v>115</v>
      </c>
      <c r="I57" s="440" t="s">
        <v>115</v>
      </c>
      <c r="J57" s="440" t="s">
        <v>115</v>
      </c>
      <c r="K57" s="440">
        <v>1.7166666666666659</v>
      </c>
      <c r="L57" s="440"/>
      <c r="M57" s="440">
        <v>1.7166666666666659</v>
      </c>
      <c r="N57" s="440">
        <v>0</v>
      </c>
      <c r="O57" s="393">
        <f>M57+N57</f>
        <v>1.7166666666666659</v>
      </c>
      <c r="P57" s="9"/>
      <c r="R57" s="372"/>
      <c r="S57" s="370"/>
      <c r="T57" s="371"/>
      <c r="U57" s="371"/>
      <c r="V57" s="371"/>
    </row>
    <row r="58" spans="1:22">
      <c r="A58" s="424">
        <v>10395</v>
      </c>
      <c r="B58" s="424" t="s">
        <v>107</v>
      </c>
      <c r="C58" s="424" t="s">
        <v>106</v>
      </c>
      <c r="D58" s="430" t="s">
        <v>8</v>
      </c>
      <c r="E58" s="431">
        <v>43238.844965277778</v>
      </c>
      <c r="F58" s="438">
        <v>43238.844965277778</v>
      </c>
      <c r="G58" s="439">
        <v>0.84444444444444444</v>
      </c>
      <c r="H58" s="440" t="s">
        <v>115</v>
      </c>
      <c r="I58" s="440" t="s">
        <v>115</v>
      </c>
      <c r="J58" s="440" t="s">
        <v>115</v>
      </c>
      <c r="K58" s="440"/>
      <c r="L58" s="440"/>
      <c r="M58" s="440"/>
      <c r="N58" s="440"/>
      <c r="O58" s="393">
        <f t="shared" si="11"/>
        <v>0</v>
      </c>
      <c r="P58" s="9"/>
      <c r="R58" s="372"/>
      <c r="S58" s="18"/>
      <c r="T58" s="63"/>
      <c r="U58" s="63"/>
      <c r="V58" s="63"/>
    </row>
    <row r="59" spans="1:22">
      <c r="A59" s="424">
        <v>10412</v>
      </c>
      <c r="B59" s="424" t="s">
        <v>107</v>
      </c>
      <c r="C59" s="424" t="s">
        <v>106</v>
      </c>
      <c r="D59" s="430" t="s">
        <v>6</v>
      </c>
      <c r="E59" s="431">
        <v>43241.367789351854</v>
      </c>
      <c r="F59" s="438">
        <v>43241.367789351854</v>
      </c>
      <c r="G59" s="439">
        <v>0.36736111111111108</v>
      </c>
      <c r="H59" s="440">
        <v>10.099999999999998</v>
      </c>
      <c r="I59" s="440">
        <v>8</v>
      </c>
      <c r="J59" s="440" t="s">
        <v>115</v>
      </c>
      <c r="K59" s="440"/>
      <c r="L59" s="440"/>
      <c r="M59" s="440"/>
      <c r="N59" s="440"/>
      <c r="O59" s="393">
        <f t="shared" si="11"/>
        <v>0</v>
      </c>
      <c r="P59" s="9"/>
      <c r="R59" s="372"/>
      <c r="S59" s="137"/>
      <c r="T59" s="137"/>
      <c r="U59" s="137"/>
      <c r="V59" s="137"/>
    </row>
    <row r="60" spans="1:22">
      <c r="A60" s="424">
        <v>10431</v>
      </c>
      <c r="B60" s="424" t="s">
        <v>107</v>
      </c>
      <c r="C60" s="424" t="s">
        <v>106</v>
      </c>
      <c r="D60" s="430" t="s">
        <v>5</v>
      </c>
      <c r="E60" s="431">
        <v>43241.78837962963</v>
      </c>
      <c r="F60" s="438">
        <v>43241.78837962963</v>
      </c>
      <c r="G60" s="439">
        <v>0.78819444444444453</v>
      </c>
      <c r="H60" s="440" t="s">
        <v>115</v>
      </c>
      <c r="I60" s="440" t="s">
        <v>115</v>
      </c>
      <c r="J60" s="440" t="s">
        <v>115</v>
      </c>
      <c r="K60" s="440"/>
      <c r="L60" s="440"/>
      <c r="M60" s="440"/>
      <c r="N60" s="440"/>
      <c r="O60" s="393">
        <f t="shared" si="11"/>
        <v>0</v>
      </c>
      <c r="P60" s="9"/>
      <c r="R60" s="372"/>
      <c r="S60" s="137"/>
      <c r="T60" s="137"/>
      <c r="U60" s="137"/>
      <c r="V60" s="137"/>
    </row>
    <row r="61" spans="1:22">
      <c r="A61" s="424">
        <v>10432</v>
      </c>
      <c r="B61" s="424" t="s">
        <v>107</v>
      </c>
      <c r="C61" s="424" t="s">
        <v>106</v>
      </c>
      <c r="D61" s="430" t="s">
        <v>7</v>
      </c>
      <c r="E61" s="431">
        <v>43241.788391203707</v>
      </c>
      <c r="F61" s="438">
        <v>43241.788391203707</v>
      </c>
      <c r="G61" s="439">
        <v>0.78819444444444453</v>
      </c>
      <c r="H61" s="440" t="s">
        <v>115</v>
      </c>
      <c r="I61" s="440" t="s">
        <v>115</v>
      </c>
      <c r="J61" s="440" t="s">
        <v>115</v>
      </c>
      <c r="K61" s="440">
        <v>2.2833333333333332</v>
      </c>
      <c r="L61" s="440"/>
      <c r="M61" s="440">
        <v>2</v>
      </c>
      <c r="N61" s="440">
        <v>0.28333333333333321</v>
      </c>
      <c r="O61" s="393">
        <f t="shared" si="11"/>
        <v>2.2833333333333332</v>
      </c>
      <c r="P61" s="9"/>
      <c r="R61" s="372"/>
      <c r="S61" s="137"/>
      <c r="T61" s="137"/>
      <c r="U61" s="137"/>
      <c r="V61" s="137"/>
    </row>
    <row r="62" spans="1:22">
      <c r="A62" s="424">
        <v>10442</v>
      </c>
      <c r="B62" s="424" t="s">
        <v>107</v>
      </c>
      <c r="C62" s="424" t="s">
        <v>106</v>
      </c>
      <c r="D62" s="430" t="s">
        <v>8</v>
      </c>
      <c r="E62" s="431">
        <v>43241.883692129632</v>
      </c>
      <c r="F62" s="438">
        <v>43241.883692129632</v>
      </c>
      <c r="G62" s="439">
        <v>0.8833333333333333</v>
      </c>
      <c r="H62" s="440" t="s">
        <v>115</v>
      </c>
      <c r="I62" s="440" t="s">
        <v>115</v>
      </c>
      <c r="J62" s="440" t="s">
        <v>115</v>
      </c>
      <c r="K62" s="440"/>
      <c r="L62" s="440"/>
      <c r="M62" s="440"/>
      <c r="N62" s="440"/>
      <c r="O62" s="393">
        <f t="shared" si="11"/>
        <v>0</v>
      </c>
      <c r="P62" s="9"/>
      <c r="R62" s="372"/>
      <c r="S62" s="137"/>
      <c r="T62" s="137"/>
      <c r="U62" s="137"/>
      <c r="V62" s="137"/>
    </row>
    <row r="63" spans="1:22">
      <c r="A63" s="424">
        <v>10447</v>
      </c>
      <c r="B63" s="424" t="s">
        <v>107</v>
      </c>
      <c r="C63" s="424" t="s">
        <v>106</v>
      </c>
      <c r="D63" s="430" t="s">
        <v>6</v>
      </c>
      <c r="E63" s="431">
        <v>43242.360451388886</v>
      </c>
      <c r="F63" s="438">
        <v>43242.360451388886</v>
      </c>
      <c r="G63" s="439">
        <v>0.36041666666666666</v>
      </c>
      <c r="H63" s="440">
        <v>10.116666666666667</v>
      </c>
      <c r="I63" s="440">
        <v>8</v>
      </c>
      <c r="J63" s="440" t="s">
        <v>115</v>
      </c>
      <c r="K63" s="440"/>
      <c r="L63" s="440"/>
      <c r="M63" s="440"/>
      <c r="N63" s="440"/>
      <c r="O63" s="393">
        <f t="shared" si="11"/>
        <v>0</v>
      </c>
      <c r="P63" s="9"/>
      <c r="R63" s="372"/>
      <c r="S63" s="137"/>
      <c r="T63" s="137"/>
      <c r="U63" s="137"/>
      <c r="V63" s="137"/>
    </row>
    <row r="64" spans="1:22">
      <c r="A64" s="424">
        <v>10465</v>
      </c>
      <c r="B64" s="424" t="s">
        <v>107</v>
      </c>
      <c r="C64" s="424" t="s">
        <v>106</v>
      </c>
      <c r="D64" s="430" t="s">
        <v>5</v>
      </c>
      <c r="E64" s="431">
        <v>43242.782349537039</v>
      </c>
      <c r="F64" s="438">
        <v>43242.782349537039</v>
      </c>
      <c r="G64" s="439">
        <v>0.78194444444444444</v>
      </c>
      <c r="H64" s="440" t="s">
        <v>115</v>
      </c>
      <c r="I64" s="440" t="s">
        <v>115</v>
      </c>
      <c r="J64" s="440" t="s">
        <v>115</v>
      </c>
      <c r="K64" s="440"/>
      <c r="L64" s="440"/>
      <c r="M64" s="440"/>
      <c r="N64" s="440"/>
      <c r="O64" s="393">
        <f t="shared" si="11"/>
        <v>0</v>
      </c>
      <c r="P64" s="9"/>
      <c r="R64" s="372"/>
      <c r="S64" s="137"/>
      <c r="T64" s="137"/>
      <c r="U64" s="137"/>
      <c r="V64" s="137"/>
    </row>
    <row r="65" spans="4:22">
      <c r="O65" s="307"/>
      <c r="P65" s="9"/>
      <c r="R65" s="372"/>
      <c r="S65" s="18"/>
      <c r="T65" s="63"/>
      <c r="U65" s="63"/>
      <c r="V65" s="63"/>
    </row>
    <row r="66" spans="4:22">
      <c r="D66" s="9" t="s">
        <v>36</v>
      </c>
      <c r="O66" s="307"/>
      <c r="P66" s="9"/>
      <c r="R66" s="372"/>
    </row>
    <row r="67" spans="4:22">
      <c r="D67" s="9" t="s">
        <v>35</v>
      </c>
      <c r="O67" s="307"/>
      <c r="P67" s="9"/>
      <c r="R67" s="372"/>
      <c r="S67" s="374"/>
      <c r="T67" s="375"/>
      <c r="U67" s="375"/>
      <c r="V67" s="375"/>
    </row>
    <row r="68" spans="4:22">
      <c r="D68" s="172" t="s">
        <v>63</v>
      </c>
      <c r="O68" s="307"/>
      <c r="P68" s="9"/>
      <c r="R68" s="372"/>
    </row>
    <row r="69" spans="4:22">
      <c r="D69" t="s">
        <v>66</v>
      </c>
      <c r="O69" s="307"/>
      <c r="P69" s="9"/>
      <c r="R69" s="372"/>
      <c r="S69" s="370"/>
      <c r="T69" s="371"/>
      <c r="U69" s="371"/>
      <c r="V69" s="371"/>
    </row>
    <row r="70" spans="4:22">
      <c r="D70" t="s">
        <v>64</v>
      </c>
      <c r="E70" s="336"/>
      <c r="F70" s="373"/>
      <c r="G70" s="376"/>
      <c r="H70" s="377"/>
      <c r="I70" s="378"/>
      <c r="J70" s="378"/>
      <c r="K70" s="379"/>
      <c r="L70" s="379"/>
      <c r="M70" s="379"/>
      <c r="N70" s="379"/>
      <c r="O70" s="307"/>
      <c r="P70" s="9"/>
      <c r="R70" s="372"/>
    </row>
    <row r="71" spans="4:22">
      <c r="D71" t="s">
        <v>68</v>
      </c>
      <c r="E71" s="336"/>
      <c r="F71" s="373"/>
      <c r="G71" s="376"/>
      <c r="H71" s="377"/>
      <c r="I71" s="378"/>
      <c r="J71" s="378"/>
      <c r="K71" s="379"/>
      <c r="L71" s="379"/>
      <c r="M71" s="379"/>
      <c r="N71" s="379"/>
      <c r="O71" s="307"/>
      <c r="P71" s="9"/>
      <c r="R71" s="372"/>
      <c r="S71" s="137"/>
      <c r="T71" s="16"/>
      <c r="U71" s="16"/>
      <c r="V71" s="16"/>
    </row>
    <row r="72" spans="4:22">
      <c r="D72" t="s">
        <v>69</v>
      </c>
      <c r="E72" s="336"/>
      <c r="F72" s="373"/>
      <c r="G72" s="376"/>
      <c r="H72" s="377"/>
      <c r="I72" s="378"/>
      <c r="J72" s="378"/>
      <c r="K72" s="379"/>
      <c r="L72" s="379"/>
      <c r="M72" s="379"/>
      <c r="N72" s="379"/>
      <c r="O72" s="307"/>
      <c r="P72" s="9"/>
      <c r="R72" s="372"/>
    </row>
    <row r="73" spans="4:22">
      <c r="D73" t="s">
        <v>116</v>
      </c>
      <c r="E73" s="336"/>
      <c r="F73" s="373"/>
      <c r="G73" s="376"/>
      <c r="H73" s="377"/>
      <c r="I73" s="378"/>
      <c r="J73" s="378"/>
      <c r="K73" s="379"/>
      <c r="L73" s="379"/>
      <c r="M73" s="379"/>
      <c r="N73" s="379"/>
      <c r="O73" s="307"/>
      <c r="P73" s="9"/>
      <c r="R73" s="372"/>
      <c r="S73" s="374"/>
      <c r="T73" s="375"/>
      <c r="U73" s="375"/>
      <c r="V73" s="375"/>
    </row>
    <row r="74" spans="4:22">
      <c r="D74" t="s">
        <v>67</v>
      </c>
      <c r="E74" s="336"/>
      <c r="F74" s="373"/>
      <c r="G74" s="376"/>
      <c r="H74" s="377"/>
      <c r="I74" s="378"/>
      <c r="J74" s="378"/>
      <c r="K74" s="379"/>
      <c r="L74" s="379"/>
      <c r="M74" s="379"/>
      <c r="N74" s="379"/>
      <c r="O74" s="307"/>
      <c r="P74" s="9"/>
      <c r="R74" s="372"/>
    </row>
    <row r="75" spans="4:22">
      <c r="O75" s="307"/>
      <c r="P75" s="9"/>
      <c r="R75" s="372"/>
      <c r="S75" s="374"/>
      <c r="T75" s="375"/>
      <c r="U75" s="375"/>
      <c r="V75" s="375"/>
    </row>
    <row r="76" spans="4:22">
      <c r="O76" s="307"/>
      <c r="P76" s="9"/>
      <c r="R76" s="372"/>
      <c r="S76" s="18"/>
      <c r="T76" s="63"/>
      <c r="U76" s="63"/>
      <c r="V76" s="63"/>
    </row>
    <row r="77" spans="4:22">
      <c r="O77" s="307"/>
      <c r="P77" s="9"/>
      <c r="R77" s="372"/>
      <c r="S77" s="137"/>
      <c r="T77" s="16"/>
      <c r="U77" s="16"/>
      <c r="V77" s="16"/>
    </row>
    <row r="78" spans="4:22">
      <c r="O78" s="307"/>
      <c r="P78" s="9"/>
      <c r="R78" s="372"/>
      <c r="S78" s="137"/>
      <c r="T78" s="16"/>
      <c r="U78" s="16"/>
      <c r="V78" s="16"/>
    </row>
    <row r="79" spans="4:22">
      <c r="O79" s="307"/>
      <c r="P79" s="9"/>
      <c r="R79" s="372"/>
      <c r="S79" s="137"/>
      <c r="T79" s="16"/>
      <c r="U79" s="16"/>
      <c r="V79" s="16"/>
    </row>
    <row r="80" spans="4:22">
      <c r="O80" s="307"/>
      <c r="P80" s="9"/>
      <c r="R80" s="372"/>
      <c r="S80" s="137"/>
      <c r="T80" s="16"/>
      <c r="U80" s="16"/>
      <c r="V80" s="16"/>
    </row>
    <row r="81" spans="15:22">
      <c r="O81" s="307"/>
      <c r="P81" s="9"/>
      <c r="R81" s="372"/>
      <c r="S81" s="137"/>
      <c r="T81" s="16"/>
      <c r="U81" s="16"/>
      <c r="V81" s="16"/>
    </row>
    <row r="82" spans="15:22">
      <c r="O82" s="307"/>
      <c r="P82" s="9"/>
      <c r="R82" s="372"/>
      <c r="S82" s="137"/>
      <c r="T82" s="16"/>
      <c r="U82" s="16"/>
      <c r="V82" s="16"/>
    </row>
    <row r="83" spans="15:22">
      <c r="O83" s="307"/>
      <c r="P83" s="9"/>
      <c r="R83" s="372"/>
    </row>
    <row r="84" spans="15:22">
      <c r="O84" s="307"/>
      <c r="P84" s="9"/>
      <c r="R84" s="372"/>
    </row>
    <row r="85" spans="15:22">
      <c r="O85" s="307"/>
      <c r="P85" s="9"/>
      <c r="R85" s="372"/>
    </row>
    <row r="86" spans="15:22">
      <c r="O86" s="307"/>
      <c r="P86" s="9"/>
      <c r="R86" s="372"/>
    </row>
    <row r="87" spans="15:22">
      <c r="O87" s="307"/>
      <c r="P87" s="9"/>
      <c r="R87" s="372"/>
    </row>
    <row r="88" spans="15:22">
      <c r="O88" s="307"/>
      <c r="P88" s="9"/>
      <c r="R88" s="372"/>
    </row>
    <row r="89" spans="15:22">
      <c r="O89" s="307"/>
      <c r="P89" s="9"/>
      <c r="R89" s="372"/>
      <c r="T89" s="16"/>
      <c r="U89" s="16"/>
      <c r="V89" s="16"/>
    </row>
    <row r="90" spans="15:22">
      <c r="O90" s="307"/>
      <c r="P90" s="9"/>
      <c r="R90" s="372"/>
      <c r="T90" s="16"/>
      <c r="U90" s="16"/>
      <c r="V90" s="16"/>
    </row>
    <row r="91" spans="15:22">
      <c r="O91" s="307"/>
      <c r="P91" s="137"/>
      <c r="Q91" s="137"/>
      <c r="R91" s="137"/>
      <c r="T91" s="16"/>
      <c r="U91" s="16"/>
      <c r="V91" s="16"/>
    </row>
    <row r="92" spans="15:22">
      <c r="O92" s="307"/>
      <c r="P92" s="137"/>
      <c r="Q92" s="137"/>
      <c r="R92" s="137"/>
      <c r="S92" s="137"/>
      <c r="T92" s="16"/>
      <c r="U92" s="16"/>
      <c r="V92" s="16"/>
    </row>
    <row r="93" spans="15:22">
      <c r="O93" s="307"/>
    </row>
    <row r="94" spans="15:22">
      <c r="O94" s="307"/>
    </row>
    <row r="95" spans="15:22">
      <c r="O95" s="307"/>
    </row>
    <row r="96" spans="15:22">
      <c r="O96" s="307"/>
    </row>
    <row r="97" spans="15:22">
      <c r="O97" s="307"/>
    </row>
    <row r="98" spans="15:22">
      <c r="O98" s="307"/>
    </row>
    <row r="99" spans="15:22">
      <c r="O99" s="307"/>
      <c r="P99" s="399"/>
      <c r="Q99" s="399"/>
      <c r="R99" s="399"/>
      <c r="S99" s="399"/>
      <c r="T99" s="399"/>
      <c r="U99" s="399"/>
      <c r="V99" s="399"/>
    </row>
    <row r="100" spans="15:22">
      <c r="O100" s="307"/>
    </row>
    <row r="101" spans="15:22">
      <c r="O101" s="307"/>
    </row>
    <row r="102" spans="15:22">
      <c r="O102" s="307"/>
    </row>
    <row r="103" spans="15:22">
      <c r="O103" s="307"/>
      <c r="P103" s="444"/>
      <c r="Q103" s="444"/>
      <c r="R103" s="444"/>
      <c r="S103" s="444"/>
      <c r="T103" s="398"/>
      <c r="U103" s="398"/>
      <c r="V103" s="398"/>
    </row>
    <row r="104" spans="15:22">
      <c r="O104" s="307"/>
      <c r="P104" s="18"/>
      <c r="Q104" s="18"/>
      <c r="R104" s="18"/>
      <c r="S104" s="18"/>
      <c r="T104" s="63"/>
      <c r="U104" s="63"/>
      <c r="V104" s="63"/>
    </row>
    <row r="105" spans="15:22">
      <c r="O105" s="307"/>
    </row>
    <row r="106" spans="15:22">
      <c r="O106" s="307"/>
    </row>
    <row r="107" spans="15:22">
      <c r="O107" s="307"/>
      <c r="P107" s="18"/>
      <c r="Q107" s="18"/>
      <c r="R107" s="18"/>
      <c r="S107" s="18"/>
      <c r="T107" s="63"/>
      <c r="U107" s="63"/>
      <c r="V107" s="63"/>
    </row>
    <row r="108" spans="15:22">
      <c r="O108" s="307"/>
    </row>
    <row r="109" spans="15:22">
      <c r="O109" s="307"/>
    </row>
    <row r="110" spans="15:22">
      <c r="O110" s="307"/>
    </row>
    <row r="111" spans="15:22">
      <c r="O111" s="307"/>
    </row>
    <row r="112" spans="15:22">
      <c r="O112" s="307"/>
    </row>
    <row r="113" spans="15:22">
      <c r="O113" s="307"/>
    </row>
    <row r="114" spans="15:22">
      <c r="O114" s="307"/>
    </row>
    <row r="115" spans="15:22">
      <c r="O115" s="307"/>
    </row>
    <row r="116" spans="15:22">
      <c r="O116" s="307"/>
    </row>
    <row r="117" spans="15:22">
      <c r="O117" s="307"/>
    </row>
    <row r="118" spans="15:22">
      <c r="O118" s="307"/>
    </row>
    <row r="119" spans="15:22">
      <c r="O119" s="307"/>
    </row>
    <row r="120" spans="15:22">
      <c r="O120" s="307"/>
    </row>
    <row r="121" spans="15:22">
      <c r="O121" s="307"/>
    </row>
    <row r="122" spans="15:22">
      <c r="O122" s="307"/>
    </row>
    <row r="123" spans="15:22">
      <c r="O123" s="307"/>
    </row>
    <row r="124" spans="15:22">
      <c r="O124" s="22"/>
    </row>
    <row r="125" spans="15:22">
      <c r="O125" s="22"/>
      <c r="S125" s="444"/>
      <c r="T125" s="398"/>
      <c r="U125" s="398"/>
      <c r="V125" s="398"/>
    </row>
    <row r="126" spans="15:22">
      <c r="O126" s="22"/>
    </row>
    <row r="127" spans="15:22">
      <c r="O127" s="22"/>
    </row>
    <row r="128" spans="15:22">
      <c r="O128" s="22"/>
    </row>
    <row r="129" spans="15:15">
      <c r="O129" s="22"/>
    </row>
    <row r="130" spans="15:15">
      <c r="O130" s="22"/>
    </row>
    <row r="131" spans="15:15">
      <c r="O131" s="22"/>
    </row>
    <row r="132" spans="15:15">
      <c r="O132" s="22"/>
    </row>
    <row r="133" spans="15:15">
      <c r="O133" s="22"/>
    </row>
    <row r="134" spans="15:15">
      <c r="O134" s="22"/>
    </row>
    <row r="135" spans="15:15">
      <c r="O135" s="22"/>
    </row>
    <row r="136" spans="15:15">
      <c r="O136" s="22"/>
    </row>
    <row r="137" spans="15:15">
      <c r="O137" s="22"/>
    </row>
    <row r="138" spans="15:15">
      <c r="O138" s="22"/>
    </row>
    <row r="139" spans="15:15">
      <c r="O139" s="22"/>
    </row>
    <row r="140" spans="15:15">
      <c r="O140" s="22"/>
    </row>
  </sheetData>
  <phoneticPr fontId="18" type="noConversion"/>
  <conditionalFormatting sqref="I15:I64">
    <cfRule type="cellIs" dxfId="0" priority="1" operator="lessThan">
      <formula>4</formula>
    </cfRule>
  </conditionalFormatting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工作表23"/>
  <dimension ref="A1:Z97"/>
  <sheetViews>
    <sheetView view="pageBreakPreview" topLeftCell="D1" zoomScaleNormal="100" zoomScaleSheetLayoutView="100" workbookViewId="0">
      <selection activeCell="E4" sqref="E4"/>
    </sheetView>
  </sheetViews>
  <sheetFormatPr defaultColWidth="9" defaultRowHeight="16.5" outlineLevelCol="1"/>
  <cols>
    <col min="1" max="1" width="5.875" style="261" hidden="1" customWidth="1" outlineLevel="1"/>
    <col min="2" max="2" width="6.875" style="261" hidden="1" customWidth="1" outlineLevel="1"/>
    <col min="3" max="3" width="6.5" style="262" hidden="1" customWidth="1" outlineLevel="1"/>
    <col min="4" max="4" width="10.125" style="262" customWidth="1" collapsed="1"/>
    <col min="5" max="5" width="15.125" style="262" customWidth="1"/>
    <col min="6" max="6" width="6.25" style="303" customWidth="1"/>
    <col min="7" max="7" width="8.625" style="309" hidden="1" customWidth="1" outlineLevel="1"/>
    <col min="8" max="8" width="10.625" style="310" hidden="1" customWidth="1" outlineLevel="1"/>
    <col min="9" max="9" width="10.5" style="311" customWidth="1" collapsed="1"/>
    <col min="10" max="10" width="9" style="311" customWidth="1"/>
    <col min="11" max="11" width="8.375" style="307" hidden="1" customWidth="1" outlineLevel="1"/>
    <col min="12" max="12" width="8.375" style="307" customWidth="1" collapsed="1"/>
    <col min="13" max="13" width="10.5" style="307" customWidth="1"/>
    <col min="14" max="14" width="10.25" style="307" customWidth="1"/>
    <col min="15" max="15" width="16.75" style="308" customWidth="1"/>
    <col min="16" max="16" width="9" style="9"/>
    <col min="17" max="17" width="9.875" style="9" customWidth="1"/>
    <col min="18" max="18" width="2.5" style="9" bestFit="1" customWidth="1"/>
    <col min="19" max="19" width="9" style="9"/>
    <col min="20" max="20" width="3" customWidth="1"/>
    <col min="21" max="21" width="7.5" customWidth="1"/>
    <col min="22" max="23" width="8.875" customWidth="1"/>
    <col min="24" max="25" width="9" style="391"/>
    <col min="26" max="16384" width="9" style="261"/>
  </cols>
  <sheetData>
    <row r="1" spans="1:25" s="251" customFormat="1" ht="28.5" thickBot="1">
      <c r="C1" s="252"/>
      <c r="D1" s="253"/>
      <c r="E1" s="253"/>
      <c r="F1" s="254"/>
      <c r="G1" s="255"/>
      <c r="H1" s="256"/>
      <c r="I1" s="257" t="str">
        <f>B7</f>
        <v>leo</v>
      </c>
      <c r="J1" s="258" t="s">
        <v>29</v>
      </c>
      <c r="K1" s="259"/>
      <c r="L1" s="259"/>
      <c r="M1" s="259"/>
      <c r="N1" s="259"/>
      <c r="O1" s="260"/>
      <c r="P1" s="19"/>
      <c r="Q1" s="19"/>
      <c r="R1" s="19"/>
      <c r="S1" s="19"/>
      <c r="T1" s="4"/>
      <c r="U1" s="4"/>
      <c r="V1" s="4"/>
      <c r="W1" s="4"/>
      <c r="X1" s="4"/>
      <c r="Y1" s="4"/>
    </row>
    <row r="2" spans="1:25">
      <c r="D2" s="263" t="s">
        <v>74</v>
      </c>
      <c r="E2" s="264">
        <v>0</v>
      </c>
      <c r="F2" s="265" t="s">
        <v>75</v>
      </c>
      <c r="G2" s="266"/>
      <c r="H2" s="266"/>
      <c r="I2" s="267"/>
      <c r="J2" s="267" t="s">
        <v>34</v>
      </c>
      <c r="K2" s="268"/>
      <c r="L2" s="269" t="s">
        <v>20</v>
      </c>
      <c r="M2" s="270" t="s">
        <v>17</v>
      </c>
      <c r="N2" s="270" t="s">
        <v>18</v>
      </c>
      <c r="O2" s="271" t="s">
        <v>27</v>
      </c>
    </row>
    <row r="3" spans="1:25" ht="17.25" thickBot="1">
      <c r="D3" s="272" t="s">
        <v>76</v>
      </c>
      <c r="E3" s="273">
        <v>500</v>
      </c>
      <c r="F3" s="274"/>
      <c r="G3" s="275"/>
      <c r="H3" s="275"/>
      <c r="I3" s="276"/>
      <c r="J3" s="277">
        <f>D5+E5</f>
        <v>7.5</v>
      </c>
      <c r="K3" s="278">
        <f>SUM(K7:K126)</f>
        <v>55.8</v>
      </c>
      <c r="L3" s="278">
        <f>J3</f>
        <v>7.5</v>
      </c>
      <c r="M3" s="278">
        <f>M6-L3</f>
        <v>28.499999999999993</v>
      </c>
      <c r="N3" s="278">
        <f t="shared" ref="N3" si="0">N6</f>
        <v>19.799999999999986</v>
      </c>
      <c r="O3" s="279"/>
    </row>
    <row r="4" spans="1:25">
      <c r="D4" s="280" t="s">
        <v>43</v>
      </c>
      <c r="E4" s="281" t="s">
        <v>44</v>
      </c>
      <c r="F4" s="281" t="s">
        <v>46</v>
      </c>
      <c r="G4" s="282"/>
      <c r="H4" s="282"/>
      <c r="I4" s="283" t="s">
        <v>33</v>
      </c>
      <c r="J4" s="283" t="s">
        <v>25</v>
      </c>
      <c r="K4" s="283"/>
      <c r="L4" s="283" t="s">
        <v>12</v>
      </c>
      <c r="M4" s="283" t="s">
        <v>12</v>
      </c>
      <c r="N4" s="283" t="s">
        <v>12</v>
      </c>
      <c r="O4" s="284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144</v>
      </c>
    </row>
    <row r="5" spans="1:25">
      <c r="D5" s="420">
        <f>J6</f>
        <v>7.5</v>
      </c>
      <c r="E5" s="286">
        <v>0</v>
      </c>
      <c r="F5" s="287">
        <v>0</v>
      </c>
      <c r="G5" s="288"/>
      <c r="H5" s="288"/>
      <c r="I5" s="289" t="s">
        <v>47</v>
      </c>
      <c r="J5" s="289" t="s">
        <v>47</v>
      </c>
      <c r="K5" s="289" t="s">
        <v>16</v>
      </c>
      <c r="L5" s="289" t="s">
        <v>20</v>
      </c>
      <c r="M5" s="289" t="s">
        <v>17</v>
      </c>
      <c r="N5" s="289" t="s">
        <v>18</v>
      </c>
      <c r="O5" s="290"/>
      <c r="Q5" s="9" t="s">
        <v>40</v>
      </c>
      <c r="S5" s="57">
        <f>(L6+M6+N6)/160</f>
        <v>0.34874999999999989</v>
      </c>
    </row>
    <row r="6" spans="1:25" ht="17.25" thickBot="1">
      <c r="A6" s="261" t="s">
        <v>0</v>
      </c>
      <c r="B6" s="261" t="s">
        <v>1</v>
      </c>
      <c r="C6" s="262" t="s">
        <v>2</v>
      </c>
      <c r="D6" s="291" t="s">
        <v>3</v>
      </c>
      <c r="E6" s="292" t="s">
        <v>4</v>
      </c>
      <c r="F6" s="293"/>
      <c r="G6" s="294"/>
      <c r="H6" s="292" t="s">
        <v>22</v>
      </c>
      <c r="I6" s="295">
        <f>SUM(I7:I131)</f>
        <v>136.5</v>
      </c>
      <c r="J6" s="295">
        <f>SUM(J7:J131)</f>
        <v>7.5</v>
      </c>
      <c r="K6" s="295">
        <f>SUM(K7:K95)</f>
        <v>55.8</v>
      </c>
      <c r="L6" s="295">
        <f>SUM(L7:L131)</f>
        <v>0</v>
      </c>
      <c r="M6" s="295">
        <f>SUM(M7:M131)</f>
        <v>35.999999999999993</v>
      </c>
      <c r="N6" s="295">
        <f>SUM(N7:N131)</f>
        <v>19.799999999999986</v>
      </c>
      <c r="O6" s="296"/>
      <c r="Q6" s="381"/>
      <c r="R6" s="8"/>
      <c r="S6" s="8"/>
      <c r="U6" s="49"/>
      <c r="V6" s="381"/>
      <c r="W6" s="8"/>
    </row>
    <row r="7" spans="1:25" s="303" customFormat="1">
      <c r="A7" s="140">
        <v>9311</v>
      </c>
      <c r="B7" s="140" t="s">
        <v>94</v>
      </c>
      <c r="C7" s="140" t="s">
        <v>94</v>
      </c>
      <c r="D7" s="141" t="s">
        <v>7</v>
      </c>
      <c r="E7" s="142">
        <v>43191.500625000001</v>
      </c>
      <c r="F7" s="297">
        <f>E7</f>
        <v>43191.500625000001</v>
      </c>
      <c r="G7" s="298" t="str">
        <f>HOUR(E7)&amp;":"&amp;MINUTE(E7)</f>
        <v>12:0</v>
      </c>
      <c r="H7" s="299" t="str">
        <f>IF(D7="上班",(G8-G7)*24,"-")</f>
        <v>-</v>
      </c>
      <c r="I7" s="300" t="str">
        <f t="shared" ref="I7" si="1">IF(D7="上班",IF(H7-1.5&gt;8,8,H7-1.5),"-")</f>
        <v>-</v>
      </c>
      <c r="J7" s="300" t="str">
        <f t="shared" ref="J7" si="2">IF(I7&lt;8,8-I7,"-")</f>
        <v>-</v>
      </c>
      <c r="K7" s="301">
        <f t="shared" ref="K7" si="3">IF(D7="加班",(G8-G7)*24,0)</f>
        <v>3.4499999999999984</v>
      </c>
      <c r="L7" s="301"/>
      <c r="M7" s="302">
        <f t="shared" ref="M7" si="4">IF(K7&gt;2,2,K7)</f>
        <v>2</v>
      </c>
      <c r="N7" s="302">
        <f t="shared" ref="N7" si="5">IF(K7&gt;2,K7-2,0)</f>
        <v>1.4499999999999984</v>
      </c>
      <c r="O7" s="388"/>
      <c r="P7" s="137"/>
      <c r="Q7" s="382"/>
      <c r="R7" s="137"/>
      <c r="S7" s="16"/>
      <c r="T7" s="16"/>
      <c r="U7" s="16"/>
      <c r="V7" s="382"/>
      <c r="W7" s="16"/>
      <c r="X7" s="16"/>
      <c r="Y7" s="16"/>
    </row>
    <row r="8" spans="1:25" s="303" customFormat="1">
      <c r="A8" s="140">
        <v>9312</v>
      </c>
      <c r="B8" s="140" t="s">
        <v>94</v>
      </c>
      <c r="C8" s="140" t="s">
        <v>94</v>
      </c>
      <c r="D8" s="143" t="s">
        <v>8</v>
      </c>
      <c r="E8" s="144">
        <v>43191.644421296296</v>
      </c>
      <c r="F8" s="297">
        <f t="shared" ref="F8:F71" si="6">E8</f>
        <v>43191.644421296296</v>
      </c>
      <c r="G8" s="298" t="str">
        <f t="shared" ref="G8:G71" si="7">HOUR(E8)&amp;":"&amp;MINUTE(E8)</f>
        <v>15:27</v>
      </c>
      <c r="H8" s="299" t="str">
        <f t="shared" ref="H8:H71" si="8">IF(D8="上班",(G9-G8)*24,"-")</f>
        <v>-</v>
      </c>
      <c r="I8" s="300" t="str">
        <f t="shared" ref="I8:I71" si="9">IF(D8="上班",IF(H8-1.5&gt;8,8,H8-1.5),"-")</f>
        <v>-</v>
      </c>
      <c r="J8" s="300" t="str">
        <f t="shared" ref="J8:J71" si="10">IF(I8&lt;8,8-I8,"-")</f>
        <v>-</v>
      </c>
      <c r="K8" s="301">
        <f t="shared" ref="K8:K71" si="11">IF(D8="加班",(G9-G8)*24,0)</f>
        <v>0</v>
      </c>
      <c r="L8" s="301"/>
      <c r="M8" s="302">
        <f t="shared" ref="M8:M71" si="12">IF(K8&gt;2,2,K8)</f>
        <v>0</v>
      </c>
      <c r="N8" s="302">
        <f t="shared" ref="N8:N71" si="13">IF(K8&gt;2,K8-2,0)</f>
        <v>0</v>
      </c>
      <c r="O8" s="388"/>
      <c r="P8" s="137"/>
      <c r="Q8" s="382"/>
      <c r="R8" s="137"/>
      <c r="S8" s="16"/>
      <c r="T8" s="16"/>
      <c r="U8" s="16"/>
      <c r="V8" s="382"/>
      <c r="W8" s="16"/>
      <c r="X8" s="16"/>
      <c r="Y8" s="16"/>
    </row>
    <row r="9" spans="1:25" s="303" customFormat="1">
      <c r="A9" s="140">
        <v>9316</v>
      </c>
      <c r="B9" s="140" t="s">
        <v>94</v>
      </c>
      <c r="C9" s="140" t="s">
        <v>94</v>
      </c>
      <c r="D9" s="143" t="s">
        <v>6</v>
      </c>
      <c r="E9" s="144">
        <v>43192.366076388891</v>
      </c>
      <c r="F9" s="297">
        <f t="shared" si="6"/>
        <v>43192.366076388891</v>
      </c>
      <c r="G9" s="298" t="str">
        <f t="shared" si="7"/>
        <v>8:47</v>
      </c>
      <c r="H9" s="299">
        <f t="shared" si="8"/>
        <v>9.7166666666666686</v>
      </c>
      <c r="I9" s="300">
        <f t="shared" si="9"/>
        <v>8</v>
      </c>
      <c r="J9" s="300" t="str">
        <f t="shared" si="10"/>
        <v>-</v>
      </c>
      <c r="K9" s="301">
        <f t="shared" si="11"/>
        <v>0</v>
      </c>
      <c r="L9" s="301"/>
      <c r="M9" s="302">
        <f t="shared" si="12"/>
        <v>0</v>
      </c>
      <c r="N9" s="302">
        <f t="shared" si="13"/>
        <v>0</v>
      </c>
      <c r="O9" s="388"/>
      <c r="P9" s="137"/>
      <c r="Q9" s="382"/>
      <c r="R9" s="137"/>
      <c r="S9" s="16"/>
      <c r="T9" s="16"/>
      <c r="U9" s="16"/>
      <c r="V9" s="382"/>
      <c r="W9" s="16"/>
      <c r="X9" s="16"/>
      <c r="Y9" s="16"/>
    </row>
    <row r="10" spans="1:25" s="303" customFormat="1">
      <c r="A10" s="140">
        <v>9332</v>
      </c>
      <c r="B10" s="140" t="s">
        <v>95</v>
      </c>
      <c r="C10" s="140" t="s">
        <v>94</v>
      </c>
      <c r="D10" s="143" t="s">
        <v>5</v>
      </c>
      <c r="E10" s="144">
        <v>43192.77140046296</v>
      </c>
      <c r="F10" s="297">
        <f t="shared" si="6"/>
        <v>43192.77140046296</v>
      </c>
      <c r="G10" s="298" t="str">
        <f t="shared" si="7"/>
        <v>18:30</v>
      </c>
      <c r="H10" s="299" t="str">
        <f t="shared" si="8"/>
        <v>-</v>
      </c>
      <c r="I10" s="300" t="str">
        <f t="shared" si="9"/>
        <v>-</v>
      </c>
      <c r="J10" s="300" t="str">
        <f t="shared" si="10"/>
        <v>-</v>
      </c>
      <c r="K10" s="301">
        <f t="shared" si="11"/>
        <v>0</v>
      </c>
      <c r="L10" s="301"/>
      <c r="M10" s="302">
        <f t="shared" si="12"/>
        <v>0</v>
      </c>
      <c r="N10" s="302">
        <f t="shared" si="13"/>
        <v>0</v>
      </c>
      <c r="O10" s="388"/>
      <c r="P10" s="137"/>
      <c r="Q10" s="382"/>
      <c r="R10" s="137"/>
      <c r="S10" s="16"/>
      <c r="T10" s="16"/>
      <c r="U10" s="16"/>
      <c r="V10" s="382"/>
      <c r="W10" s="16"/>
      <c r="X10" s="16"/>
      <c r="Y10" s="16"/>
    </row>
    <row r="11" spans="1:25" s="16" customFormat="1">
      <c r="A11" s="140">
        <v>9333</v>
      </c>
      <c r="B11" s="140" t="s">
        <v>95</v>
      </c>
      <c r="C11" s="140" t="s">
        <v>94</v>
      </c>
      <c r="D11" s="143" t="s">
        <v>7</v>
      </c>
      <c r="E11" s="144">
        <v>43192.771458333336</v>
      </c>
      <c r="F11" s="297">
        <f t="shared" si="6"/>
        <v>43192.771458333336</v>
      </c>
      <c r="G11" s="298" t="str">
        <f t="shared" si="7"/>
        <v>18:30</v>
      </c>
      <c r="H11" s="299" t="str">
        <f t="shared" si="8"/>
        <v>-</v>
      </c>
      <c r="I11" s="300" t="str">
        <f t="shared" si="9"/>
        <v>-</v>
      </c>
      <c r="J11" s="300" t="str">
        <f t="shared" si="10"/>
        <v>-</v>
      </c>
      <c r="K11" s="301">
        <f t="shared" si="11"/>
        <v>2.4666666666666632</v>
      </c>
      <c r="L11" s="301"/>
      <c r="M11" s="302">
        <f t="shared" si="12"/>
        <v>2</v>
      </c>
      <c r="N11" s="302">
        <f t="shared" si="13"/>
        <v>0.46666666666666323</v>
      </c>
      <c r="O11" s="388"/>
      <c r="P11" s="137"/>
      <c r="Q11" s="382"/>
      <c r="R11" s="137"/>
      <c r="S11" s="63"/>
      <c r="V11" s="382"/>
      <c r="X11" s="63"/>
    </row>
    <row r="12" spans="1:25" s="16" customFormat="1">
      <c r="A12" s="140">
        <v>9341</v>
      </c>
      <c r="B12" s="140" t="s">
        <v>95</v>
      </c>
      <c r="C12" s="140" t="s">
        <v>94</v>
      </c>
      <c r="D12" s="143" t="s">
        <v>8</v>
      </c>
      <c r="E12" s="144">
        <v>43192.874189814815</v>
      </c>
      <c r="F12" s="297">
        <f t="shared" si="6"/>
        <v>43192.874189814815</v>
      </c>
      <c r="G12" s="298" t="str">
        <f t="shared" si="7"/>
        <v>20:58</v>
      </c>
      <c r="H12" s="299" t="str">
        <f t="shared" si="8"/>
        <v>-</v>
      </c>
      <c r="I12" s="300" t="str">
        <f t="shared" si="9"/>
        <v>-</v>
      </c>
      <c r="J12" s="300" t="str">
        <f t="shared" si="10"/>
        <v>-</v>
      </c>
      <c r="K12" s="301">
        <f t="shared" si="11"/>
        <v>0</v>
      </c>
      <c r="L12" s="301"/>
      <c r="M12" s="302">
        <f t="shared" si="12"/>
        <v>0</v>
      </c>
      <c r="N12" s="302">
        <f t="shared" si="13"/>
        <v>0</v>
      </c>
      <c r="O12" s="388"/>
      <c r="P12" s="137"/>
      <c r="Q12" s="382"/>
      <c r="R12" s="137"/>
      <c r="S12" s="63"/>
      <c r="V12" s="382"/>
      <c r="X12" s="63"/>
    </row>
    <row r="13" spans="1:25" s="63" customFormat="1">
      <c r="A13" s="140">
        <v>9349</v>
      </c>
      <c r="B13" s="140" t="s">
        <v>94</v>
      </c>
      <c r="C13" s="140" t="s">
        <v>94</v>
      </c>
      <c r="D13" s="143" t="s">
        <v>6</v>
      </c>
      <c r="E13" s="144">
        <v>43193.363541666666</v>
      </c>
      <c r="F13" s="297">
        <f t="shared" si="6"/>
        <v>43193.363541666666</v>
      </c>
      <c r="G13" s="298" t="str">
        <f t="shared" si="7"/>
        <v>8:43</v>
      </c>
      <c r="H13" s="299">
        <f t="shared" si="8"/>
        <v>9.7999999999999989</v>
      </c>
      <c r="I13" s="300">
        <f t="shared" si="9"/>
        <v>8</v>
      </c>
      <c r="J13" s="300" t="str">
        <f t="shared" si="10"/>
        <v>-</v>
      </c>
      <c r="K13" s="301">
        <f t="shared" si="11"/>
        <v>0</v>
      </c>
      <c r="L13" s="301"/>
      <c r="M13" s="302">
        <f t="shared" si="12"/>
        <v>0</v>
      </c>
      <c r="N13" s="302">
        <f t="shared" si="13"/>
        <v>0</v>
      </c>
      <c r="O13" s="388"/>
      <c r="P13" s="18"/>
      <c r="Q13" s="382"/>
      <c r="R13" s="137"/>
      <c r="S13" s="16"/>
      <c r="T13" s="16"/>
      <c r="U13" s="16"/>
      <c r="V13" s="382"/>
      <c r="W13" s="16"/>
      <c r="X13" s="16"/>
      <c r="Y13" s="16"/>
    </row>
    <row r="14" spans="1:25" s="63" customFormat="1">
      <c r="A14" s="140">
        <v>9368</v>
      </c>
      <c r="B14" s="140" t="s">
        <v>94</v>
      </c>
      <c r="C14" s="140" t="s">
        <v>94</v>
      </c>
      <c r="D14" s="143" t="s">
        <v>5</v>
      </c>
      <c r="E14" s="144">
        <v>43193.771990740737</v>
      </c>
      <c r="F14" s="297">
        <f t="shared" si="6"/>
        <v>43193.771990740737</v>
      </c>
      <c r="G14" s="298" t="str">
        <f t="shared" si="7"/>
        <v>18:31</v>
      </c>
      <c r="H14" s="299" t="str">
        <f t="shared" si="8"/>
        <v>-</v>
      </c>
      <c r="I14" s="300" t="str">
        <f t="shared" si="9"/>
        <v>-</v>
      </c>
      <c r="J14" s="300" t="str">
        <f t="shared" si="10"/>
        <v>-</v>
      </c>
      <c r="K14" s="301">
        <f t="shared" si="11"/>
        <v>0</v>
      </c>
      <c r="L14" s="301"/>
      <c r="M14" s="302">
        <f t="shared" si="12"/>
        <v>0</v>
      </c>
      <c r="N14" s="302">
        <f t="shared" si="13"/>
        <v>0</v>
      </c>
      <c r="O14" s="388"/>
      <c r="P14" s="18"/>
      <c r="Q14" s="382"/>
      <c r="R14" s="137"/>
      <c r="S14" s="16"/>
      <c r="T14" s="16"/>
      <c r="U14" s="16"/>
      <c r="V14" s="382"/>
      <c r="W14" s="16"/>
      <c r="X14" s="16"/>
      <c r="Y14" s="16"/>
    </row>
    <row r="15" spans="1:25" s="303" customFormat="1">
      <c r="A15" s="140">
        <v>9369</v>
      </c>
      <c r="B15" s="140" t="s">
        <v>94</v>
      </c>
      <c r="C15" s="140" t="s">
        <v>94</v>
      </c>
      <c r="D15" s="143" t="s">
        <v>7</v>
      </c>
      <c r="E15" s="144">
        <v>43193.77202546296</v>
      </c>
      <c r="F15" s="297">
        <f t="shared" si="6"/>
        <v>43193.77202546296</v>
      </c>
      <c r="G15" s="298" t="str">
        <f t="shared" si="7"/>
        <v>18:31</v>
      </c>
      <c r="H15" s="299" t="str">
        <f t="shared" si="8"/>
        <v>-</v>
      </c>
      <c r="I15" s="300" t="str">
        <f t="shared" si="9"/>
        <v>-</v>
      </c>
      <c r="J15" s="300" t="str">
        <f t="shared" si="10"/>
        <v>-</v>
      </c>
      <c r="K15" s="301">
        <f t="shared" si="11"/>
        <v>0.56666666666666732</v>
      </c>
      <c r="L15" s="301"/>
      <c r="M15" s="302">
        <f t="shared" si="12"/>
        <v>0.56666666666666732</v>
      </c>
      <c r="N15" s="302">
        <f t="shared" si="13"/>
        <v>0</v>
      </c>
      <c r="O15" s="388"/>
      <c r="P15" s="137"/>
      <c r="Q15" s="382"/>
      <c r="R15" s="137"/>
      <c r="S15" s="16"/>
      <c r="T15" s="16"/>
      <c r="U15" s="16"/>
      <c r="V15" s="382"/>
      <c r="W15" s="16"/>
      <c r="X15" s="16"/>
      <c r="Y15" s="16"/>
    </row>
    <row r="16" spans="1:25" s="305" customFormat="1">
      <c r="A16" s="140">
        <v>9372</v>
      </c>
      <c r="B16" s="140" t="s">
        <v>94</v>
      </c>
      <c r="C16" s="140" t="s">
        <v>94</v>
      </c>
      <c r="D16" s="143" t="s">
        <v>8</v>
      </c>
      <c r="E16" s="144">
        <v>43193.795289351852</v>
      </c>
      <c r="F16" s="297">
        <f t="shared" si="6"/>
        <v>43193.795289351852</v>
      </c>
      <c r="G16" s="298" t="str">
        <f t="shared" si="7"/>
        <v>19:5</v>
      </c>
      <c r="H16" s="299" t="str">
        <f t="shared" si="8"/>
        <v>-</v>
      </c>
      <c r="I16" s="300" t="str">
        <f t="shared" si="9"/>
        <v>-</v>
      </c>
      <c r="J16" s="300" t="str">
        <f t="shared" si="10"/>
        <v>-</v>
      </c>
      <c r="K16" s="301">
        <f t="shared" si="11"/>
        <v>0</v>
      </c>
      <c r="L16" s="301"/>
      <c r="M16" s="302">
        <f t="shared" si="12"/>
        <v>0</v>
      </c>
      <c r="N16" s="302">
        <f t="shared" si="13"/>
        <v>0</v>
      </c>
      <c r="O16" s="388"/>
      <c r="P16" s="18"/>
      <c r="Q16" s="382"/>
      <c r="R16" s="18"/>
      <c r="S16" s="63"/>
      <c r="T16" s="63"/>
      <c r="U16" s="63"/>
      <c r="V16" s="382"/>
      <c r="W16" s="63"/>
      <c r="X16" s="63"/>
      <c r="Y16" s="63"/>
    </row>
    <row r="17" spans="1:25">
      <c r="A17" s="140">
        <v>9380</v>
      </c>
      <c r="B17" s="140" t="s">
        <v>94</v>
      </c>
      <c r="C17" s="140" t="s">
        <v>94</v>
      </c>
      <c r="D17" s="143" t="s">
        <v>7</v>
      </c>
      <c r="E17" s="144">
        <v>43194.453148148146</v>
      </c>
      <c r="F17" s="297">
        <f t="shared" si="6"/>
        <v>43194.453148148146</v>
      </c>
      <c r="G17" s="298" t="str">
        <f t="shared" si="7"/>
        <v>10:52</v>
      </c>
      <c r="H17" s="299" t="str">
        <f t="shared" si="8"/>
        <v>-</v>
      </c>
      <c r="I17" s="300" t="str">
        <f t="shared" si="9"/>
        <v>-</v>
      </c>
      <c r="J17" s="300" t="str">
        <f t="shared" si="10"/>
        <v>-</v>
      </c>
      <c r="K17" s="301">
        <f t="shared" si="11"/>
        <v>4.5833333333333321</v>
      </c>
      <c r="L17" s="301"/>
      <c r="M17" s="302">
        <f t="shared" si="12"/>
        <v>2</v>
      </c>
      <c r="N17" s="302">
        <f t="shared" si="13"/>
        <v>2.5833333333333321</v>
      </c>
      <c r="O17" s="388"/>
      <c r="Q17" s="382"/>
      <c r="V17" s="382"/>
    </row>
    <row r="18" spans="1:25" s="63" customFormat="1">
      <c r="A18" s="140">
        <v>9386</v>
      </c>
      <c r="B18" s="140" t="s">
        <v>94</v>
      </c>
      <c r="C18" s="140" t="s">
        <v>94</v>
      </c>
      <c r="D18" s="143" t="s">
        <v>8</v>
      </c>
      <c r="E18" s="144">
        <v>43194.644363425927</v>
      </c>
      <c r="F18" s="297">
        <f t="shared" si="6"/>
        <v>43194.644363425927</v>
      </c>
      <c r="G18" s="298" t="str">
        <f t="shared" si="7"/>
        <v>15:27</v>
      </c>
      <c r="H18" s="299" t="str">
        <f t="shared" si="8"/>
        <v>-</v>
      </c>
      <c r="I18" s="300" t="str">
        <f t="shared" si="9"/>
        <v>-</v>
      </c>
      <c r="J18" s="300" t="str">
        <f t="shared" si="10"/>
        <v>-</v>
      </c>
      <c r="K18" s="301">
        <f t="shared" si="11"/>
        <v>0</v>
      </c>
      <c r="L18" s="301"/>
      <c r="M18" s="302">
        <f t="shared" si="12"/>
        <v>0</v>
      </c>
      <c r="N18" s="302">
        <f t="shared" si="13"/>
        <v>0</v>
      </c>
      <c r="O18" s="388"/>
      <c r="P18" s="18"/>
      <c r="Q18" s="382"/>
      <c r="R18" s="9"/>
      <c r="S18" s="9"/>
      <c r="T18"/>
      <c r="U18"/>
      <c r="V18" s="382"/>
      <c r="W18"/>
      <c r="X18" s="391"/>
    </row>
    <row r="19" spans="1:25">
      <c r="A19" s="140">
        <v>9389</v>
      </c>
      <c r="B19" s="140" t="s">
        <v>94</v>
      </c>
      <c r="C19" s="140" t="s">
        <v>94</v>
      </c>
      <c r="D19" s="143" t="s">
        <v>7</v>
      </c>
      <c r="E19" s="144">
        <v>43194.792881944442</v>
      </c>
      <c r="F19" s="297">
        <f t="shared" si="6"/>
        <v>43194.792881944442</v>
      </c>
      <c r="G19" s="298" t="str">
        <f t="shared" si="7"/>
        <v>19:1</v>
      </c>
      <c r="H19" s="299" t="str">
        <f t="shared" si="8"/>
        <v>-</v>
      </c>
      <c r="I19" s="300" t="str">
        <f t="shared" si="9"/>
        <v>-</v>
      </c>
      <c r="J19" s="300" t="str">
        <f t="shared" si="10"/>
        <v>-</v>
      </c>
      <c r="K19" s="301">
        <f t="shared" si="11"/>
        <v>3.3333333333333348</v>
      </c>
      <c r="L19" s="301"/>
      <c r="M19" s="302">
        <f t="shared" si="12"/>
        <v>2</v>
      </c>
      <c r="N19" s="302">
        <f t="shared" si="13"/>
        <v>1.3333333333333348</v>
      </c>
      <c r="O19" s="388"/>
      <c r="Q19" s="382"/>
      <c r="R19" s="8"/>
      <c r="S19" s="63"/>
      <c r="T19" s="2"/>
      <c r="U19" s="2"/>
      <c r="V19" s="382"/>
      <c r="W19" s="63"/>
      <c r="X19" s="63"/>
    </row>
    <row r="20" spans="1:25">
      <c r="A20" s="140">
        <v>9390</v>
      </c>
      <c r="B20" s="140" t="s">
        <v>94</v>
      </c>
      <c r="C20" s="140" t="s">
        <v>94</v>
      </c>
      <c r="D20" s="143" t="s">
        <v>8</v>
      </c>
      <c r="E20" s="144">
        <v>43194.931793981479</v>
      </c>
      <c r="F20" s="297">
        <f t="shared" si="6"/>
        <v>43194.931793981479</v>
      </c>
      <c r="G20" s="298" t="str">
        <f t="shared" si="7"/>
        <v>22:21</v>
      </c>
      <c r="H20" s="299" t="str">
        <f t="shared" si="8"/>
        <v>-</v>
      </c>
      <c r="I20" s="300" t="str">
        <f t="shared" si="9"/>
        <v>-</v>
      </c>
      <c r="J20" s="300" t="str">
        <f t="shared" si="10"/>
        <v>-</v>
      </c>
      <c r="K20" s="301">
        <f t="shared" si="11"/>
        <v>0</v>
      </c>
      <c r="L20" s="301"/>
      <c r="M20" s="302">
        <f t="shared" si="12"/>
        <v>0</v>
      </c>
      <c r="N20" s="302">
        <f t="shared" si="13"/>
        <v>0</v>
      </c>
      <c r="O20" s="388"/>
      <c r="Q20" s="382"/>
      <c r="V20" s="382"/>
    </row>
    <row r="21" spans="1:25">
      <c r="A21" s="140">
        <v>9391</v>
      </c>
      <c r="B21" s="140" t="s">
        <v>94</v>
      </c>
      <c r="C21" s="140" t="s">
        <v>94</v>
      </c>
      <c r="D21" s="143" t="s">
        <v>7</v>
      </c>
      <c r="E21" s="144">
        <v>43195.414861111109</v>
      </c>
      <c r="F21" s="297">
        <f t="shared" si="6"/>
        <v>43195.414861111109</v>
      </c>
      <c r="G21" s="298" t="str">
        <f t="shared" si="7"/>
        <v>9:57</v>
      </c>
      <c r="H21" s="299" t="str">
        <f t="shared" si="8"/>
        <v>-</v>
      </c>
      <c r="I21" s="300" t="str">
        <f t="shared" si="9"/>
        <v>-</v>
      </c>
      <c r="J21" s="300" t="str">
        <f t="shared" si="10"/>
        <v>-</v>
      </c>
      <c r="K21" s="301">
        <f t="shared" si="11"/>
        <v>6.1000000000000023</v>
      </c>
      <c r="L21" s="301"/>
      <c r="M21" s="302">
        <f t="shared" si="12"/>
        <v>2</v>
      </c>
      <c r="N21" s="302">
        <f t="shared" si="13"/>
        <v>4.1000000000000023</v>
      </c>
      <c r="O21" s="388"/>
      <c r="Q21" s="382"/>
      <c r="V21" s="382"/>
    </row>
    <row r="22" spans="1:25">
      <c r="A22" s="140">
        <v>9393</v>
      </c>
      <c r="B22" s="140" t="s">
        <v>94</v>
      </c>
      <c r="C22" s="140" t="s">
        <v>94</v>
      </c>
      <c r="D22" s="143" t="s">
        <v>8</v>
      </c>
      <c r="E22" s="144">
        <v>43195.668900462966</v>
      </c>
      <c r="F22" s="297">
        <f t="shared" si="6"/>
        <v>43195.668900462966</v>
      </c>
      <c r="G22" s="298" t="str">
        <f t="shared" si="7"/>
        <v>16:3</v>
      </c>
      <c r="H22" s="299" t="str">
        <f t="shared" si="8"/>
        <v>-</v>
      </c>
      <c r="I22" s="300" t="str">
        <f t="shared" si="9"/>
        <v>-</v>
      </c>
      <c r="J22" s="300" t="str">
        <f t="shared" si="10"/>
        <v>-</v>
      </c>
      <c r="K22" s="301">
        <f t="shared" si="11"/>
        <v>0</v>
      </c>
      <c r="L22" s="301"/>
      <c r="M22" s="302">
        <f t="shared" si="12"/>
        <v>0</v>
      </c>
      <c r="N22" s="302">
        <f t="shared" si="13"/>
        <v>0</v>
      </c>
      <c r="O22" s="388"/>
      <c r="Q22" s="382"/>
      <c r="V22" s="382"/>
    </row>
    <row r="23" spans="1:25" s="63" customFormat="1">
      <c r="A23" s="140">
        <v>9415</v>
      </c>
      <c r="B23" s="140" t="s">
        <v>94</v>
      </c>
      <c r="C23" s="140" t="s">
        <v>94</v>
      </c>
      <c r="D23" s="143" t="s">
        <v>7</v>
      </c>
      <c r="E23" s="144">
        <v>43197.630416666667</v>
      </c>
      <c r="F23" s="297">
        <f t="shared" si="6"/>
        <v>43197.630416666667</v>
      </c>
      <c r="G23" s="298" t="str">
        <f t="shared" si="7"/>
        <v>15:7</v>
      </c>
      <c r="H23" s="299" t="str">
        <f t="shared" si="8"/>
        <v>-</v>
      </c>
      <c r="I23" s="300" t="str">
        <f t="shared" si="9"/>
        <v>-</v>
      </c>
      <c r="J23" s="300" t="str">
        <f t="shared" si="10"/>
        <v>-</v>
      </c>
      <c r="K23" s="301">
        <f t="shared" si="11"/>
        <v>3.6500000000000004</v>
      </c>
      <c r="L23" s="301"/>
      <c r="M23" s="302">
        <f t="shared" si="12"/>
        <v>2</v>
      </c>
      <c r="N23" s="302">
        <f t="shared" si="13"/>
        <v>1.6500000000000004</v>
      </c>
      <c r="O23" s="388"/>
      <c r="P23" s="18"/>
      <c r="Q23" s="402"/>
      <c r="R23" s="18"/>
      <c r="S23" s="18"/>
      <c r="V23" s="402"/>
    </row>
    <row r="24" spans="1:25" s="63" customFormat="1">
      <c r="A24" s="140">
        <v>9420</v>
      </c>
      <c r="B24" s="140" t="s">
        <v>94</v>
      </c>
      <c r="C24" s="140" t="s">
        <v>94</v>
      </c>
      <c r="D24" s="143" t="s">
        <v>8</v>
      </c>
      <c r="E24" s="144">
        <v>43197.782581018517</v>
      </c>
      <c r="F24" s="297">
        <f t="shared" si="6"/>
        <v>43197.782581018517</v>
      </c>
      <c r="G24" s="298" t="str">
        <f t="shared" si="7"/>
        <v>18:46</v>
      </c>
      <c r="H24" s="299" t="str">
        <f t="shared" si="8"/>
        <v>-</v>
      </c>
      <c r="I24" s="300" t="str">
        <f t="shared" si="9"/>
        <v>-</v>
      </c>
      <c r="J24" s="300" t="str">
        <f t="shared" si="10"/>
        <v>-</v>
      </c>
      <c r="K24" s="301">
        <f t="shared" si="11"/>
        <v>0</v>
      </c>
      <c r="L24" s="301"/>
      <c r="M24" s="302">
        <f t="shared" si="12"/>
        <v>0</v>
      </c>
      <c r="N24" s="302">
        <f t="shared" si="13"/>
        <v>0</v>
      </c>
      <c r="O24" s="388"/>
      <c r="P24" s="18"/>
      <c r="Q24" s="402"/>
      <c r="R24" s="18"/>
      <c r="S24" s="18"/>
      <c r="V24" s="402"/>
    </row>
    <row r="25" spans="1:25" s="305" customFormat="1">
      <c r="A25" s="140">
        <v>9443</v>
      </c>
      <c r="B25" s="140" t="s">
        <v>95</v>
      </c>
      <c r="C25" s="140" t="s">
        <v>94</v>
      </c>
      <c r="D25" s="143" t="s">
        <v>6</v>
      </c>
      <c r="E25" s="144">
        <v>43199.365937499999</v>
      </c>
      <c r="F25" s="297">
        <f t="shared" si="6"/>
        <v>43199.365937499999</v>
      </c>
      <c r="G25" s="298" t="str">
        <f t="shared" si="7"/>
        <v>8:46</v>
      </c>
      <c r="H25" s="299">
        <f t="shared" si="8"/>
        <v>9.5666666666666647</v>
      </c>
      <c r="I25" s="300">
        <f t="shared" si="9"/>
        <v>8</v>
      </c>
      <c r="J25" s="300" t="str">
        <f t="shared" si="10"/>
        <v>-</v>
      </c>
      <c r="K25" s="301">
        <f t="shared" si="11"/>
        <v>0</v>
      </c>
      <c r="L25" s="301"/>
      <c r="M25" s="302">
        <f t="shared" si="12"/>
        <v>0</v>
      </c>
      <c r="N25" s="302">
        <f t="shared" si="13"/>
        <v>0</v>
      </c>
      <c r="O25" s="388"/>
      <c r="P25" s="18"/>
      <c r="Q25" s="382"/>
      <c r="R25" s="18"/>
      <c r="S25" s="63"/>
      <c r="T25" s="63"/>
      <c r="U25" s="63"/>
      <c r="V25" s="382"/>
      <c r="W25" s="63"/>
      <c r="X25" s="63"/>
      <c r="Y25" s="63"/>
    </row>
    <row r="26" spans="1:25">
      <c r="A26" s="140">
        <v>9450</v>
      </c>
      <c r="B26" s="140" t="s">
        <v>94</v>
      </c>
      <c r="C26" s="140" t="s">
        <v>94</v>
      </c>
      <c r="D26" s="143" t="s">
        <v>5</v>
      </c>
      <c r="E26" s="144">
        <v>43199.764085648145</v>
      </c>
      <c r="F26" s="297">
        <f t="shared" si="6"/>
        <v>43199.764085648145</v>
      </c>
      <c r="G26" s="298" t="str">
        <f t="shared" si="7"/>
        <v>18:20</v>
      </c>
      <c r="H26" s="299" t="str">
        <f t="shared" si="8"/>
        <v>-</v>
      </c>
      <c r="I26" s="300" t="str">
        <f t="shared" si="9"/>
        <v>-</v>
      </c>
      <c r="J26" s="300" t="str">
        <f t="shared" si="10"/>
        <v>-</v>
      </c>
      <c r="K26" s="301">
        <f t="shared" si="11"/>
        <v>0</v>
      </c>
      <c r="L26" s="301"/>
      <c r="M26" s="302">
        <f t="shared" si="12"/>
        <v>0</v>
      </c>
      <c r="N26" s="302">
        <f t="shared" si="13"/>
        <v>0</v>
      </c>
      <c r="O26" s="388"/>
      <c r="Q26" s="382"/>
      <c r="R26" s="18"/>
      <c r="S26" s="63"/>
      <c r="T26" s="63"/>
      <c r="U26" s="63"/>
      <c r="V26" s="382"/>
      <c r="W26" s="63"/>
      <c r="X26" s="63"/>
    </row>
    <row r="27" spans="1:25">
      <c r="A27" s="140">
        <v>9462</v>
      </c>
      <c r="B27" s="140" t="s">
        <v>94</v>
      </c>
      <c r="C27" s="140" t="s">
        <v>94</v>
      </c>
      <c r="D27" s="143" t="s">
        <v>7</v>
      </c>
      <c r="E27" s="144">
        <v>43199.793321759258</v>
      </c>
      <c r="F27" s="297">
        <f t="shared" si="6"/>
        <v>43199.793321759258</v>
      </c>
      <c r="G27" s="298" t="str">
        <f t="shared" si="7"/>
        <v>19:2</v>
      </c>
      <c r="H27" s="299" t="str">
        <f t="shared" si="8"/>
        <v>-</v>
      </c>
      <c r="I27" s="300" t="str">
        <f t="shared" si="9"/>
        <v>-</v>
      </c>
      <c r="J27" s="300" t="str">
        <f t="shared" si="10"/>
        <v>-</v>
      </c>
      <c r="K27" s="301">
        <f t="shared" si="11"/>
        <v>4.0499999999999963</v>
      </c>
      <c r="L27" s="301"/>
      <c r="M27" s="302">
        <f t="shared" si="12"/>
        <v>2</v>
      </c>
      <c r="N27" s="302">
        <f t="shared" si="13"/>
        <v>2.0499999999999963</v>
      </c>
      <c r="O27" s="388"/>
      <c r="Q27" s="382"/>
      <c r="V27" s="382"/>
    </row>
    <row r="28" spans="1:25" s="383" customFormat="1">
      <c r="A28" s="140">
        <v>9469</v>
      </c>
      <c r="B28" s="140" t="s">
        <v>94</v>
      </c>
      <c r="C28" s="140" t="s">
        <v>94</v>
      </c>
      <c r="D28" s="143" t="s">
        <v>8</v>
      </c>
      <c r="E28" s="144">
        <v>43199.961863425924</v>
      </c>
      <c r="F28" s="297">
        <f t="shared" si="6"/>
        <v>43199.961863425924</v>
      </c>
      <c r="G28" s="298" t="str">
        <f t="shared" si="7"/>
        <v>23:5</v>
      </c>
      <c r="H28" s="299" t="str">
        <f t="shared" si="8"/>
        <v>-</v>
      </c>
      <c r="I28" s="300" t="str">
        <f t="shared" si="9"/>
        <v>-</v>
      </c>
      <c r="J28" s="300" t="str">
        <f t="shared" si="10"/>
        <v>-</v>
      </c>
      <c r="K28" s="301">
        <f t="shared" si="11"/>
        <v>0</v>
      </c>
      <c r="L28" s="301"/>
      <c r="M28" s="302">
        <f t="shared" si="12"/>
        <v>0</v>
      </c>
      <c r="N28" s="302">
        <f t="shared" si="13"/>
        <v>0</v>
      </c>
      <c r="O28" s="388"/>
      <c r="P28" s="383" t="s">
        <v>19</v>
      </c>
      <c r="Q28" s="382"/>
      <c r="R28" s="9"/>
      <c r="S28" s="9"/>
      <c r="T28"/>
      <c r="U28"/>
      <c r="V28" s="382"/>
      <c r="W28"/>
      <c r="X28" s="391"/>
    </row>
    <row r="29" spans="1:25" s="383" customFormat="1">
      <c r="A29" s="140">
        <v>9475</v>
      </c>
      <c r="B29" s="140" t="s">
        <v>94</v>
      </c>
      <c r="C29" s="140" t="s">
        <v>94</v>
      </c>
      <c r="D29" s="143" t="s">
        <v>6</v>
      </c>
      <c r="E29" s="144">
        <v>43200.368576388886</v>
      </c>
      <c r="F29" s="297">
        <f t="shared" si="6"/>
        <v>43200.368576388886</v>
      </c>
      <c r="G29" s="298" t="str">
        <f t="shared" si="7"/>
        <v>8:50</v>
      </c>
      <c r="H29" s="299">
        <f t="shared" si="8"/>
        <v>9.6666666666666679</v>
      </c>
      <c r="I29" s="300">
        <f t="shared" si="9"/>
        <v>8</v>
      </c>
      <c r="J29" s="300" t="str">
        <f t="shared" si="10"/>
        <v>-</v>
      </c>
      <c r="K29" s="301">
        <f t="shared" si="11"/>
        <v>0</v>
      </c>
      <c r="L29" s="301"/>
      <c r="M29" s="302">
        <f t="shared" si="12"/>
        <v>0</v>
      </c>
      <c r="N29" s="302">
        <f t="shared" si="13"/>
        <v>0</v>
      </c>
      <c r="O29" s="388"/>
      <c r="Q29" s="382"/>
      <c r="V29" s="382"/>
    </row>
    <row r="30" spans="1:25" s="306" customFormat="1">
      <c r="A30" s="140">
        <v>9484</v>
      </c>
      <c r="B30" s="140" t="s">
        <v>95</v>
      </c>
      <c r="C30" s="140" t="s">
        <v>94</v>
      </c>
      <c r="D30" s="143" t="s">
        <v>5</v>
      </c>
      <c r="E30" s="144">
        <v>43200.770856481482</v>
      </c>
      <c r="F30" s="297">
        <f t="shared" si="6"/>
        <v>43200.770856481482</v>
      </c>
      <c r="G30" s="298" t="str">
        <f t="shared" si="7"/>
        <v>18:30</v>
      </c>
      <c r="H30" s="299" t="str">
        <f t="shared" si="8"/>
        <v>-</v>
      </c>
      <c r="I30" s="300" t="str">
        <f t="shared" si="9"/>
        <v>-</v>
      </c>
      <c r="J30" s="300" t="str">
        <f t="shared" si="10"/>
        <v>-</v>
      </c>
      <c r="K30" s="301">
        <f t="shared" si="11"/>
        <v>0</v>
      </c>
      <c r="L30" s="301"/>
      <c r="M30" s="302">
        <f t="shared" si="12"/>
        <v>0</v>
      </c>
      <c r="N30" s="302">
        <f t="shared" si="13"/>
        <v>0</v>
      </c>
      <c r="O30" s="388"/>
      <c r="P30" s="384" t="s">
        <v>19</v>
      </c>
      <c r="Q30" s="382"/>
      <c r="R30" s="383"/>
      <c r="S30" s="383"/>
      <c r="T30" s="383"/>
      <c r="U30" s="383"/>
      <c r="V30" s="382"/>
      <c r="W30" s="383"/>
      <c r="X30" s="383"/>
      <c r="Y30" s="383"/>
    </row>
    <row r="31" spans="1:25" s="306" customFormat="1">
      <c r="A31" s="140">
        <v>9486</v>
      </c>
      <c r="B31" s="140" t="s">
        <v>95</v>
      </c>
      <c r="C31" s="140" t="s">
        <v>94</v>
      </c>
      <c r="D31" s="143" t="s">
        <v>7</v>
      </c>
      <c r="E31" s="144">
        <v>43200.770891203705</v>
      </c>
      <c r="F31" s="297">
        <f t="shared" si="6"/>
        <v>43200.770891203705</v>
      </c>
      <c r="G31" s="298" t="str">
        <f t="shared" si="7"/>
        <v>18:30</v>
      </c>
      <c r="H31" s="299" t="str">
        <f t="shared" si="8"/>
        <v>-</v>
      </c>
      <c r="I31" s="300" t="str">
        <f t="shared" si="9"/>
        <v>-</v>
      </c>
      <c r="J31" s="300" t="str">
        <f t="shared" si="10"/>
        <v>-</v>
      </c>
      <c r="K31" s="301">
        <f t="shared" si="11"/>
        <v>1.8166666666666655</v>
      </c>
      <c r="L31" s="301"/>
      <c r="M31" s="302">
        <f t="shared" si="12"/>
        <v>1.8166666666666655</v>
      </c>
      <c r="N31" s="302">
        <f t="shared" si="13"/>
        <v>0</v>
      </c>
      <c r="O31" s="388"/>
      <c r="P31" s="384"/>
      <c r="Q31" s="382"/>
      <c r="R31" s="384"/>
      <c r="S31" s="383"/>
      <c r="T31" s="384"/>
      <c r="U31" s="384"/>
      <c r="V31" s="382"/>
      <c r="W31" s="384"/>
      <c r="X31" s="383"/>
      <c r="Y31" s="383"/>
    </row>
    <row r="32" spans="1:25" s="305" customFormat="1">
      <c r="A32" s="140">
        <v>9498</v>
      </c>
      <c r="B32" s="140" t="s">
        <v>94</v>
      </c>
      <c r="C32" s="140" t="s">
        <v>94</v>
      </c>
      <c r="D32" s="143" t="s">
        <v>8</v>
      </c>
      <c r="E32" s="144">
        <v>43200.846712962964</v>
      </c>
      <c r="F32" s="297">
        <f t="shared" si="6"/>
        <v>43200.846712962964</v>
      </c>
      <c r="G32" s="298" t="str">
        <f t="shared" si="7"/>
        <v>20:19</v>
      </c>
      <c r="H32" s="299" t="str">
        <f t="shared" si="8"/>
        <v>-</v>
      </c>
      <c r="I32" s="300" t="str">
        <f t="shared" si="9"/>
        <v>-</v>
      </c>
      <c r="J32" s="300" t="str">
        <f t="shared" si="10"/>
        <v>-</v>
      </c>
      <c r="K32" s="301">
        <f t="shared" si="11"/>
        <v>0</v>
      </c>
      <c r="L32" s="301"/>
      <c r="M32" s="302">
        <f t="shared" si="12"/>
        <v>0</v>
      </c>
      <c r="N32" s="302">
        <f t="shared" si="13"/>
        <v>0</v>
      </c>
      <c r="O32" s="388"/>
      <c r="P32" s="18"/>
      <c r="Q32" s="382"/>
      <c r="R32" s="384"/>
      <c r="S32" s="383"/>
      <c r="T32" s="384"/>
      <c r="U32" s="384"/>
      <c r="V32" s="382"/>
      <c r="W32" s="384"/>
      <c r="X32" s="383"/>
      <c r="Y32" s="63"/>
    </row>
    <row r="33" spans="1:26" s="16" customFormat="1">
      <c r="A33" s="140">
        <v>9500</v>
      </c>
      <c r="B33" s="140" t="s">
        <v>94</v>
      </c>
      <c r="C33" s="140" t="s">
        <v>94</v>
      </c>
      <c r="D33" s="143" t="s">
        <v>7</v>
      </c>
      <c r="E33" s="144">
        <v>43200.864351851851</v>
      </c>
      <c r="F33" s="297">
        <f t="shared" si="6"/>
        <v>43200.864351851851</v>
      </c>
      <c r="G33" s="298" t="str">
        <f t="shared" si="7"/>
        <v>20:44</v>
      </c>
      <c r="H33" s="299" t="str">
        <f t="shared" si="8"/>
        <v>-</v>
      </c>
      <c r="I33" s="300" t="str">
        <f t="shared" si="9"/>
        <v>-</v>
      </c>
      <c r="J33" s="300" t="str">
        <f t="shared" si="10"/>
        <v>-</v>
      </c>
      <c r="K33" s="301">
        <f t="shared" si="11"/>
        <v>1.4666666666666641</v>
      </c>
      <c r="L33" s="301"/>
      <c r="M33" s="302">
        <f t="shared" si="12"/>
        <v>1.4666666666666641</v>
      </c>
      <c r="N33" s="302">
        <f t="shared" si="13"/>
        <v>0</v>
      </c>
      <c r="O33" s="388"/>
      <c r="P33" s="137"/>
      <c r="Q33" s="382"/>
      <c r="R33" s="18"/>
      <c r="S33" s="63"/>
      <c r="T33" s="63"/>
      <c r="U33" s="63"/>
      <c r="V33" s="382"/>
      <c r="W33" s="63"/>
      <c r="X33" s="63"/>
    </row>
    <row r="34" spans="1:26" s="16" customFormat="1">
      <c r="A34" s="140">
        <v>9506</v>
      </c>
      <c r="B34" s="140" t="s">
        <v>94</v>
      </c>
      <c r="C34" s="140" t="s">
        <v>94</v>
      </c>
      <c r="D34" s="143" t="s">
        <v>8</v>
      </c>
      <c r="E34" s="144">
        <v>43200.925405092596</v>
      </c>
      <c r="F34" s="297">
        <f t="shared" si="6"/>
        <v>43200.925405092596</v>
      </c>
      <c r="G34" s="298" t="str">
        <f t="shared" si="7"/>
        <v>22:12</v>
      </c>
      <c r="H34" s="299" t="str">
        <f t="shared" si="8"/>
        <v>-</v>
      </c>
      <c r="I34" s="300" t="str">
        <f t="shared" si="9"/>
        <v>-</v>
      </c>
      <c r="J34" s="300" t="str">
        <f t="shared" si="10"/>
        <v>-</v>
      </c>
      <c r="K34" s="301">
        <f t="shared" si="11"/>
        <v>0</v>
      </c>
      <c r="L34" s="301"/>
      <c r="M34" s="302">
        <f t="shared" si="12"/>
        <v>0</v>
      </c>
      <c r="N34" s="302">
        <f t="shared" si="13"/>
        <v>0</v>
      </c>
      <c r="O34" s="388"/>
      <c r="P34" s="137"/>
      <c r="Q34" s="382"/>
      <c r="R34" s="18"/>
      <c r="S34" s="63"/>
      <c r="T34" s="63"/>
      <c r="U34" s="63"/>
      <c r="V34" s="382"/>
      <c r="W34" s="63"/>
      <c r="X34" s="63"/>
    </row>
    <row r="35" spans="1:26" s="63" customFormat="1">
      <c r="A35" s="140">
        <v>9508</v>
      </c>
      <c r="B35" s="140" t="s">
        <v>94</v>
      </c>
      <c r="C35" s="140" t="s">
        <v>94</v>
      </c>
      <c r="D35" s="143" t="s">
        <v>6</v>
      </c>
      <c r="E35" s="144">
        <v>43201.364606481482</v>
      </c>
      <c r="F35" s="297">
        <f t="shared" si="6"/>
        <v>43201.364606481482</v>
      </c>
      <c r="G35" s="298" t="str">
        <f t="shared" si="7"/>
        <v>8:45</v>
      </c>
      <c r="H35" s="299">
        <f t="shared" si="8"/>
        <v>9.6000000000000014</v>
      </c>
      <c r="I35" s="300">
        <f t="shared" si="9"/>
        <v>8</v>
      </c>
      <c r="J35" s="300" t="str">
        <f t="shared" si="10"/>
        <v>-</v>
      </c>
      <c r="K35" s="301">
        <f t="shared" si="11"/>
        <v>0</v>
      </c>
      <c r="L35" s="301"/>
      <c r="M35" s="302">
        <f t="shared" si="12"/>
        <v>0</v>
      </c>
      <c r="N35" s="302">
        <f t="shared" si="13"/>
        <v>0</v>
      </c>
      <c r="O35" s="388"/>
      <c r="P35" s="18"/>
      <c r="Q35" s="402"/>
      <c r="R35" s="18"/>
      <c r="V35" s="402"/>
    </row>
    <row r="36" spans="1:26" s="63" customFormat="1">
      <c r="A36" s="140">
        <v>9520</v>
      </c>
      <c r="B36" s="140" t="s">
        <v>94</v>
      </c>
      <c r="C36" s="140" t="s">
        <v>94</v>
      </c>
      <c r="D36" s="143" t="s">
        <v>5</v>
      </c>
      <c r="E36" s="144">
        <v>43201.764918981484</v>
      </c>
      <c r="F36" s="297">
        <f t="shared" si="6"/>
        <v>43201.764918981484</v>
      </c>
      <c r="G36" s="298" t="str">
        <f t="shared" si="7"/>
        <v>18:21</v>
      </c>
      <c r="H36" s="299" t="str">
        <f t="shared" si="8"/>
        <v>-</v>
      </c>
      <c r="I36" s="300" t="str">
        <f t="shared" si="9"/>
        <v>-</v>
      </c>
      <c r="J36" s="300" t="str">
        <f t="shared" si="10"/>
        <v>-</v>
      </c>
      <c r="K36" s="301">
        <f t="shared" si="11"/>
        <v>0</v>
      </c>
      <c r="L36" s="301"/>
      <c r="M36" s="302">
        <f t="shared" si="12"/>
        <v>0</v>
      </c>
      <c r="N36" s="302">
        <f t="shared" si="13"/>
        <v>0</v>
      </c>
      <c r="O36" s="388"/>
      <c r="P36" s="18"/>
      <c r="Q36" s="402"/>
      <c r="R36" s="18"/>
      <c r="V36" s="402"/>
    </row>
    <row r="37" spans="1:26" s="304" customFormat="1">
      <c r="A37" s="140">
        <v>9538</v>
      </c>
      <c r="B37" s="140" t="s">
        <v>95</v>
      </c>
      <c r="C37" s="140" t="s">
        <v>94</v>
      </c>
      <c r="D37" s="143" t="s">
        <v>6</v>
      </c>
      <c r="E37" s="144">
        <v>43202.365717592591</v>
      </c>
      <c r="F37" s="297">
        <f t="shared" si="6"/>
        <v>43202.365717592591</v>
      </c>
      <c r="G37" s="298" t="str">
        <f t="shared" si="7"/>
        <v>8:46</v>
      </c>
      <c r="H37" s="299">
        <f t="shared" si="8"/>
        <v>9.7333333333333343</v>
      </c>
      <c r="I37" s="300">
        <f t="shared" si="9"/>
        <v>8</v>
      </c>
      <c r="J37" s="300" t="str">
        <f t="shared" si="10"/>
        <v>-</v>
      </c>
      <c r="K37" s="301">
        <f t="shared" si="11"/>
        <v>0</v>
      </c>
      <c r="L37" s="301"/>
      <c r="M37" s="302">
        <f t="shared" si="12"/>
        <v>0</v>
      </c>
      <c r="N37" s="302">
        <f t="shared" si="13"/>
        <v>0</v>
      </c>
      <c r="O37" s="388"/>
      <c r="P37" s="18"/>
      <c r="Q37" s="382"/>
      <c r="R37" s="18"/>
      <c r="S37" s="63"/>
      <c r="T37" s="63"/>
      <c r="U37" s="63"/>
      <c r="V37" s="382"/>
      <c r="W37" s="63"/>
      <c r="X37" s="63"/>
      <c r="Y37" s="63"/>
      <c r="Z37" s="305"/>
    </row>
    <row r="38" spans="1:26" s="304" customFormat="1">
      <c r="A38" s="140">
        <v>9556</v>
      </c>
      <c r="B38" s="140" t="s">
        <v>95</v>
      </c>
      <c r="C38" s="140" t="s">
        <v>94</v>
      </c>
      <c r="D38" s="143" t="s">
        <v>5</v>
      </c>
      <c r="E38" s="144">
        <v>43202.771504629629</v>
      </c>
      <c r="F38" s="297">
        <f t="shared" si="6"/>
        <v>43202.771504629629</v>
      </c>
      <c r="G38" s="298" t="str">
        <f t="shared" si="7"/>
        <v>18:30</v>
      </c>
      <c r="H38" s="299" t="str">
        <f t="shared" si="8"/>
        <v>-</v>
      </c>
      <c r="I38" s="300" t="str">
        <f t="shared" si="9"/>
        <v>-</v>
      </c>
      <c r="J38" s="300" t="str">
        <f t="shared" si="10"/>
        <v>-</v>
      </c>
      <c r="K38" s="301">
        <f t="shared" si="11"/>
        <v>0</v>
      </c>
      <c r="L38" s="301"/>
      <c r="M38" s="302">
        <f t="shared" si="12"/>
        <v>0</v>
      </c>
      <c r="N38" s="302">
        <f t="shared" si="13"/>
        <v>0</v>
      </c>
      <c r="O38" s="388"/>
      <c r="P38" s="18"/>
      <c r="Q38" s="382"/>
      <c r="R38" s="18"/>
      <c r="S38" s="18"/>
      <c r="T38" s="63"/>
      <c r="U38" s="63"/>
      <c r="V38" s="382"/>
      <c r="W38" s="63"/>
      <c r="X38" s="63"/>
      <c r="Y38" s="63"/>
      <c r="Z38" s="305"/>
    </row>
    <row r="39" spans="1:26" s="18" customFormat="1">
      <c r="A39" s="140">
        <v>9557</v>
      </c>
      <c r="B39" s="140" t="s">
        <v>95</v>
      </c>
      <c r="C39" s="140" t="s">
        <v>94</v>
      </c>
      <c r="D39" s="143" t="s">
        <v>7</v>
      </c>
      <c r="E39" s="144">
        <v>43202.77275462963</v>
      </c>
      <c r="F39" s="297">
        <f t="shared" si="6"/>
        <v>43202.77275462963</v>
      </c>
      <c r="G39" s="298" t="str">
        <f t="shared" si="7"/>
        <v>18:32</v>
      </c>
      <c r="H39" s="299" t="str">
        <f t="shared" si="8"/>
        <v>-</v>
      </c>
      <c r="I39" s="300" t="str">
        <f t="shared" si="9"/>
        <v>-</v>
      </c>
      <c r="J39" s="300" t="str">
        <f t="shared" si="10"/>
        <v>-</v>
      </c>
      <c r="K39" s="301">
        <f t="shared" si="11"/>
        <v>2.0333333333333314</v>
      </c>
      <c r="L39" s="301"/>
      <c r="M39" s="302">
        <f t="shared" si="12"/>
        <v>2</v>
      </c>
      <c r="N39" s="302">
        <f t="shared" si="13"/>
        <v>3.3333333333331439E-2</v>
      </c>
      <c r="O39" s="388"/>
      <c r="Q39" s="402"/>
      <c r="U39" s="63"/>
      <c r="V39" s="402"/>
      <c r="W39" s="63"/>
      <c r="X39" s="63"/>
    </row>
    <row r="40" spans="1:26" s="18" customFormat="1">
      <c r="A40" s="140">
        <v>9564</v>
      </c>
      <c r="B40" s="140" t="s">
        <v>95</v>
      </c>
      <c r="C40" s="140" t="s">
        <v>94</v>
      </c>
      <c r="D40" s="143" t="s">
        <v>8</v>
      </c>
      <c r="E40" s="144">
        <v>43202.85733796296</v>
      </c>
      <c r="F40" s="297">
        <f t="shared" si="6"/>
        <v>43202.85733796296</v>
      </c>
      <c r="G40" s="298" t="str">
        <f t="shared" si="7"/>
        <v>20:34</v>
      </c>
      <c r="H40" s="299" t="str">
        <f t="shared" si="8"/>
        <v>-</v>
      </c>
      <c r="I40" s="300" t="str">
        <f t="shared" si="9"/>
        <v>-</v>
      </c>
      <c r="J40" s="300" t="str">
        <f t="shared" si="10"/>
        <v>-</v>
      </c>
      <c r="K40" s="301">
        <f t="shared" si="11"/>
        <v>0</v>
      </c>
      <c r="L40" s="301"/>
      <c r="M40" s="302">
        <f t="shared" si="12"/>
        <v>0</v>
      </c>
      <c r="N40" s="302">
        <f t="shared" si="13"/>
        <v>0</v>
      </c>
      <c r="O40" s="388"/>
      <c r="Q40" s="402"/>
      <c r="U40" s="63"/>
      <c r="V40" s="402"/>
      <c r="W40" s="63"/>
      <c r="X40" s="63"/>
    </row>
    <row r="41" spans="1:26" s="396" customFormat="1">
      <c r="A41" s="140">
        <v>9567</v>
      </c>
      <c r="B41" s="140" t="s">
        <v>94</v>
      </c>
      <c r="C41" s="140" t="s">
        <v>94</v>
      </c>
      <c r="D41" s="143" t="s">
        <v>6</v>
      </c>
      <c r="E41" s="144">
        <v>43203.364722222221</v>
      </c>
      <c r="F41" s="297">
        <f t="shared" si="6"/>
        <v>43203.364722222221</v>
      </c>
      <c r="G41" s="298" t="str">
        <f t="shared" si="7"/>
        <v>8:45</v>
      </c>
      <c r="H41" s="299">
        <f t="shared" si="8"/>
        <v>9.7666666666666657</v>
      </c>
      <c r="I41" s="300">
        <f t="shared" si="9"/>
        <v>8</v>
      </c>
      <c r="J41" s="300" t="str">
        <f t="shared" si="10"/>
        <v>-</v>
      </c>
      <c r="K41" s="301">
        <f t="shared" si="11"/>
        <v>0</v>
      </c>
      <c r="L41" s="301"/>
      <c r="M41" s="302">
        <f t="shared" si="12"/>
        <v>0</v>
      </c>
      <c r="N41" s="302">
        <f t="shared" si="13"/>
        <v>0</v>
      </c>
      <c r="O41" s="388"/>
      <c r="Q41" s="382"/>
      <c r="R41" s="18"/>
      <c r="S41" s="18"/>
      <c r="T41" s="63"/>
      <c r="U41" s="63"/>
      <c r="V41" s="382"/>
      <c r="W41" s="63"/>
      <c r="X41" s="63"/>
    </row>
    <row r="42" spans="1:26" s="396" customFormat="1">
      <c r="A42" s="140">
        <v>9576</v>
      </c>
      <c r="B42" s="140" t="s">
        <v>94</v>
      </c>
      <c r="C42" s="140" t="s">
        <v>94</v>
      </c>
      <c r="D42" s="143" t="s">
        <v>5</v>
      </c>
      <c r="E42" s="144">
        <v>43203.771921296298</v>
      </c>
      <c r="F42" s="297">
        <f t="shared" si="6"/>
        <v>43203.771921296298</v>
      </c>
      <c r="G42" s="298" t="str">
        <f t="shared" si="7"/>
        <v>18:31</v>
      </c>
      <c r="H42" s="299" t="str">
        <f t="shared" si="8"/>
        <v>-</v>
      </c>
      <c r="I42" s="300" t="str">
        <f t="shared" si="9"/>
        <v>-</v>
      </c>
      <c r="J42" s="300" t="str">
        <f t="shared" si="10"/>
        <v>-</v>
      </c>
      <c r="K42" s="301">
        <f t="shared" si="11"/>
        <v>0</v>
      </c>
      <c r="L42" s="301"/>
      <c r="M42" s="302">
        <f t="shared" si="12"/>
        <v>0</v>
      </c>
      <c r="N42" s="302">
        <f t="shared" si="13"/>
        <v>0</v>
      </c>
      <c r="O42" s="388"/>
      <c r="Q42" s="382"/>
      <c r="R42" s="18"/>
      <c r="S42" s="18"/>
      <c r="T42" s="63"/>
      <c r="U42" s="63"/>
      <c r="V42" s="382"/>
      <c r="W42" s="63"/>
      <c r="X42" s="63"/>
    </row>
    <row r="43" spans="1:26" s="16" customFormat="1">
      <c r="A43" s="140">
        <v>9578</v>
      </c>
      <c r="B43" s="140" t="s">
        <v>94</v>
      </c>
      <c r="C43" s="140" t="s">
        <v>94</v>
      </c>
      <c r="D43" s="143" t="s">
        <v>7</v>
      </c>
      <c r="E43" s="144">
        <v>43203.771979166668</v>
      </c>
      <c r="F43" s="297">
        <f t="shared" si="6"/>
        <v>43203.771979166668</v>
      </c>
      <c r="G43" s="298" t="str">
        <f t="shared" si="7"/>
        <v>18:31</v>
      </c>
      <c r="H43" s="299" t="str">
        <f t="shared" si="8"/>
        <v>-</v>
      </c>
      <c r="I43" s="300" t="str">
        <f t="shared" si="9"/>
        <v>-</v>
      </c>
      <c r="J43" s="300" t="str">
        <f t="shared" si="10"/>
        <v>-</v>
      </c>
      <c r="K43" s="301">
        <f t="shared" si="11"/>
        <v>2.8166666666666673</v>
      </c>
      <c r="L43" s="301"/>
      <c r="M43" s="302">
        <f t="shared" si="12"/>
        <v>2</v>
      </c>
      <c r="N43" s="302">
        <f t="shared" si="13"/>
        <v>0.81666666666666732</v>
      </c>
      <c r="O43" s="388"/>
      <c r="P43" s="137"/>
      <c r="Q43" s="382"/>
      <c r="R43" s="9"/>
      <c r="S43" s="63"/>
      <c r="T43"/>
      <c r="U43"/>
      <c r="V43" s="382"/>
      <c r="W43"/>
      <c r="X43" s="391"/>
    </row>
    <row r="44" spans="1:26" s="16" customFormat="1">
      <c r="A44" s="140">
        <v>9590</v>
      </c>
      <c r="B44" s="140" t="s">
        <v>94</v>
      </c>
      <c r="C44" s="140" t="s">
        <v>94</v>
      </c>
      <c r="D44" s="143" t="s">
        <v>8</v>
      </c>
      <c r="E44" s="144">
        <v>43203.889502314814</v>
      </c>
      <c r="F44" s="297">
        <f t="shared" si="6"/>
        <v>43203.889502314814</v>
      </c>
      <c r="G44" s="298" t="str">
        <f t="shared" si="7"/>
        <v>21:20</v>
      </c>
      <c r="H44" s="299" t="str">
        <f t="shared" si="8"/>
        <v>-</v>
      </c>
      <c r="I44" s="300" t="str">
        <f t="shared" si="9"/>
        <v>-</v>
      </c>
      <c r="J44" s="300" t="str">
        <f t="shared" si="10"/>
        <v>-</v>
      </c>
      <c r="K44" s="301">
        <f t="shared" si="11"/>
        <v>0</v>
      </c>
      <c r="L44" s="301"/>
      <c r="M44" s="302">
        <f t="shared" si="12"/>
        <v>0</v>
      </c>
      <c r="N44" s="302">
        <f t="shared" si="13"/>
        <v>0</v>
      </c>
      <c r="O44" s="388"/>
      <c r="P44" s="137"/>
      <c r="Q44" s="382"/>
      <c r="R44" s="9"/>
      <c r="S44" s="63"/>
      <c r="T44"/>
      <c r="U44"/>
      <c r="V44" s="382"/>
      <c r="W44"/>
      <c r="X44" s="391"/>
    </row>
    <row r="45" spans="1:26">
      <c r="A45">
        <v>9598</v>
      </c>
      <c r="B45" t="s">
        <v>94</v>
      </c>
      <c r="C45" t="s">
        <v>94</v>
      </c>
      <c r="D45" s="143" t="s">
        <v>7</v>
      </c>
      <c r="E45" s="144">
        <v>43205.532511574071</v>
      </c>
      <c r="F45" s="297">
        <f t="shared" si="6"/>
        <v>43205.532511574071</v>
      </c>
      <c r="G45" s="298" t="str">
        <f t="shared" si="7"/>
        <v>12:46</v>
      </c>
      <c r="H45" s="299" t="str">
        <f t="shared" si="8"/>
        <v>-</v>
      </c>
      <c r="I45" s="300" t="str">
        <f t="shared" si="9"/>
        <v>-</v>
      </c>
      <c r="J45" s="300" t="str">
        <f t="shared" si="10"/>
        <v>-</v>
      </c>
      <c r="K45" s="301">
        <f t="shared" si="11"/>
        <v>6.1</v>
      </c>
      <c r="L45" s="301"/>
      <c r="M45" s="302">
        <f t="shared" si="12"/>
        <v>2</v>
      </c>
      <c r="N45" s="302">
        <f t="shared" si="13"/>
        <v>4.0999999999999996</v>
      </c>
      <c r="O45" s="388"/>
      <c r="P45" s="307"/>
      <c r="Q45" s="382"/>
      <c r="V45" s="382"/>
    </row>
    <row r="46" spans="1:26">
      <c r="A46">
        <v>9600</v>
      </c>
      <c r="B46" t="s">
        <v>94</v>
      </c>
      <c r="C46" t="s">
        <v>94</v>
      </c>
      <c r="D46" s="143" t="s">
        <v>8</v>
      </c>
      <c r="E46" s="144">
        <v>43205.786620370367</v>
      </c>
      <c r="F46" s="297">
        <f t="shared" si="6"/>
        <v>43205.786620370367</v>
      </c>
      <c r="G46" s="298" t="str">
        <f t="shared" si="7"/>
        <v>18:52</v>
      </c>
      <c r="H46" s="299" t="str">
        <f t="shared" si="8"/>
        <v>-</v>
      </c>
      <c r="I46" s="300" t="str">
        <f t="shared" si="9"/>
        <v>-</v>
      </c>
      <c r="J46" s="300" t="str">
        <f t="shared" si="10"/>
        <v>-</v>
      </c>
      <c r="K46" s="301">
        <f t="shared" si="11"/>
        <v>0</v>
      </c>
      <c r="L46" s="301"/>
      <c r="M46" s="302">
        <f t="shared" si="12"/>
        <v>0</v>
      </c>
      <c r="N46" s="302">
        <f t="shared" si="13"/>
        <v>0</v>
      </c>
      <c r="O46" s="388"/>
      <c r="P46" s="307"/>
      <c r="Q46" s="382"/>
      <c r="V46" s="382"/>
    </row>
    <row r="47" spans="1:26" customFormat="1">
      <c r="A47">
        <v>9605</v>
      </c>
      <c r="B47" t="s">
        <v>110</v>
      </c>
      <c r="C47" t="s">
        <v>94</v>
      </c>
      <c r="D47" s="143" t="s">
        <v>6</v>
      </c>
      <c r="E47" s="144">
        <v>43206.366087962961</v>
      </c>
      <c r="F47" s="297">
        <f t="shared" si="6"/>
        <v>43206.366087962961</v>
      </c>
      <c r="G47" s="298" t="str">
        <f t="shared" si="7"/>
        <v>8:47</v>
      </c>
      <c r="H47" s="299">
        <f t="shared" si="8"/>
        <v>9.6</v>
      </c>
      <c r="I47" s="300">
        <f t="shared" si="9"/>
        <v>8</v>
      </c>
      <c r="J47" s="300" t="str">
        <f t="shared" si="10"/>
        <v>-</v>
      </c>
      <c r="K47" s="301">
        <f t="shared" si="11"/>
        <v>0</v>
      </c>
      <c r="L47" s="301"/>
      <c r="M47" s="302">
        <f t="shared" si="12"/>
        <v>0</v>
      </c>
      <c r="N47" s="302">
        <f t="shared" si="13"/>
        <v>0</v>
      </c>
      <c r="O47" s="388"/>
      <c r="P47" s="307"/>
      <c r="Q47" s="382"/>
      <c r="R47" s="9"/>
      <c r="S47" s="9"/>
      <c r="V47" s="382"/>
      <c r="X47" s="391"/>
      <c r="Y47" s="391"/>
      <c r="Z47" s="261"/>
    </row>
    <row r="48" spans="1:26" customFormat="1">
      <c r="A48">
        <v>9615</v>
      </c>
      <c r="B48" t="s">
        <v>94</v>
      </c>
      <c r="C48" t="s">
        <v>94</v>
      </c>
      <c r="D48" s="143" t="s">
        <v>5</v>
      </c>
      <c r="E48" s="144">
        <v>43206.766122685185</v>
      </c>
      <c r="F48" s="297">
        <f t="shared" si="6"/>
        <v>43206.766122685185</v>
      </c>
      <c r="G48" s="298" t="str">
        <f t="shared" si="7"/>
        <v>18:23</v>
      </c>
      <c r="H48" s="299" t="str">
        <f t="shared" si="8"/>
        <v>-</v>
      </c>
      <c r="I48" s="300" t="str">
        <f t="shared" si="9"/>
        <v>-</v>
      </c>
      <c r="J48" s="300" t="str">
        <f t="shared" si="10"/>
        <v>-</v>
      </c>
      <c r="K48" s="301">
        <f t="shared" si="11"/>
        <v>0</v>
      </c>
      <c r="L48" s="301"/>
      <c r="M48" s="302">
        <f t="shared" si="12"/>
        <v>0</v>
      </c>
      <c r="N48" s="302">
        <f t="shared" si="13"/>
        <v>0</v>
      </c>
      <c r="O48" s="388"/>
      <c r="P48" s="307"/>
      <c r="Q48" s="382"/>
      <c r="R48" s="9"/>
      <c r="S48" s="9"/>
      <c r="X48" s="391"/>
      <c r="Y48" s="391"/>
      <c r="Z48" s="261"/>
    </row>
    <row r="49" spans="1:26" s="63" customFormat="1">
      <c r="A49">
        <v>9616</v>
      </c>
      <c r="B49" t="s">
        <v>94</v>
      </c>
      <c r="C49" t="s">
        <v>94</v>
      </c>
      <c r="D49" s="143" t="s">
        <v>7</v>
      </c>
      <c r="E49" s="144">
        <v>43206.766168981485</v>
      </c>
      <c r="F49" s="297">
        <f t="shared" si="6"/>
        <v>43206.766168981485</v>
      </c>
      <c r="G49" s="298" t="str">
        <f t="shared" si="7"/>
        <v>18:23</v>
      </c>
      <c r="H49" s="299" t="str">
        <f t="shared" si="8"/>
        <v>-</v>
      </c>
      <c r="I49" s="300" t="str">
        <f t="shared" si="9"/>
        <v>-</v>
      </c>
      <c r="J49" s="300" t="str">
        <f t="shared" si="10"/>
        <v>-</v>
      </c>
      <c r="K49" s="301">
        <f t="shared" si="11"/>
        <v>0.33333333333333215</v>
      </c>
      <c r="L49" s="301"/>
      <c r="M49" s="302">
        <f t="shared" si="12"/>
        <v>0.33333333333333215</v>
      </c>
      <c r="N49" s="302">
        <f t="shared" si="13"/>
        <v>0</v>
      </c>
      <c r="O49" s="388"/>
      <c r="P49" s="169"/>
      <c r="Q49" s="402"/>
      <c r="R49" s="18"/>
      <c r="S49" s="18"/>
    </row>
    <row r="50" spans="1:26" s="63" customFormat="1">
      <c r="A50">
        <v>9624</v>
      </c>
      <c r="B50" t="s">
        <v>94</v>
      </c>
      <c r="C50" t="s">
        <v>94</v>
      </c>
      <c r="D50" s="143" t="s">
        <v>8</v>
      </c>
      <c r="E50" s="144">
        <v>43206.780185185184</v>
      </c>
      <c r="F50" s="297">
        <f t="shared" si="6"/>
        <v>43206.780185185184</v>
      </c>
      <c r="G50" s="298" t="str">
        <f t="shared" si="7"/>
        <v>18:43</v>
      </c>
      <c r="H50" s="299" t="str">
        <f t="shared" si="8"/>
        <v>-</v>
      </c>
      <c r="I50" s="300" t="str">
        <f t="shared" si="9"/>
        <v>-</v>
      </c>
      <c r="J50" s="300" t="str">
        <f t="shared" si="10"/>
        <v>-</v>
      </c>
      <c r="K50" s="301">
        <f t="shared" si="11"/>
        <v>0</v>
      </c>
      <c r="L50" s="301"/>
      <c r="M50" s="302">
        <f t="shared" si="12"/>
        <v>0</v>
      </c>
      <c r="N50" s="302">
        <f t="shared" si="13"/>
        <v>0</v>
      </c>
      <c r="O50" s="388"/>
      <c r="P50" s="169"/>
      <c r="Q50" s="402"/>
      <c r="R50" s="18"/>
      <c r="S50" s="18"/>
    </row>
    <row r="51" spans="1:26" customFormat="1">
      <c r="A51">
        <v>9629</v>
      </c>
      <c r="B51" t="s">
        <v>94</v>
      </c>
      <c r="C51" t="s">
        <v>94</v>
      </c>
      <c r="D51" s="143" t="s">
        <v>7</v>
      </c>
      <c r="E51" s="144">
        <v>43206.804675925923</v>
      </c>
      <c r="F51" s="297">
        <f t="shared" si="6"/>
        <v>43206.804675925923</v>
      </c>
      <c r="G51" s="298" t="str">
        <f t="shared" si="7"/>
        <v>19:18</v>
      </c>
      <c r="H51" s="299" t="str">
        <f t="shared" si="8"/>
        <v>-</v>
      </c>
      <c r="I51" s="300" t="str">
        <f t="shared" si="9"/>
        <v>-</v>
      </c>
      <c r="J51" s="300" t="str">
        <f t="shared" si="10"/>
        <v>-</v>
      </c>
      <c r="K51" s="301">
        <f t="shared" si="11"/>
        <v>3.0166666666666666</v>
      </c>
      <c r="L51" s="301"/>
      <c r="M51" s="302">
        <f t="shared" si="12"/>
        <v>2</v>
      </c>
      <c r="N51" s="302">
        <f t="shared" si="13"/>
        <v>1.0166666666666666</v>
      </c>
      <c r="O51" s="388"/>
      <c r="P51" s="307"/>
      <c r="Q51" s="9"/>
      <c r="R51" s="9"/>
      <c r="S51" s="9"/>
      <c r="X51" s="391"/>
      <c r="Y51" s="391"/>
      <c r="Z51" s="261"/>
    </row>
    <row r="52" spans="1:26" customFormat="1">
      <c r="A52">
        <v>9641</v>
      </c>
      <c r="B52" t="s">
        <v>94</v>
      </c>
      <c r="C52" t="s">
        <v>94</v>
      </c>
      <c r="D52" s="143" t="s">
        <v>8</v>
      </c>
      <c r="E52" s="144">
        <v>43206.9299537037</v>
      </c>
      <c r="F52" s="297">
        <f t="shared" si="6"/>
        <v>43206.9299537037</v>
      </c>
      <c r="G52" s="298" t="str">
        <f t="shared" si="7"/>
        <v>22:19</v>
      </c>
      <c r="H52" s="299" t="str">
        <f t="shared" si="8"/>
        <v>-</v>
      </c>
      <c r="I52" s="300" t="str">
        <f t="shared" si="9"/>
        <v>-</v>
      </c>
      <c r="J52" s="300" t="str">
        <f t="shared" si="10"/>
        <v>-</v>
      </c>
      <c r="K52" s="301">
        <f t="shared" si="11"/>
        <v>0</v>
      </c>
      <c r="L52" s="301"/>
      <c r="M52" s="302">
        <f t="shared" si="12"/>
        <v>0</v>
      </c>
      <c r="N52" s="302">
        <f t="shared" si="13"/>
        <v>0</v>
      </c>
      <c r="O52" s="388"/>
      <c r="P52" s="307"/>
      <c r="Q52" s="9"/>
      <c r="R52" s="9"/>
      <c r="S52" s="9"/>
      <c r="X52" s="391"/>
      <c r="Y52" s="391"/>
      <c r="Z52" s="261"/>
    </row>
    <row r="53" spans="1:26" customFormat="1">
      <c r="A53">
        <v>9647</v>
      </c>
      <c r="B53" t="s">
        <v>95</v>
      </c>
      <c r="C53" t="s">
        <v>94</v>
      </c>
      <c r="D53" s="143" t="s">
        <v>6</v>
      </c>
      <c r="E53" s="144">
        <v>43207.370891203704</v>
      </c>
      <c r="F53" s="297">
        <f t="shared" si="6"/>
        <v>43207.370891203704</v>
      </c>
      <c r="G53" s="298" t="str">
        <f t="shared" si="7"/>
        <v>8:54</v>
      </c>
      <c r="H53" s="299">
        <f t="shared" si="8"/>
        <v>9.65</v>
      </c>
      <c r="I53" s="300">
        <f t="shared" si="9"/>
        <v>8</v>
      </c>
      <c r="J53" s="300" t="str">
        <f t="shared" si="10"/>
        <v>-</v>
      </c>
      <c r="K53" s="301">
        <f t="shared" si="11"/>
        <v>0</v>
      </c>
      <c r="L53" s="301"/>
      <c r="M53" s="302">
        <f t="shared" si="12"/>
        <v>0</v>
      </c>
      <c r="N53" s="302">
        <f t="shared" si="13"/>
        <v>0</v>
      </c>
      <c r="O53" s="388"/>
      <c r="P53" s="307"/>
      <c r="Q53" s="9"/>
      <c r="R53" s="9"/>
      <c r="S53" s="9"/>
      <c r="X53" s="391"/>
      <c r="Y53" s="391"/>
      <c r="Z53" s="261"/>
    </row>
    <row r="54" spans="1:26" customFormat="1">
      <c r="A54">
        <v>9662</v>
      </c>
      <c r="B54" t="s">
        <v>94</v>
      </c>
      <c r="C54" t="s">
        <v>94</v>
      </c>
      <c r="D54" s="143" t="s">
        <v>5</v>
      </c>
      <c r="E54" s="144">
        <v>43207.773136574076</v>
      </c>
      <c r="F54" s="297">
        <f t="shared" si="6"/>
        <v>43207.773136574076</v>
      </c>
      <c r="G54" s="298" t="str">
        <f t="shared" si="7"/>
        <v>18:33</v>
      </c>
      <c r="H54" s="299" t="str">
        <f t="shared" si="8"/>
        <v>-</v>
      </c>
      <c r="I54" s="300" t="str">
        <f t="shared" si="9"/>
        <v>-</v>
      </c>
      <c r="J54" s="300" t="str">
        <f t="shared" si="10"/>
        <v>-</v>
      </c>
      <c r="K54" s="301">
        <f t="shared" si="11"/>
        <v>0</v>
      </c>
      <c r="L54" s="301"/>
      <c r="M54" s="302">
        <f t="shared" si="12"/>
        <v>0</v>
      </c>
      <c r="N54" s="302">
        <f t="shared" si="13"/>
        <v>0</v>
      </c>
      <c r="O54" s="388"/>
      <c r="P54" s="307"/>
      <c r="Q54" s="9"/>
      <c r="R54" s="9"/>
      <c r="S54" s="9"/>
      <c r="X54" s="391"/>
      <c r="Y54" s="391"/>
      <c r="Z54" s="261"/>
    </row>
    <row r="55" spans="1:26" customFormat="1">
      <c r="A55">
        <v>9669</v>
      </c>
      <c r="B55" t="s">
        <v>94</v>
      </c>
      <c r="C55" t="s">
        <v>94</v>
      </c>
      <c r="D55" s="143" t="s">
        <v>6</v>
      </c>
      <c r="E55" s="144">
        <v>43208.366666666669</v>
      </c>
      <c r="F55" s="297">
        <f t="shared" si="6"/>
        <v>43208.366666666669</v>
      </c>
      <c r="G55" s="298" t="str">
        <f t="shared" si="7"/>
        <v>8:48</v>
      </c>
      <c r="H55" s="299">
        <f t="shared" si="8"/>
        <v>9.6999999999999993</v>
      </c>
      <c r="I55" s="300">
        <f t="shared" si="9"/>
        <v>8</v>
      </c>
      <c r="J55" s="300" t="str">
        <f t="shared" si="10"/>
        <v>-</v>
      </c>
      <c r="K55" s="301">
        <f t="shared" si="11"/>
        <v>0</v>
      </c>
      <c r="L55" s="301"/>
      <c r="M55" s="302">
        <f t="shared" si="12"/>
        <v>0</v>
      </c>
      <c r="N55" s="302">
        <f t="shared" si="13"/>
        <v>0</v>
      </c>
      <c r="O55" s="388"/>
      <c r="P55" s="307"/>
      <c r="Q55" s="9"/>
      <c r="R55" s="9"/>
      <c r="S55" s="9"/>
      <c r="X55" s="391"/>
      <c r="Y55" s="391"/>
      <c r="Z55" s="261"/>
    </row>
    <row r="56" spans="1:26" customFormat="1">
      <c r="A56">
        <v>9683</v>
      </c>
      <c r="B56" t="s">
        <v>94</v>
      </c>
      <c r="C56" t="s">
        <v>94</v>
      </c>
      <c r="D56" s="143" t="s">
        <v>5</v>
      </c>
      <c r="E56" s="144">
        <v>43208.77134259259</v>
      </c>
      <c r="F56" s="297">
        <f t="shared" si="6"/>
        <v>43208.77134259259</v>
      </c>
      <c r="G56" s="298" t="str">
        <f t="shared" si="7"/>
        <v>18:30</v>
      </c>
      <c r="H56" s="299" t="str">
        <f t="shared" si="8"/>
        <v>-</v>
      </c>
      <c r="I56" s="300" t="str">
        <f t="shared" si="9"/>
        <v>-</v>
      </c>
      <c r="J56" s="300" t="str">
        <f t="shared" si="10"/>
        <v>-</v>
      </c>
      <c r="K56" s="301">
        <f t="shared" si="11"/>
        <v>0</v>
      </c>
      <c r="L56" s="301"/>
      <c r="M56" s="302">
        <f t="shared" si="12"/>
        <v>0</v>
      </c>
      <c r="N56" s="302">
        <f t="shared" si="13"/>
        <v>0</v>
      </c>
      <c r="O56" s="388"/>
      <c r="P56" s="307"/>
      <c r="Q56" s="9"/>
      <c r="R56" s="9"/>
      <c r="S56" s="9"/>
      <c r="X56" s="391"/>
      <c r="Y56" s="391"/>
      <c r="Z56" s="261"/>
    </row>
    <row r="57" spans="1:26" s="16" customFormat="1">
      <c r="A57" s="16">
        <v>9706</v>
      </c>
      <c r="B57" s="16" t="s">
        <v>95</v>
      </c>
      <c r="C57" s="16" t="s">
        <v>94</v>
      </c>
      <c r="D57" s="138" t="s">
        <v>6</v>
      </c>
      <c r="E57" s="146">
        <v>43209.37427083333</v>
      </c>
      <c r="F57" s="31">
        <f t="shared" si="6"/>
        <v>43209.37427083333</v>
      </c>
      <c r="G57" s="32" t="str">
        <f t="shared" si="7"/>
        <v>8:58</v>
      </c>
      <c r="H57" s="33">
        <f t="shared" si="8"/>
        <v>9.4833333333333307</v>
      </c>
      <c r="I57" s="58">
        <v>7.5</v>
      </c>
      <c r="J57" s="58">
        <f t="shared" si="10"/>
        <v>0.5</v>
      </c>
      <c r="K57" s="34">
        <f t="shared" si="11"/>
        <v>0</v>
      </c>
      <c r="L57" s="34"/>
      <c r="M57" s="35">
        <f t="shared" si="12"/>
        <v>0</v>
      </c>
      <c r="N57" s="35">
        <f t="shared" si="13"/>
        <v>0</v>
      </c>
      <c r="O57" s="36" t="s">
        <v>111</v>
      </c>
      <c r="P57" s="22"/>
      <c r="Q57" s="137"/>
      <c r="R57" s="137"/>
      <c r="S57" s="137"/>
    </row>
    <row r="58" spans="1:26" customFormat="1">
      <c r="A58">
        <v>9712</v>
      </c>
      <c r="B58" t="s">
        <v>94</v>
      </c>
      <c r="C58" t="s">
        <v>94</v>
      </c>
      <c r="D58" s="143" t="s">
        <v>5</v>
      </c>
      <c r="E58" s="144">
        <v>43209.769212962965</v>
      </c>
      <c r="F58" s="297">
        <f t="shared" si="6"/>
        <v>43209.769212962965</v>
      </c>
      <c r="G58" s="298" t="str">
        <f t="shared" si="7"/>
        <v>18:27</v>
      </c>
      <c r="H58" s="299" t="str">
        <f t="shared" si="8"/>
        <v>-</v>
      </c>
      <c r="I58" s="300" t="str">
        <f t="shared" si="9"/>
        <v>-</v>
      </c>
      <c r="J58" s="300" t="str">
        <f t="shared" si="10"/>
        <v>-</v>
      </c>
      <c r="K58" s="301">
        <f t="shared" si="11"/>
        <v>0</v>
      </c>
      <c r="L58" s="301"/>
      <c r="M58" s="302">
        <f t="shared" si="12"/>
        <v>0</v>
      </c>
      <c r="N58" s="302">
        <f t="shared" si="13"/>
        <v>0</v>
      </c>
      <c r="O58" s="388"/>
      <c r="P58" s="307"/>
      <c r="Q58" s="9"/>
      <c r="R58" s="9"/>
      <c r="S58" s="9"/>
      <c r="X58" s="391"/>
      <c r="Y58" s="391"/>
      <c r="Z58" s="261"/>
    </row>
    <row r="59" spans="1:26" customFormat="1">
      <c r="A59">
        <v>9713</v>
      </c>
      <c r="B59" t="s">
        <v>94</v>
      </c>
      <c r="C59" t="s">
        <v>94</v>
      </c>
      <c r="D59" s="143" t="s">
        <v>7</v>
      </c>
      <c r="E59" s="144">
        <v>43209.769247685188</v>
      </c>
      <c r="F59" s="297">
        <f t="shared" si="6"/>
        <v>43209.769247685188</v>
      </c>
      <c r="G59" s="298" t="str">
        <f t="shared" si="7"/>
        <v>18:27</v>
      </c>
      <c r="H59" s="299" t="str">
        <f t="shared" si="8"/>
        <v>-</v>
      </c>
      <c r="I59" s="300" t="str">
        <f t="shared" si="9"/>
        <v>-</v>
      </c>
      <c r="J59" s="300" t="str">
        <f t="shared" si="10"/>
        <v>-</v>
      </c>
      <c r="K59" s="301">
        <f t="shared" si="11"/>
        <v>1.3833333333333337</v>
      </c>
      <c r="L59" s="301"/>
      <c r="M59" s="302">
        <f t="shared" si="12"/>
        <v>1.3833333333333337</v>
      </c>
      <c r="N59" s="302">
        <f t="shared" si="13"/>
        <v>0</v>
      </c>
      <c r="O59" s="388"/>
      <c r="P59" s="307"/>
      <c r="Q59" s="9"/>
      <c r="R59" s="9"/>
      <c r="S59" s="9"/>
      <c r="X59" s="391"/>
      <c r="Y59" s="391"/>
      <c r="Z59" s="261"/>
    </row>
    <row r="60" spans="1:26" customFormat="1">
      <c r="A60">
        <v>9723</v>
      </c>
      <c r="B60" t="s">
        <v>94</v>
      </c>
      <c r="C60" t="s">
        <v>94</v>
      </c>
      <c r="D60" s="143" t="s">
        <v>8</v>
      </c>
      <c r="E60" s="144">
        <v>43209.826724537037</v>
      </c>
      <c r="F60" s="297">
        <f t="shared" si="6"/>
        <v>43209.826724537037</v>
      </c>
      <c r="G60" s="298" t="str">
        <f t="shared" si="7"/>
        <v>19:50</v>
      </c>
      <c r="H60" s="299" t="str">
        <f t="shared" si="8"/>
        <v>-</v>
      </c>
      <c r="I60" s="300" t="str">
        <f t="shared" si="9"/>
        <v>-</v>
      </c>
      <c r="J60" s="300" t="str">
        <f t="shared" si="10"/>
        <v>-</v>
      </c>
      <c r="K60" s="301">
        <f t="shared" si="11"/>
        <v>0</v>
      </c>
      <c r="L60" s="301"/>
      <c r="M60" s="302">
        <f t="shared" si="12"/>
        <v>0</v>
      </c>
      <c r="N60" s="302">
        <f t="shared" si="13"/>
        <v>0</v>
      </c>
      <c r="O60" s="388"/>
      <c r="P60" s="307"/>
      <c r="Q60" s="9"/>
      <c r="R60" s="9"/>
      <c r="S60" s="9"/>
      <c r="X60" s="391"/>
      <c r="Y60" s="391"/>
      <c r="Z60" s="261"/>
    </row>
    <row r="61" spans="1:26" customFormat="1">
      <c r="A61">
        <v>9733</v>
      </c>
      <c r="B61" t="s">
        <v>94</v>
      </c>
      <c r="C61" t="s">
        <v>94</v>
      </c>
      <c r="D61" s="143" t="s">
        <v>6</v>
      </c>
      <c r="E61" s="144">
        <v>43210.362256944441</v>
      </c>
      <c r="F61" s="297">
        <f t="shared" si="6"/>
        <v>43210.362256944441</v>
      </c>
      <c r="G61" s="298" t="str">
        <f t="shared" si="7"/>
        <v>8:41</v>
      </c>
      <c r="H61" s="299">
        <f t="shared" si="8"/>
        <v>9.8000000000000007</v>
      </c>
      <c r="I61" s="300">
        <f t="shared" si="9"/>
        <v>8</v>
      </c>
      <c r="J61" s="300" t="str">
        <f t="shared" si="10"/>
        <v>-</v>
      </c>
      <c r="K61" s="301">
        <f t="shared" si="11"/>
        <v>0</v>
      </c>
      <c r="L61" s="301"/>
      <c r="M61" s="302">
        <f t="shared" si="12"/>
        <v>0</v>
      </c>
      <c r="N61" s="302">
        <f t="shared" si="13"/>
        <v>0</v>
      </c>
      <c r="O61" s="388"/>
      <c r="P61" s="307"/>
      <c r="Q61" s="9"/>
      <c r="R61" s="9"/>
      <c r="S61" s="9"/>
      <c r="X61" s="391"/>
      <c r="Y61" s="391"/>
      <c r="Z61" s="261"/>
    </row>
    <row r="62" spans="1:26" s="9" customFormat="1">
      <c r="A62">
        <v>9745</v>
      </c>
      <c r="B62" t="s">
        <v>94</v>
      </c>
      <c r="C62" t="s">
        <v>94</v>
      </c>
      <c r="D62" s="143" t="s">
        <v>5</v>
      </c>
      <c r="E62" s="144">
        <v>43210.770324074074</v>
      </c>
      <c r="F62" s="297">
        <f t="shared" si="6"/>
        <v>43210.770324074074</v>
      </c>
      <c r="G62" s="298" t="str">
        <f t="shared" si="7"/>
        <v>18:29</v>
      </c>
      <c r="H62" s="299" t="str">
        <f t="shared" si="8"/>
        <v>-</v>
      </c>
      <c r="I62" s="300" t="str">
        <f t="shared" si="9"/>
        <v>-</v>
      </c>
      <c r="J62" s="300" t="str">
        <f t="shared" si="10"/>
        <v>-</v>
      </c>
      <c r="K62" s="301">
        <f t="shared" si="11"/>
        <v>0</v>
      </c>
      <c r="L62" s="301"/>
      <c r="M62" s="302">
        <f t="shared" si="12"/>
        <v>0</v>
      </c>
      <c r="N62" s="302">
        <f t="shared" si="13"/>
        <v>0</v>
      </c>
      <c r="O62" s="388"/>
      <c r="P62" s="307"/>
      <c r="T62"/>
      <c r="U62"/>
      <c r="V62"/>
      <c r="W62"/>
      <c r="X62" s="391"/>
      <c r="Y62" s="391"/>
      <c r="Z62" s="261"/>
    </row>
    <row r="63" spans="1:26" s="9" customFormat="1">
      <c r="A63">
        <v>9748</v>
      </c>
      <c r="B63" t="s">
        <v>94</v>
      </c>
      <c r="C63" t="s">
        <v>94</v>
      </c>
      <c r="D63" s="143" t="s">
        <v>7</v>
      </c>
      <c r="E63" s="144">
        <v>43210.770462962966</v>
      </c>
      <c r="F63" s="297">
        <f t="shared" si="6"/>
        <v>43210.770462962966</v>
      </c>
      <c r="G63" s="298" t="str">
        <f t="shared" si="7"/>
        <v>18:29</v>
      </c>
      <c r="H63" s="299" t="str">
        <f t="shared" si="8"/>
        <v>-</v>
      </c>
      <c r="I63" s="300" t="str">
        <f t="shared" si="9"/>
        <v>-</v>
      </c>
      <c r="J63" s="300" t="str">
        <f t="shared" si="10"/>
        <v>-</v>
      </c>
      <c r="K63" s="301">
        <f t="shared" si="11"/>
        <v>0.89999999999999947</v>
      </c>
      <c r="L63" s="301"/>
      <c r="M63" s="302">
        <f t="shared" si="12"/>
        <v>0.89999999999999947</v>
      </c>
      <c r="N63" s="302">
        <f t="shared" si="13"/>
        <v>0</v>
      </c>
      <c r="O63" s="388"/>
      <c r="P63" s="307"/>
      <c r="T63"/>
      <c r="U63"/>
      <c r="V63"/>
      <c r="W63"/>
      <c r="X63" s="391"/>
      <c r="Y63" s="391"/>
      <c r="Z63" s="261"/>
    </row>
    <row r="64" spans="1:26" s="9" customFormat="1">
      <c r="A64">
        <v>9760</v>
      </c>
      <c r="B64" t="s">
        <v>94</v>
      </c>
      <c r="C64" t="s">
        <v>94</v>
      </c>
      <c r="D64" s="143" t="s">
        <v>8</v>
      </c>
      <c r="E64" s="144">
        <v>43210.808287037034</v>
      </c>
      <c r="F64" s="297">
        <f t="shared" si="6"/>
        <v>43210.808287037034</v>
      </c>
      <c r="G64" s="298" t="str">
        <f t="shared" si="7"/>
        <v>19:23</v>
      </c>
      <c r="H64" s="299" t="str">
        <f t="shared" si="8"/>
        <v>-</v>
      </c>
      <c r="I64" s="300" t="str">
        <f t="shared" si="9"/>
        <v>-</v>
      </c>
      <c r="J64" s="300" t="str">
        <f t="shared" si="10"/>
        <v>-</v>
      </c>
      <c r="K64" s="301">
        <f t="shared" si="11"/>
        <v>0</v>
      </c>
      <c r="L64" s="301"/>
      <c r="M64" s="302">
        <f t="shared" si="12"/>
        <v>0</v>
      </c>
      <c r="N64" s="302">
        <f t="shared" si="13"/>
        <v>0</v>
      </c>
      <c r="O64" s="388"/>
      <c r="P64" s="307"/>
      <c r="T64"/>
      <c r="U64"/>
      <c r="V64"/>
      <c r="W64"/>
      <c r="X64" s="391"/>
      <c r="Y64" s="391"/>
      <c r="Z64" s="261"/>
    </row>
    <row r="65" spans="1:26" s="9" customFormat="1">
      <c r="A65">
        <v>9775</v>
      </c>
      <c r="B65" t="s">
        <v>94</v>
      </c>
      <c r="C65" t="s">
        <v>94</v>
      </c>
      <c r="D65" s="143" t="s">
        <v>6</v>
      </c>
      <c r="E65" s="144">
        <v>43213.365902777776</v>
      </c>
      <c r="F65" s="297">
        <f t="shared" si="6"/>
        <v>43213.365902777776</v>
      </c>
      <c r="G65" s="298" t="str">
        <f t="shared" si="7"/>
        <v>8:46</v>
      </c>
      <c r="H65" s="299">
        <f t="shared" si="8"/>
        <v>9.7333333333333343</v>
      </c>
      <c r="I65" s="300">
        <f t="shared" si="9"/>
        <v>8</v>
      </c>
      <c r="J65" s="300" t="str">
        <f t="shared" si="10"/>
        <v>-</v>
      </c>
      <c r="K65" s="301">
        <f t="shared" si="11"/>
        <v>0</v>
      </c>
      <c r="L65" s="301"/>
      <c r="M65" s="302">
        <f t="shared" si="12"/>
        <v>0</v>
      </c>
      <c r="N65" s="302">
        <f t="shared" si="13"/>
        <v>0</v>
      </c>
      <c r="O65" s="388"/>
      <c r="P65" s="307"/>
      <c r="T65"/>
      <c r="U65"/>
      <c r="V65"/>
      <c r="W65"/>
      <c r="X65" s="391"/>
      <c r="Y65" s="391"/>
      <c r="Z65" s="261"/>
    </row>
    <row r="66" spans="1:26" s="9" customFormat="1">
      <c r="A66">
        <v>9783</v>
      </c>
      <c r="B66" t="s">
        <v>94</v>
      </c>
      <c r="C66" t="s">
        <v>94</v>
      </c>
      <c r="D66" s="143" t="s">
        <v>5</v>
      </c>
      <c r="E66" s="144">
        <v>43213.771192129629</v>
      </c>
      <c r="F66" s="297">
        <f t="shared" si="6"/>
        <v>43213.771192129629</v>
      </c>
      <c r="G66" s="298" t="str">
        <f t="shared" si="7"/>
        <v>18:30</v>
      </c>
      <c r="H66" s="299" t="str">
        <f t="shared" si="8"/>
        <v>-</v>
      </c>
      <c r="I66" s="300" t="str">
        <f t="shared" si="9"/>
        <v>-</v>
      </c>
      <c r="J66" s="300" t="str">
        <f t="shared" si="10"/>
        <v>-</v>
      </c>
      <c r="K66" s="301">
        <f t="shared" si="11"/>
        <v>0</v>
      </c>
      <c r="L66" s="301"/>
      <c r="M66" s="302">
        <f t="shared" si="12"/>
        <v>0</v>
      </c>
      <c r="N66" s="302">
        <f t="shared" si="13"/>
        <v>0</v>
      </c>
      <c r="O66" s="388"/>
      <c r="P66" s="307"/>
      <c r="T66"/>
      <c r="U66"/>
      <c r="V66"/>
      <c r="W66"/>
      <c r="X66" s="391"/>
      <c r="Y66" s="391"/>
      <c r="Z66" s="261"/>
    </row>
    <row r="67" spans="1:26" s="137" customFormat="1">
      <c r="A67" s="16">
        <v>9813</v>
      </c>
      <c r="B67" s="16" t="s">
        <v>94</v>
      </c>
      <c r="C67" s="16" t="s">
        <v>94</v>
      </c>
      <c r="D67" s="138" t="s">
        <v>6</v>
      </c>
      <c r="E67" s="146">
        <v>43214.566111111111</v>
      </c>
      <c r="F67" s="31">
        <f t="shared" si="6"/>
        <v>43214.566111111111</v>
      </c>
      <c r="G67" s="32" t="str">
        <f t="shared" si="7"/>
        <v>13:35</v>
      </c>
      <c r="H67" s="33">
        <f t="shared" si="8"/>
        <v>4.9333333333333318</v>
      </c>
      <c r="I67" s="58">
        <v>4.5</v>
      </c>
      <c r="J67" s="58">
        <f t="shared" si="10"/>
        <v>3.5</v>
      </c>
      <c r="K67" s="34">
        <f t="shared" si="11"/>
        <v>0</v>
      </c>
      <c r="L67" s="34"/>
      <c r="M67" s="35">
        <f t="shared" si="12"/>
        <v>0</v>
      </c>
      <c r="N67" s="35">
        <f t="shared" si="13"/>
        <v>0</v>
      </c>
      <c r="O67" s="36" t="s">
        <v>111</v>
      </c>
      <c r="P67" s="22"/>
      <c r="T67" s="16"/>
      <c r="U67" s="16"/>
      <c r="V67" s="16"/>
      <c r="W67" s="16"/>
      <c r="X67" s="16"/>
      <c r="Y67" s="16"/>
      <c r="Z67" s="16"/>
    </row>
    <row r="68" spans="1:26" s="9" customFormat="1">
      <c r="A68">
        <v>9823</v>
      </c>
      <c r="B68" t="s">
        <v>94</v>
      </c>
      <c r="C68" t="s">
        <v>94</v>
      </c>
      <c r="D68" s="143" t="s">
        <v>5</v>
      </c>
      <c r="E68" s="144">
        <v>43214.772152777776</v>
      </c>
      <c r="F68" s="297">
        <f t="shared" si="6"/>
        <v>43214.772152777776</v>
      </c>
      <c r="G68" s="298" t="str">
        <f t="shared" si="7"/>
        <v>18:31</v>
      </c>
      <c r="H68" s="299" t="str">
        <f t="shared" si="8"/>
        <v>-</v>
      </c>
      <c r="I68" s="300" t="str">
        <f t="shared" si="9"/>
        <v>-</v>
      </c>
      <c r="J68" s="300" t="str">
        <f t="shared" si="10"/>
        <v>-</v>
      </c>
      <c r="K68" s="301">
        <f t="shared" si="11"/>
        <v>0</v>
      </c>
      <c r="L68" s="301"/>
      <c r="M68" s="302">
        <f t="shared" si="12"/>
        <v>0</v>
      </c>
      <c r="N68" s="302">
        <f t="shared" si="13"/>
        <v>0</v>
      </c>
      <c r="O68" s="388"/>
      <c r="P68" s="307"/>
      <c r="T68"/>
      <c r="U68"/>
      <c r="V68"/>
      <c r="W68"/>
      <c r="X68" s="391"/>
      <c r="Y68" s="391"/>
      <c r="Z68" s="261"/>
    </row>
    <row r="69" spans="1:26" s="9" customFormat="1">
      <c r="A69">
        <v>9824</v>
      </c>
      <c r="B69" t="s">
        <v>94</v>
      </c>
      <c r="C69" t="s">
        <v>94</v>
      </c>
      <c r="D69" s="143" t="s">
        <v>7</v>
      </c>
      <c r="E69" s="144">
        <v>43214.772187499999</v>
      </c>
      <c r="F69" s="297">
        <f t="shared" si="6"/>
        <v>43214.772187499999</v>
      </c>
      <c r="G69" s="298" t="str">
        <f t="shared" si="7"/>
        <v>18:31</v>
      </c>
      <c r="H69" s="299" t="str">
        <f t="shared" si="8"/>
        <v>-</v>
      </c>
      <c r="I69" s="300" t="str">
        <f t="shared" si="9"/>
        <v>-</v>
      </c>
      <c r="J69" s="300" t="str">
        <f t="shared" si="10"/>
        <v>-</v>
      </c>
      <c r="K69" s="301">
        <f t="shared" si="11"/>
        <v>1.8166666666666682</v>
      </c>
      <c r="L69" s="301"/>
      <c r="M69" s="302">
        <f t="shared" si="12"/>
        <v>1.8166666666666682</v>
      </c>
      <c r="N69" s="302">
        <f t="shared" si="13"/>
        <v>0</v>
      </c>
      <c r="O69" s="388"/>
      <c r="P69" s="307"/>
      <c r="T69"/>
      <c r="U69"/>
      <c r="V69"/>
      <c r="W69"/>
      <c r="X69" s="391"/>
      <c r="Y69" s="391"/>
      <c r="Z69" s="261"/>
    </row>
    <row r="70" spans="1:26">
      <c r="A70">
        <v>9831</v>
      </c>
      <c r="B70" t="s">
        <v>94</v>
      </c>
      <c r="C70" t="s">
        <v>94</v>
      </c>
      <c r="D70" s="143" t="s">
        <v>8</v>
      </c>
      <c r="E70" s="144">
        <v>43214.847500000003</v>
      </c>
      <c r="F70" s="297">
        <f t="shared" si="6"/>
        <v>43214.847500000003</v>
      </c>
      <c r="G70" s="298" t="str">
        <f t="shared" si="7"/>
        <v>20:20</v>
      </c>
      <c r="H70" s="299" t="str">
        <f t="shared" si="8"/>
        <v>-</v>
      </c>
      <c r="I70" s="300" t="str">
        <f t="shared" si="9"/>
        <v>-</v>
      </c>
      <c r="J70" s="300" t="str">
        <f t="shared" si="10"/>
        <v>-</v>
      </c>
      <c r="K70" s="301">
        <f t="shared" si="11"/>
        <v>0</v>
      </c>
      <c r="L70" s="301"/>
      <c r="M70" s="302">
        <f t="shared" si="12"/>
        <v>0</v>
      </c>
      <c r="N70" s="302">
        <f t="shared" si="13"/>
        <v>0</v>
      </c>
      <c r="O70" s="388"/>
    </row>
    <row r="71" spans="1:26">
      <c r="A71">
        <v>9841</v>
      </c>
      <c r="B71" t="s">
        <v>94</v>
      </c>
      <c r="C71" t="s">
        <v>94</v>
      </c>
      <c r="D71" s="143" t="s">
        <v>6</v>
      </c>
      <c r="E71" s="144">
        <v>43215.368125000001</v>
      </c>
      <c r="F71" s="297">
        <f t="shared" si="6"/>
        <v>43215.368125000001</v>
      </c>
      <c r="G71" s="298" t="str">
        <f t="shared" si="7"/>
        <v>8:50</v>
      </c>
      <c r="H71" s="299">
        <f t="shared" si="8"/>
        <v>9.5833333333333339</v>
      </c>
      <c r="I71" s="300">
        <f t="shared" si="9"/>
        <v>8</v>
      </c>
      <c r="J71" s="300" t="str">
        <f t="shared" si="10"/>
        <v>-</v>
      </c>
      <c r="K71" s="301">
        <f t="shared" si="11"/>
        <v>0</v>
      </c>
      <c r="L71" s="301"/>
      <c r="M71" s="302">
        <f t="shared" si="12"/>
        <v>0</v>
      </c>
      <c r="N71" s="302">
        <f t="shared" si="13"/>
        <v>0</v>
      </c>
      <c r="O71" s="388"/>
    </row>
    <row r="72" spans="1:26">
      <c r="A72">
        <v>9853</v>
      </c>
      <c r="B72" t="s">
        <v>94</v>
      </c>
      <c r="C72" t="s">
        <v>94</v>
      </c>
      <c r="D72" s="143" t="s">
        <v>5</v>
      </c>
      <c r="E72" s="144">
        <v>43215.767500000002</v>
      </c>
      <c r="F72" s="297">
        <f t="shared" ref="F72:F86" si="14">E72</f>
        <v>43215.767500000002</v>
      </c>
      <c r="G72" s="298" t="str">
        <f t="shared" ref="G72:G86" si="15">HOUR(E72)&amp;":"&amp;MINUTE(E72)</f>
        <v>18:25</v>
      </c>
      <c r="H72" s="299" t="str">
        <f t="shared" ref="H72:H85" si="16">IF(D72="上班",(G73-G72)*24,"-")</f>
        <v>-</v>
      </c>
      <c r="I72" s="300" t="str">
        <f t="shared" ref="I72:I86" si="17">IF(D72="上班",IF(H72-1.5&gt;8,8,H72-1.5),"-")</f>
        <v>-</v>
      </c>
      <c r="J72" s="300" t="str">
        <f t="shared" ref="J72:J86" si="18">IF(I72&lt;8,8-I72,"-")</f>
        <v>-</v>
      </c>
      <c r="K72" s="301">
        <f t="shared" ref="K72:K85" si="19">IF(D72="加班",(G73-G72)*24,0)</f>
        <v>0</v>
      </c>
      <c r="L72" s="301"/>
      <c r="M72" s="302">
        <f t="shared" ref="M72:M86" si="20">IF(K72&gt;2,2,K72)</f>
        <v>0</v>
      </c>
      <c r="N72" s="302">
        <f t="shared" ref="N72:N86" si="21">IF(K72&gt;2,K72-2,0)</f>
        <v>0</v>
      </c>
      <c r="O72" s="388"/>
    </row>
    <row r="73" spans="1:26">
      <c r="A73">
        <v>9854</v>
      </c>
      <c r="B73" t="s">
        <v>94</v>
      </c>
      <c r="C73" t="s">
        <v>94</v>
      </c>
      <c r="D73" s="143" t="s">
        <v>7</v>
      </c>
      <c r="E73" s="144">
        <v>43215.767523148148</v>
      </c>
      <c r="F73" s="297">
        <f t="shared" si="14"/>
        <v>43215.767523148148</v>
      </c>
      <c r="G73" s="298" t="str">
        <f t="shared" si="15"/>
        <v>18:25</v>
      </c>
      <c r="H73" s="299" t="str">
        <f t="shared" si="16"/>
        <v>-</v>
      </c>
      <c r="I73" s="300" t="str">
        <f t="shared" si="17"/>
        <v>-</v>
      </c>
      <c r="J73" s="300" t="str">
        <f t="shared" si="18"/>
        <v>-</v>
      </c>
      <c r="K73" s="301">
        <f t="shared" si="19"/>
        <v>1.6166666666666663</v>
      </c>
      <c r="L73" s="301"/>
      <c r="M73" s="302">
        <f t="shared" si="20"/>
        <v>1.6166666666666663</v>
      </c>
      <c r="N73" s="302">
        <f t="shared" si="21"/>
        <v>0</v>
      </c>
      <c r="O73" s="388"/>
    </row>
    <row r="74" spans="1:26">
      <c r="A74">
        <v>9869</v>
      </c>
      <c r="B74" t="s">
        <v>94</v>
      </c>
      <c r="C74" t="s">
        <v>94</v>
      </c>
      <c r="D74" s="143" t="s">
        <v>8</v>
      </c>
      <c r="E74" s="144">
        <v>43215.835150462961</v>
      </c>
      <c r="F74" s="297">
        <f t="shared" si="14"/>
        <v>43215.835150462961</v>
      </c>
      <c r="G74" s="298" t="str">
        <f t="shared" si="15"/>
        <v>20:2</v>
      </c>
      <c r="H74" s="299" t="str">
        <f t="shared" si="16"/>
        <v>-</v>
      </c>
      <c r="I74" s="300" t="str">
        <f t="shared" si="17"/>
        <v>-</v>
      </c>
      <c r="J74" s="300" t="str">
        <f t="shared" si="18"/>
        <v>-</v>
      </c>
      <c r="K74" s="301">
        <f t="shared" si="19"/>
        <v>0</v>
      </c>
      <c r="L74" s="301"/>
      <c r="M74" s="302">
        <f t="shared" si="20"/>
        <v>0</v>
      </c>
      <c r="N74" s="302">
        <f t="shared" si="21"/>
        <v>0</v>
      </c>
      <c r="O74" s="388"/>
    </row>
    <row r="75" spans="1:26">
      <c r="A75">
        <v>9877</v>
      </c>
      <c r="B75" t="s">
        <v>95</v>
      </c>
      <c r="C75" t="s">
        <v>94</v>
      </c>
      <c r="D75" s="143" t="s">
        <v>6</v>
      </c>
      <c r="E75" s="144">
        <v>43216.370405092595</v>
      </c>
      <c r="F75" s="297">
        <f t="shared" si="14"/>
        <v>43216.370405092595</v>
      </c>
      <c r="G75" s="298" t="str">
        <f t="shared" si="15"/>
        <v>8:53</v>
      </c>
      <c r="H75" s="299">
        <f t="shared" si="16"/>
        <v>9.6166666666666689</v>
      </c>
      <c r="I75" s="300">
        <f t="shared" si="17"/>
        <v>8</v>
      </c>
      <c r="J75" s="300" t="str">
        <f t="shared" si="18"/>
        <v>-</v>
      </c>
      <c r="K75" s="301">
        <f t="shared" si="19"/>
        <v>0</v>
      </c>
      <c r="L75" s="301"/>
      <c r="M75" s="302">
        <f t="shared" si="20"/>
        <v>0</v>
      </c>
      <c r="N75" s="302">
        <f t="shared" si="21"/>
        <v>0</v>
      </c>
      <c r="O75" s="388"/>
    </row>
    <row r="76" spans="1:26">
      <c r="A76">
        <v>9890</v>
      </c>
      <c r="B76" t="s">
        <v>94</v>
      </c>
      <c r="C76" t="s">
        <v>94</v>
      </c>
      <c r="D76" s="143" t="s">
        <v>5</v>
      </c>
      <c r="E76" s="144">
        <v>43216.771099537036</v>
      </c>
      <c r="F76" s="297">
        <f t="shared" si="14"/>
        <v>43216.771099537036</v>
      </c>
      <c r="G76" s="298" t="str">
        <f t="shared" si="15"/>
        <v>18:30</v>
      </c>
      <c r="H76" s="299" t="str">
        <f t="shared" si="16"/>
        <v>-</v>
      </c>
      <c r="I76" s="300" t="str">
        <f t="shared" si="17"/>
        <v>-</v>
      </c>
      <c r="J76" s="300" t="str">
        <f t="shared" si="18"/>
        <v>-</v>
      </c>
      <c r="K76" s="301">
        <f t="shared" si="19"/>
        <v>0</v>
      </c>
      <c r="L76" s="301"/>
      <c r="M76" s="302">
        <f t="shared" si="20"/>
        <v>0</v>
      </c>
      <c r="N76" s="302">
        <f t="shared" si="21"/>
        <v>0</v>
      </c>
      <c r="O76" s="388"/>
    </row>
    <row r="77" spans="1:26">
      <c r="A77">
        <v>9891</v>
      </c>
      <c r="B77" t="s">
        <v>94</v>
      </c>
      <c r="C77" t="s">
        <v>94</v>
      </c>
      <c r="D77" s="143" t="s">
        <v>7</v>
      </c>
      <c r="E77" s="144">
        <v>43216.771134259259</v>
      </c>
      <c r="F77" s="297">
        <f t="shared" si="14"/>
        <v>43216.771134259259</v>
      </c>
      <c r="G77" s="298" t="str">
        <f t="shared" si="15"/>
        <v>18:30</v>
      </c>
      <c r="H77" s="299" t="str">
        <f t="shared" si="16"/>
        <v>-</v>
      </c>
      <c r="I77" s="300" t="str">
        <f t="shared" si="17"/>
        <v>-</v>
      </c>
      <c r="J77" s="300" t="str">
        <f t="shared" si="18"/>
        <v>-</v>
      </c>
      <c r="K77" s="301">
        <f t="shared" si="19"/>
        <v>0.18333333333333268</v>
      </c>
      <c r="L77" s="301"/>
      <c r="M77" s="302">
        <f t="shared" si="20"/>
        <v>0.18333333333333268</v>
      </c>
      <c r="N77" s="302">
        <f t="shared" si="21"/>
        <v>0</v>
      </c>
      <c r="O77" s="388"/>
    </row>
    <row r="78" spans="1:26">
      <c r="A78">
        <v>9900</v>
      </c>
      <c r="B78" t="s">
        <v>94</v>
      </c>
      <c r="C78" t="s">
        <v>94</v>
      </c>
      <c r="D78" s="143" t="s">
        <v>8</v>
      </c>
      <c r="E78" s="144">
        <v>43216.779097222221</v>
      </c>
      <c r="F78" s="297">
        <f t="shared" si="14"/>
        <v>43216.779097222221</v>
      </c>
      <c r="G78" s="298" t="str">
        <f t="shared" si="15"/>
        <v>18:41</v>
      </c>
      <c r="H78" s="299" t="str">
        <f t="shared" si="16"/>
        <v>-</v>
      </c>
      <c r="I78" s="300" t="str">
        <f t="shared" si="17"/>
        <v>-</v>
      </c>
      <c r="J78" s="300" t="str">
        <f t="shared" si="18"/>
        <v>-</v>
      </c>
      <c r="K78" s="301">
        <f t="shared" si="19"/>
        <v>0</v>
      </c>
      <c r="L78" s="301"/>
      <c r="M78" s="302">
        <f t="shared" si="20"/>
        <v>0</v>
      </c>
      <c r="N78" s="302">
        <f t="shared" si="21"/>
        <v>0</v>
      </c>
      <c r="O78" s="388"/>
    </row>
    <row r="79" spans="1:26">
      <c r="A79">
        <v>9918</v>
      </c>
      <c r="B79" t="s">
        <v>95</v>
      </c>
      <c r="C79" t="s">
        <v>94</v>
      </c>
      <c r="D79" s="143" t="s">
        <v>6</v>
      </c>
      <c r="E79" s="144">
        <v>43217.372812499998</v>
      </c>
      <c r="F79" s="297">
        <f t="shared" si="14"/>
        <v>43217.372812499998</v>
      </c>
      <c r="G79" s="298" t="str">
        <f t="shared" si="15"/>
        <v>8:56</v>
      </c>
      <c r="H79" s="299">
        <f t="shared" si="16"/>
        <v>9.6000000000000014</v>
      </c>
      <c r="I79" s="300">
        <f t="shared" si="17"/>
        <v>8</v>
      </c>
      <c r="J79" s="300" t="str">
        <f t="shared" si="18"/>
        <v>-</v>
      </c>
      <c r="K79" s="301">
        <f t="shared" si="19"/>
        <v>0</v>
      </c>
      <c r="L79" s="301"/>
      <c r="M79" s="302">
        <f t="shared" si="20"/>
        <v>0</v>
      </c>
      <c r="N79" s="302">
        <f t="shared" si="21"/>
        <v>0</v>
      </c>
      <c r="O79" s="388"/>
    </row>
    <row r="80" spans="1:26">
      <c r="A80">
        <v>9936</v>
      </c>
      <c r="B80" t="s">
        <v>94</v>
      </c>
      <c r="C80" t="s">
        <v>94</v>
      </c>
      <c r="D80" s="143" t="s">
        <v>5</v>
      </c>
      <c r="E80" s="144">
        <v>43217.772418981483</v>
      </c>
      <c r="F80" s="297">
        <f t="shared" si="14"/>
        <v>43217.772418981483</v>
      </c>
      <c r="G80" s="298" t="str">
        <f t="shared" si="15"/>
        <v>18:32</v>
      </c>
      <c r="H80" s="299" t="str">
        <f t="shared" si="16"/>
        <v>-</v>
      </c>
      <c r="I80" s="300" t="str">
        <f t="shared" si="17"/>
        <v>-</v>
      </c>
      <c r="J80" s="300" t="str">
        <f t="shared" si="18"/>
        <v>-</v>
      </c>
      <c r="K80" s="301">
        <f t="shared" si="19"/>
        <v>0</v>
      </c>
      <c r="L80" s="301"/>
      <c r="M80" s="302">
        <f t="shared" si="20"/>
        <v>0</v>
      </c>
      <c r="N80" s="302">
        <f t="shared" si="21"/>
        <v>0</v>
      </c>
      <c r="O80" s="388"/>
    </row>
    <row r="81" spans="1:25">
      <c r="A81">
        <v>9937</v>
      </c>
      <c r="B81" t="s">
        <v>94</v>
      </c>
      <c r="C81" t="s">
        <v>94</v>
      </c>
      <c r="D81" s="143" t="s">
        <v>7</v>
      </c>
      <c r="E81" s="144">
        <v>43217.772476851853</v>
      </c>
      <c r="F81" s="297">
        <f t="shared" si="14"/>
        <v>43217.772476851853</v>
      </c>
      <c r="G81" s="298" t="str">
        <f t="shared" si="15"/>
        <v>18:32</v>
      </c>
      <c r="H81" s="299" t="str">
        <f t="shared" si="16"/>
        <v>-</v>
      </c>
      <c r="I81" s="300" t="str">
        <f t="shared" si="17"/>
        <v>-</v>
      </c>
      <c r="J81" s="300" t="str">
        <f t="shared" si="18"/>
        <v>-</v>
      </c>
      <c r="K81" s="301">
        <f t="shared" si="19"/>
        <v>1.9166666666666652</v>
      </c>
      <c r="L81" s="301"/>
      <c r="M81" s="302">
        <f t="shared" si="20"/>
        <v>1.9166666666666652</v>
      </c>
      <c r="N81" s="302">
        <f t="shared" si="21"/>
        <v>0</v>
      </c>
      <c r="O81" s="388"/>
    </row>
    <row r="82" spans="1:25">
      <c r="A82">
        <v>9942</v>
      </c>
      <c r="B82" t="s">
        <v>94</v>
      </c>
      <c r="C82" t="s">
        <v>94</v>
      </c>
      <c r="D82" s="143" t="s">
        <v>8</v>
      </c>
      <c r="E82" s="144">
        <v>43217.852187500001</v>
      </c>
      <c r="F82" s="297">
        <f t="shared" si="14"/>
        <v>43217.852187500001</v>
      </c>
      <c r="G82" s="298" t="str">
        <f t="shared" si="15"/>
        <v>20:27</v>
      </c>
      <c r="H82" s="299" t="str">
        <f t="shared" si="16"/>
        <v>-</v>
      </c>
      <c r="I82" s="300" t="str">
        <f t="shared" si="17"/>
        <v>-</v>
      </c>
      <c r="J82" s="300" t="str">
        <f t="shared" si="18"/>
        <v>-</v>
      </c>
      <c r="K82" s="301">
        <f t="shared" si="19"/>
        <v>0</v>
      </c>
      <c r="L82" s="301"/>
      <c r="M82" s="302">
        <f t="shared" si="20"/>
        <v>0</v>
      </c>
      <c r="N82" s="302">
        <f t="shared" si="21"/>
        <v>0</v>
      </c>
      <c r="O82" s="388"/>
      <c r="P82" s="261"/>
      <c r="Q82" s="261"/>
      <c r="R82" s="261"/>
      <c r="S82" s="261"/>
      <c r="T82" s="261"/>
      <c r="U82" s="261"/>
      <c r="V82" s="261"/>
      <c r="W82" s="261"/>
      <c r="X82" s="261"/>
      <c r="Y82" s="261"/>
    </row>
    <row r="83" spans="1:25" s="16" customFormat="1">
      <c r="A83" s="16">
        <v>9966</v>
      </c>
      <c r="B83" s="16" t="s">
        <v>94</v>
      </c>
      <c r="C83" s="16" t="s">
        <v>94</v>
      </c>
      <c r="D83" s="138" t="s">
        <v>6</v>
      </c>
      <c r="E83" s="146">
        <v>43220.569212962961</v>
      </c>
      <c r="F83" s="31">
        <f t="shared" si="14"/>
        <v>43220.569212962961</v>
      </c>
      <c r="G83" s="32" t="str">
        <f t="shared" si="15"/>
        <v>13:39</v>
      </c>
      <c r="H83" s="33">
        <f t="shared" si="16"/>
        <v>4.7999999999999989</v>
      </c>
      <c r="I83" s="58">
        <v>4.5</v>
      </c>
      <c r="J83" s="58">
        <f t="shared" si="18"/>
        <v>3.5</v>
      </c>
      <c r="K83" s="34">
        <f t="shared" si="19"/>
        <v>0</v>
      </c>
      <c r="L83" s="34"/>
      <c r="M83" s="35">
        <f t="shared" si="20"/>
        <v>0</v>
      </c>
      <c r="N83" s="35">
        <f t="shared" si="21"/>
        <v>0</v>
      </c>
      <c r="O83" s="36" t="s">
        <v>111</v>
      </c>
    </row>
    <row r="84" spans="1:25">
      <c r="A84">
        <v>9973</v>
      </c>
      <c r="B84" t="s">
        <v>94</v>
      </c>
      <c r="C84" t="s">
        <v>94</v>
      </c>
      <c r="D84" s="143" t="s">
        <v>5</v>
      </c>
      <c r="E84" s="144">
        <v>43220.769016203703</v>
      </c>
      <c r="F84" s="297">
        <f t="shared" si="14"/>
        <v>43220.769016203703</v>
      </c>
      <c r="G84" s="298" t="str">
        <f t="shared" si="15"/>
        <v>18:27</v>
      </c>
      <c r="H84" s="299" t="str">
        <f t="shared" si="16"/>
        <v>-</v>
      </c>
      <c r="I84" s="300" t="str">
        <f t="shared" si="17"/>
        <v>-</v>
      </c>
      <c r="J84" s="300" t="str">
        <f t="shared" si="18"/>
        <v>-</v>
      </c>
      <c r="K84" s="301">
        <f t="shared" si="19"/>
        <v>0</v>
      </c>
      <c r="L84" s="301"/>
      <c r="M84" s="302">
        <f t="shared" si="20"/>
        <v>0</v>
      </c>
      <c r="N84" s="302">
        <f t="shared" si="21"/>
        <v>0</v>
      </c>
      <c r="O84" s="388"/>
      <c r="P84" s="261"/>
      <c r="Q84" s="261"/>
      <c r="R84" s="261"/>
      <c r="S84" s="261"/>
      <c r="T84" s="261"/>
      <c r="U84" s="261"/>
      <c r="V84" s="261"/>
      <c r="W84" s="261"/>
      <c r="X84" s="261"/>
      <c r="Y84" s="261"/>
    </row>
    <row r="85" spans="1:25">
      <c r="A85">
        <v>9974</v>
      </c>
      <c r="B85" t="s">
        <v>94</v>
      </c>
      <c r="C85" t="s">
        <v>94</v>
      </c>
      <c r="D85" s="143" t="s">
        <v>7</v>
      </c>
      <c r="E85" s="144">
        <v>43220.769050925926</v>
      </c>
      <c r="F85" s="297">
        <f t="shared" si="14"/>
        <v>43220.769050925926</v>
      </c>
      <c r="G85" s="298" t="str">
        <f t="shared" si="15"/>
        <v>18:27</v>
      </c>
      <c r="H85" s="299" t="str">
        <f t="shared" si="16"/>
        <v>-</v>
      </c>
      <c r="I85" s="300" t="str">
        <f t="shared" si="17"/>
        <v>-</v>
      </c>
      <c r="J85" s="300" t="str">
        <f t="shared" si="18"/>
        <v>-</v>
      </c>
      <c r="K85" s="301">
        <f t="shared" si="19"/>
        <v>2.2000000000000002</v>
      </c>
      <c r="L85" s="301"/>
      <c r="M85" s="302">
        <f t="shared" si="20"/>
        <v>2</v>
      </c>
      <c r="N85" s="302">
        <f t="shared" si="21"/>
        <v>0.20000000000000018</v>
      </c>
      <c r="O85" s="388"/>
      <c r="P85" s="261"/>
      <c r="Q85" s="261"/>
      <c r="R85" s="261"/>
      <c r="S85" s="261"/>
      <c r="T85" s="261"/>
      <c r="U85" s="261"/>
      <c r="V85" s="261"/>
      <c r="W85" s="261"/>
      <c r="X85" s="261"/>
      <c r="Y85" s="261"/>
    </row>
    <row r="86" spans="1:25">
      <c r="A86">
        <v>9994</v>
      </c>
      <c r="B86" t="s">
        <v>94</v>
      </c>
      <c r="C86" t="s">
        <v>94</v>
      </c>
      <c r="D86" s="143" t="s">
        <v>8</v>
      </c>
      <c r="E86" s="144">
        <v>43220.860752314817</v>
      </c>
      <c r="F86" s="297">
        <f t="shared" si="14"/>
        <v>43220.860752314817</v>
      </c>
      <c r="G86" s="298" t="str">
        <f t="shared" si="15"/>
        <v>20:39</v>
      </c>
      <c r="H86" s="299" t="str">
        <f>IF(D86="上班",(#REF!-G86)*24,"-")</f>
        <v>-</v>
      </c>
      <c r="I86" s="300" t="str">
        <f t="shared" si="17"/>
        <v>-</v>
      </c>
      <c r="J86" s="300" t="str">
        <f t="shared" si="18"/>
        <v>-</v>
      </c>
      <c r="K86" s="301">
        <f>IF(D86="加班",(#REF!-G86)*24,0)</f>
        <v>0</v>
      </c>
      <c r="L86" s="301"/>
      <c r="M86" s="302">
        <f t="shared" si="20"/>
        <v>0</v>
      </c>
      <c r="N86" s="302">
        <f t="shared" si="21"/>
        <v>0</v>
      </c>
      <c r="O86" s="388"/>
      <c r="P86" s="261"/>
      <c r="Q86" s="261"/>
      <c r="R86" s="261"/>
      <c r="S86" s="261"/>
      <c r="T86" s="261"/>
      <c r="U86" s="261"/>
      <c r="V86" s="261"/>
      <c r="W86" s="261"/>
      <c r="X86" s="261"/>
      <c r="Y86" s="261"/>
    </row>
    <row r="89" spans="1:25">
      <c r="D89" s="9" t="s">
        <v>36</v>
      </c>
      <c r="P89" s="261"/>
      <c r="Q89" s="261"/>
      <c r="R89" s="261"/>
      <c r="S89" s="261"/>
      <c r="T89" s="261"/>
      <c r="U89" s="261"/>
      <c r="V89" s="261"/>
      <c r="W89" s="261"/>
      <c r="X89" s="261"/>
      <c r="Y89" s="261"/>
    </row>
    <row r="90" spans="1:25">
      <c r="D90" s="9" t="s">
        <v>35</v>
      </c>
      <c r="P90" s="261"/>
      <c r="Q90" s="261"/>
      <c r="R90" s="261"/>
      <c r="S90" s="261"/>
      <c r="T90" s="261"/>
      <c r="U90" s="261"/>
      <c r="V90" s="261"/>
      <c r="W90" s="261"/>
      <c r="X90" s="261"/>
      <c r="Y90" s="261"/>
    </row>
    <row r="91" spans="1:25">
      <c r="D91" s="172" t="s">
        <v>63</v>
      </c>
    </row>
    <row r="92" spans="1:25">
      <c r="D92" t="s">
        <v>66</v>
      </c>
    </row>
    <row r="93" spans="1:25">
      <c r="D93" t="s">
        <v>64</v>
      </c>
    </row>
    <row r="94" spans="1:25">
      <c r="D94" t="s">
        <v>68</v>
      </c>
    </row>
    <row r="95" spans="1:25">
      <c r="D95" t="s">
        <v>69</v>
      </c>
    </row>
    <row r="96" spans="1:25">
      <c r="D96" t="s">
        <v>65</v>
      </c>
    </row>
    <row r="97" spans="4:4">
      <c r="D97" t="s">
        <v>67</v>
      </c>
    </row>
  </sheetData>
  <phoneticPr fontId="18" type="noConversion"/>
  <printOptions horizontalCentered="1"/>
  <pageMargins left="0.11811023622047245" right="0.11811023622047245" top="0.35433070866141736" bottom="0" header="0.31496062992125984" footer="0.31496062992125984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工作表24"/>
  <dimension ref="A1:U26"/>
  <sheetViews>
    <sheetView topLeftCell="D1" workbookViewId="0">
      <selection activeCell="J24" sqref="J24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2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2" style="21" customWidth="1" collapsed="1"/>
    <col min="10" max="10" width="15.375" style="21" customWidth="1"/>
    <col min="11" max="11" width="11.125" style="22" hidden="1" customWidth="1" outlineLevel="1"/>
    <col min="12" max="12" width="14.25" style="22" customWidth="1" collapsed="1"/>
    <col min="13" max="13" width="15.75" style="28" customWidth="1"/>
    <col min="14" max="14" width="9" style="9"/>
  </cols>
  <sheetData>
    <row r="1" spans="1:14" s="4" customFormat="1" ht="28.5" thickBot="1">
      <c r="C1" s="5"/>
      <c r="D1" s="6"/>
      <c r="E1" s="6"/>
      <c r="F1" s="10"/>
      <c r="G1" s="11"/>
      <c r="H1" s="12"/>
      <c r="I1" s="13" t="str">
        <f>B7</f>
        <v>albert</v>
      </c>
      <c r="J1" s="46" t="s">
        <v>29</v>
      </c>
      <c r="K1" s="14"/>
      <c r="L1" s="14"/>
      <c r="M1" s="27"/>
      <c r="N1" s="19"/>
    </row>
    <row r="2" spans="1:14">
      <c r="D2" s="23"/>
      <c r="E2" s="29"/>
      <c r="F2" s="79" t="s">
        <v>28</v>
      </c>
      <c r="G2" s="80"/>
      <c r="H2" s="80"/>
      <c r="I2" s="81" t="s">
        <v>24</v>
      </c>
      <c r="J2" s="81"/>
      <c r="K2" s="82"/>
      <c r="L2" s="83"/>
      <c r="M2" s="85" t="s">
        <v>27</v>
      </c>
    </row>
    <row r="3" spans="1:14" ht="17.25" thickBot="1">
      <c r="D3" s="24"/>
      <c r="E3" s="30"/>
      <c r="F3" s="25"/>
      <c r="G3" s="26"/>
      <c r="H3" s="26"/>
      <c r="I3" s="52">
        <f>I6+J6</f>
        <v>72.066666666666663</v>
      </c>
      <c r="J3" s="54"/>
      <c r="K3" s="53"/>
      <c r="L3" s="53"/>
      <c r="M3" s="50"/>
    </row>
    <row r="4" spans="1:14">
      <c r="D4" s="37"/>
      <c r="E4" s="38"/>
      <c r="F4" s="96"/>
      <c r="G4" s="70"/>
      <c r="H4" s="70"/>
      <c r="I4" s="114" t="s">
        <v>20</v>
      </c>
      <c r="J4" s="114" t="s">
        <v>101</v>
      </c>
      <c r="K4" s="114" t="s">
        <v>97</v>
      </c>
      <c r="L4" s="114" t="s">
        <v>98</v>
      </c>
      <c r="M4" s="98"/>
    </row>
    <row r="5" spans="1:14">
      <c r="D5" s="40"/>
      <c r="E5" s="7"/>
      <c r="F5" s="99" t="s">
        <v>26</v>
      </c>
      <c r="G5" s="72"/>
      <c r="H5" s="72"/>
      <c r="I5" s="118" t="s">
        <v>81</v>
      </c>
      <c r="J5" s="118" t="s">
        <v>99</v>
      </c>
      <c r="K5" s="118" t="s">
        <v>100</v>
      </c>
      <c r="L5" s="118" t="s">
        <v>102</v>
      </c>
      <c r="M5" s="102"/>
    </row>
    <row r="6" spans="1:14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124">
        <f>SUM(I7:I90)</f>
        <v>70.11666666666666</v>
      </c>
      <c r="J6" s="124">
        <f>SUM(J7:J90)</f>
        <v>1.9499999999999993</v>
      </c>
      <c r="K6" s="124">
        <f>SUM(K9:K22)</f>
        <v>0</v>
      </c>
      <c r="L6" s="124">
        <f>SUM(L9:L22)</f>
        <v>0</v>
      </c>
      <c r="M6" s="103"/>
    </row>
    <row r="7" spans="1:14" s="16" customFormat="1">
      <c r="A7" s="140">
        <v>9355</v>
      </c>
      <c r="B7" s="140" t="s">
        <v>42</v>
      </c>
      <c r="C7" s="140" t="s">
        <v>42</v>
      </c>
      <c r="D7" s="143" t="s">
        <v>6</v>
      </c>
      <c r="E7" s="144">
        <v>43193.412835648145</v>
      </c>
      <c r="F7" s="104">
        <f t="shared" ref="F7" si="0">E7</f>
        <v>43193.412835648145</v>
      </c>
      <c r="G7" s="125" t="str">
        <f t="shared" ref="G7" si="1">HOUR(E7)&amp;":"&amp;MINUTE(E7)</f>
        <v>9:54</v>
      </c>
      <c r="H7" s="126">
        <f t="shared" ref="H7" si="2">IF(D7="上班",(G8-G7)*24,"-")</f>
        <v>9.1166666666666654</v>
      </c>
      <c r="I7" s="92">
        <f>IF(D7="上班",IF(H7-1.5&gt;8,8,H7-1.5),"-")</f>
        <v>7.6166666666666654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164"/>
      <c r="N7" s="137"/>
    </row>
    <row r="8" spans="1:14" s="16" customFormat="1">
      <c r="A8" s="140">
        <v>9371</v>
      </c>
      <c r="B8" s="140" t="s">
        <v>42</v>
      </c>
      <c r="C8" s="140" t="s">
        <v>42</v>
      </c>
      <c r="D8" s="143" t="s">
        <v>5</v>
      </c>
      <c r="E8" s="144">
        <v>43193.792546296296</v>
      </c>
      <c r="F8" s="104">
        <f t="shared" ref="F8:F26" si="4">E8</f>
        <v>43193.792546296296</v>
      </c>
      <c r="G8" s="125" t="str">
        <f t="shared" ref="G8:G26" si="5">HOUR(E8)&amp;":"&amp;MINUTE(E8)</f>
        <v>19:1</v>
      </c>
      <c r="H8" s="126" t="str">
        <f t="shared" ref="H8:H26" si="6">IF(D8="上班",(G9-G8)*24,"-")</f>
        <v>-</v>
      </c>
      <c r="I8" s="92" t="str">
        <f t="shared" ref="I8:I26" si="7">IF(D8="上班",IF(H8-1.5&gt;8,8,H8-1.5),"-")</f>
        <v>-</v>
      </c>
      <c r="J8" s="92" t="str">
        <f t="shared" ref="J8:J26" si="8">IF(D8="上班",IF(H8&gt;(8+2),(H8-8-1.5-0.5),"-"),"-")</f>
        <v>-</v>
      </c>
      <c r="K8" s="93">
        <f t="shared" ref="K8:K26" si="9">IF(D8="加班",(G9-G8)*24,0)</f>
        <v>0</v>
      </c>
      <c r="L8" s="93"/>
      <c r="M8" s="164"/>
      <c r="N8" s="137"/>
    </row>
    <row r="9" spans="1:14" s="16" customFormat="1">
      <c r="A9" s="140">
        <v>9479</v>
      </c>
      <c r="B9" s="140" t="s">
        <v>42</v>
      </c>
      <c r="C9" s="140" t="s">
        <v>42</v>
      </c>
      <c r="D9" s="143" t="s">
        <v>6</v>
      </c>
      <c r="E9" s="144">
        <v>43200.4215625</v>
      </c>
      <c r="F9" s="104">
        <f t="shared" si="4"/>
        <v>43200.4215625</v>
      </c>
      <c r="G9" s="125" t="str">
        <f t="shared" si="5"/>
        <v>10:7</v>
      </c>
      <c r="H9" s="126">
        <f t="shared" si="6"/>
        <v>9.4333333333333336</v>
      </c>
      <c r="I9" s="92">
        <f t="shared" si="7"/>
        <v>7.9333333333333336</v>
      </c>
      <c r="J9" s="92" t="str">
        <f t="shared" si="8"/>
        <v>-</v>
      </c>
      <c r="K9" s="93">
        <f t="shared" si="9"/>
        <v>0</v>
      </c>
      <c r="L9" s="93"/>
      <c r="M9" s="164"/>
      <c r="N9" s="137"/>
    </row>
    <row r="10" spans="1:14" s="63" customFormat="1">
      <c r="A10" s="140">
        <v>9494</v>
      </c>
      <c r="B10" s="140" t="s">
        <v>42</v>
      </c>
      <c r="C10" s="140" t="s">
        <v>42</v>
      </c>
      <c r="D10" s="143" t="s">
        <v>5</v>
      </c>
      <c r="E10" s="144">
        <v>43200.814814814818</v>
      </c>
      <c r="F10" s="104">
        <f t="shared" si="4"/>
        <v>43200.814814814818</v>
      </c>
      <c r="G10" s="125" t="str">
        <f t="shared" si="5"/>
        <v>19:33</v>
      </c>
      <c r="H10" s="126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164"/>
      <c r="N10" s="18"/>
    </row>
    <row r="11" spans="1:14" s="16" customFormat="1">
      <c r="A11" s="145">
        <v>9479</v>
      </c>
      <c r="B11" s="145" t="s">
        <v>42</v>
      </c>
      <c r="C11" s="145" t="s">
        <v>42</v>
      </c>
      <c r="D11" s="403" t="s">
        <v>6</v>
      </c>
      <c r="E11" s="146">
        <v>43201.416701388887</v>
      </c>
      <c r="F11" s="104">
        <f t="shared" si="4"/>
        <v>43201.416701388887</v>
      </c>
      <c r="G11" s="125" t="str">
        <f t="shared" si="5"/>
        <v>10:0</v>
      </c>
      <c r="H11" s="126">
        <f t="shared" si="6"/>
        <v>8.0166666666666657</v>
      </c>
      <c r="I11" s="92">
        <f t="shared" si="7"/>
        <v>6.5166666666666657</v>
      </c>
      <c r="J11" s="92" t="str">
        <f t="shared" si="8"/>
        <v>-</v>
      </c>
      <c r="K11" s="93">
        <f t="shared" si="9"/>
        <v>0</v>
      </c>
      <c r="L11" s="93"/>
      <c r="M11" s="164"/>
      <c r="N11" s="137"/>
    </row>
    <row r="12" spans="1:14" s="16" customFormat="1">
      <c r="A12" s="140">
        <v>9519</v>
      </c>
      <c r="B12" s="140" t="s">
        <v>42</v>
      </c>
      <c r="C12" s="140" t="s">
        <v>42</v>
      </c>
      <c r="D12" s="143" t="s">
        <v>5</v>
      </c>
      <c r="E12" s="144">
        <v>43201.751087962963</v>
      </c>
      <c r="F12" s="104">
        <f t="shared" si="4"/>
        <v>43201.751087962963</v>
      </c>
      <c r="G12" s="125" t="str">
        <f t="shared" si="5"/>
        <v>18:1</v>
      </c>
      <c r="H12" s="126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164"/>
      <c r="N12" s="137"/>
    </row>
    <row r="13" spans="1:14">
      <c r="A13">
        <v>9543</v>
      </c>
      <c r="B13" t="s">
        <v>42</v>
      </c>
      <c r="C13" t="s">
        <v>42</v>
      </c>
      <c r="D13" s="143" t="s">
        <v>6</v>
      </c>
      <c r="E13" s="144">
        <v>43202.391099537039</v>
      </c>
      <c r="F13" s="104">
        <f t="shared" si="4"/>
        <v>43202.391099537039</v>
      </c>
      <c r="G13" s="125" t="str">
        <f t="shared" si="5"/>
        <v>9:23</v>
      </c>
      <c r="H13" s="126">
        <f t="shared" si="6"/>
        <v>10.916666666666666</v>
      </c>
      <c r="I13" s="92">
        <f t="shared" si="7"/>
        <v>8</v>
      </c>
      <c r="J13" s="92">
        <f t="shared" si="8"/>
        <v>0.91666666666666607</v>
      </c>
      <c r="K13" s="93">
        <f t="shared" si="9"/>
        <v>0</v>
      </c>
      <c r="L13" s="93"/>
      <c r="M13" s="164"/>
    </row>
    <row r="14" spans="1:14">
      <c r="A14">
        <v>9562</v>
      </c>
      <c r="B14" t="s">
        <v>42</v>
      </c>
      <c r="C14" t="s">
        <v>42</v>
      </c>
      <c r="D14" s="143" t="s">
        <v>5</v>
      </c>
      <c r="E14" s="144">
        <v>43202.846388888887</v>
      </c>
      <c r="F14" s="104">
        <f t="shared" si="4"/>
        <v>43202.846388888887</v>
      </c>
      <c r="G14" s="125" t="str">
        <f t="shared" si="5"/>
        <v>20:18</v>
      </c>
      <c r="H14" s="126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164"/>
    </row>
    <row r="15" spans="1:14">
      <c r="A15">
        <v>9651</v>
      </c>
      <c r="B15" t="s">
        <v>42</v>
      </c>
      <c r="C15" t="s">
        <v>42</v>
      </c>
      <c r="D15" s="143" t="s">
        <v>6</v>
      </c>
      <c r="E15" s="144">
        <v>43207.400138888886</v>
      </c>
      <c r="F15" s="104">
        <f t="shared" si="4"/>
        <v>43207.400138888886</v>
      </c>
      <c r="G15" s="125" t="str">
        <f t="shared" si="5"/>
        <v>9:36</v>
      </c>
      <c r="H15" s="126">
        <f t="shared" si="6"/>
        <v>3.2333333333333338</v>
      </c>
      <c r="I15" s="92">
        <f>IF(D15="上班",IF(H15-1.5&gt;8,8,H15-1.5),"-")+1.5</f>
        <v>3.2333333333333338</v>
      </c>
      <c r="J15" s="92" t="str">
        <f t="shared" si="8"/>
        <v>-</v>
      </c>
      <c r="K15" s="93">
        <f t="shared" si="9"/>
        <v>0</v>
      </c>
      <c r="L15" s="93"/>
      <c r="M15" s="164"/>
    </row>
    <row r="16" spans="1:14">
      <c r="A16">
        <v>9653</v>
      </c>
      <c r="B16" t="s">
        <v>42</v>
      </c>
      <c r="C16" t="s">
        <v>42</v>
      </c>
      <c r="D16" s="143" t="s">
        <v>5</v>
      </c>
      <c r="E16" s="144">
        <v>43207.535219907404</v>
      </c>
      <c r="F16" s="104">
        <f t="shared" si="4"/>
        <v>43207.535219907404</v>
      </c>
      <c r="G16" s="125" t="str">
        <f t="shared" si="5"/>
        <v>12:50</v>
      </c>
      <c r="H16" s="126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164"/>
    </row>
    <row r="17" spans="1:21" s="63" customFormat="1">
      <c r="A17">
        <v>9678</v>
      </c>
      <c r="B17" t="s">
        <v>42</v>
      </c>
      <c r="C17" t="s">
        <v>42</v>
      </c>
      <c r="D17" s="143" t="s">
        <v>6</v>
      </c>
      <c r="E17" s="144">
        <v>43208.565104166664</v>
      </c>
      <c r="F17" s="104">
        <f t="shared" si="4"/>
        <v>43208.565104166664</v>
      </c>
      <c r="G17" s="125" t="str">
        <f t="shared" si="5"/>
        <v>13:33</v>
      </c>
      <c r="H17" s="126">
        <f t="shared" si="6"/>
        <v>4.9166666666666652</v>
      </c>
      <c r="I17" s="92">
        <f>IF(D17="上班",IF(H17-1.5&gt;8,8,H17-1.5),"-")+1.5</f>
        <v>4.9166666666666652</v>
      </c>
      <c r="J17" s="92" t="str">
        <f t="shared" si="8"/>
        <v>-</v>
      </c>
      <c r="K17" s="93">
        <f t="shared" si="9"/>
        <v>0</v>
      </c>
      <c r="L17" s="93"/>
      <c r="M17" s="164"/>
      <c r="N17" s="18"/>
    </row>
    <row r="18" spans="1:21" s="63" customFormat="1">
      <c r="A18">
        <v>9681</v>
      </c>
      <c r="B18" t="s">
        <v>42</v>
      </c>
      <c r="C18" t="s">
        <v>42</v>
      </c>
      <c r="D18" s="143" t="s">
        <v>5</v>
      </c>
      <c r="E18" s="144">
        <v>43208.769479166665</v>
      </c>
      <c r="F18" s="104">
        <f t="shared" si="4"/>
        <v>43208.769479166665</v>
      </c>
      <c r="G18" s="125" t="str">
        <f t="shared" si="5"/>
        <v>18:28</v>
      </c>
      <c r="H18" s="126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164"/>
      <c r="N18" s="18"/>
    </row>
    <row r="19" spans="1:21">
      <c r="A19">
        <v>9708</v>
      </c>
      <c r="B19" t="s">
        <v>42</v>
      </c>
      <c r="C19" t="s">
        <v>42</v>
      </c>
      <c r="D19" s="143" t="s">
        <v>6</v>
      </c>
      <c r="E19" s="144">
        <v>43209.387789351851</v>
      </c>
      <c r="F19" s="104">
        <f t="shared" si="4"/>
        <v>43209.387789351851</v>
      </c>
      <c r="G19" s="125" t="str">
        <f t="shared" si="5"/>
        <v>9:18</v>
      </c>
      <c r="H19" s="126">
        <f t="shared" si="6"/>
        <v>11.033333333333333</v>
      </c>
      <c r="I19" s="92">
        <f t="shared" si="7"/>
        <v>8</v>
      </c>
      <c r="J19" s="92">
        <f t="shared" si="8"/>
        <v>1.0333333333333332</v>
      </c>
      <c r="K19" s="93">
        <f t="shared" si="9"/>
        <v>0</v>
      </c>
      <c r="L19" s="93"/>
      <c r="M19" s="164"/>
    </row>
    <row r="20" spans="1:21">
      <c r="A20">
        <v>9726</v>
      </c>
      <c r="B20" t="s">
        <v>42</v>
      </c>
      <c r="C20" t="s">
        <v>42</v>
      </c>
      <c r="D20" s="143" t="s">
        <v>5</v>
      </c>
      <c r="E20" s="144">
        <v>43209.847280092596</v>
      </c>
      <c r="F20" s="104">
        <f t="shared" si="4"/>
        <v>43209.847280092596</v>
      </c>
      <c r="G20" s="125" t="str">
        <f t="shared" si="5"/>
        <v>20:20</v>
      </c>
      <c r="H20" s="126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164"/>
      <c r="U20" t="s">
        <v>55</v>
      </c>
    </row>
    <row r="21" spans="1:21">
      <c r="A21">
        <v>9811</v>
      </c>
      <c r="B21" t="s">
        <v>42</v>
      </c>
      <c r="C21" t="s">
        <v>42</v>
      </c>
      <c r="D21" s="143" t="s">
        <v>6</v>
      </c>
      <c r="E21" s="144">
        <v>43214.385370370372</v>
      </c>
      <c r="F21" s="104">
        <f t="shared" si="4"/>
        <v>43214.385370370372</v>
      </c>
      <c r="G21" s="125" t="str">
        <f t="shared" si="5"/>
        <v>9:14</v>
      </c>
      <c r="H21" s="126">
        <f t="shared" si="6"/>
        <v>9.6666666666666679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164"/>
    </row>
    <row r="22" spans="1:21">
      <c r="A22">
        <v>9826</v>
      </c>
      <c r="B22" t="s">
        <v>42</v>
      </c>
      <c r="C22" t="s">
        <v>42</v>
      </c>
      <c r="D22" s="143" t="s">
        <v>5</v>
      </c>
      <c r="E22" s="144">
        <v>43214.787962962961</v>
      </c>
      <c r="F22" s="104">
        <f t="shared" si="4"/>
        <v>43214.787962962961</v>
      </c>
      <c r="G22" s="125" t="str">
        <f t="shared" si="5"/>
        <v>18:54</v>
      </c>
      <c r="H22" s="126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164"/>
    </row>
    <row r="23" spans="1:21">
      <c r="A23">
        <v>9845</v>
      </c>
      <c r="B23" t="s">
        <v>42</v>
      </c>
      <c r="C23" t="s">
        <v>42</v>
      </c>
      <c r="D23" s="143" t="s">
        <v>6</v>
      </c>
      <c r="E23" s="144">
        <v>43215.402719907404</v>
      </c>
      <c r="F23" s="104">
        <f t="shared" si="4"/>
        <v>43215.402719907404</v>
      </c>
      <c r="G23" s="125" t="str">
        <f t="shared" si="5"/>
        <v>9:39</v>
      </c>
      <c r="H23" s="126">
        <f t="shared" si="6"/>
        <v>9.65</v>
      </c>
      <c r="I23" s="92">
        <f t="shared" si="7"/>
        <v>8</v>
      </c>
      <c r="J23" s="92" t="str">
        <f t="shared" si="8"/>
        <v>-</v>
      </c>
      <c r="K23" s="93">
        <f t="shared" si="9"/>
        <v>0</v>
      </c>
      <c r="L23" s="93"/>
      <c r="M23" s="164"/>
    </row>
    <row r="24" spans="1:21">
      <c r="A24">
        <v>9864</v>
      </c>
      <c r="B24" t="s">
        <v>105</v>
      </c>
      <c r="C24" t="s">
        <v>42</v>
      </c>
      <c r="D24" s="143" t="s">
        <v>5</v>
      </c>
      <c r="E24" s="144">
        <v>43215.8044212963</v>
      </c>
      <c r="F24" s="104">
        <f t="shared" si="4"/>
        <v>43215.8044212963</v>
      </c>
      <c r="G24" s="125" t="str">
        <f t="shared" si="5"/>
        <v>19:18</v>
      </c>
      <c r="H24" s="126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164"/>
    </row>
    <row r="25" spans="1:21">
      <c r="A25">
        <v>9881</v>
      </c>
      <c r="B25" t="s">
        <v>42</v>
      </c>
      <c r="C25" t="s">
        <v>42</v>
      </c>
      <c r="D25" s="143" t="s">
        <v>6</v>
      </c>
      <c r="E25" s="144">
        <v>43216.395104166666</v>
      </c>
      <c r="F25" s="104">
        <f t="shared" si="4"/>
        <v>43216.395104166666</v>
      </c>
      <c r="G25" s="125" t="str">
        <f t="shared" si="5"/>
        <v>9:28</v>
      </c>
      <c r="H25" s="126">
        <f t="shared" si="6"/>
        <v>9.4</v>
      </c>
      <c r="I25" s="92">
        <f t="shared" si="7"/>
        <v>7.9</v>
      </c>
      <c r="J25" s="92" t="str">
        <f t="shared" si="8"/>
        <v>-</v>
      </c>
      <c r="K25" s="93">
        <f t="shared" si="9"/>
        <v>0</v>
      </c>
      <c r="L25" s="93"/>
      <c r="M25" s="164"/>
    </row>
    <row r="26" spans="1:21" s="63" customFormat="1">
      <c r="A26">
        <v>9901</v>
      </c>
      <c r="B26" t="s">
        <v>42</v>
      </c>
      <c r="C26" t="s">
        <v>42</v>
      </c>
      <c r="D26" s="143" t="s">
        <v>5</v>
      </c>
      <c r="E26" s="144">
        <v>43216.786423611113</v>
      </c>
      <c r="F26" s="104">
        <f t="shared" si="4"/>
        <v>43216.786423611113</v>
      </c>
      <c r="G26" s="125" t="str">
        <f t="shared" si="5"/>
        <v>18:52</v>
      </c>
      <c r="H26" s="126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164"/>
      <c r="N26" s="18"/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工作表25"/>
  <dimension ref="A1:P11"/>
  <sheetViews>
    <sheetView view="pageBreakPreview" topLeftCell="D1" zoomScaleNormal="100" zoomScaleSheetLayoutView="100" workbookViewId="0">
      <selection activeCell="Q18" sqref="Q18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denver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5.9999999999999982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SUM(I7:I11)</f>
        <v>5.9999999999999982</v>
      </c>
      <c r="J6" s="124">
        <v>0</v>
      </c>
      <c r="K6" s="124">
        <f>SUM(K9:K11)</f>
        <v>0</v>
      </c>
      <c r="L6" s="124">
        <f>SUM(L9:L11)</f>
        <v>0</v>
      </c>
      <c r="M6" s="124">
        <f>SUM(M7:M11)</f>
        <v>0</v>
      </c>
      <c r="N6" s="124">
        <f>SUM(N7:N11)</f>
        <v>0</v>
      </c>
      <c r="O6" s="45"/>
    </row>
    <row r="7" spans="1:16" s="63" customFormat="1">
      <c r="A7" s="145">
        <v>9223</v>
      </c>
      <c r="B7" s="145" t="s">
        <v>96</v>
      </c>
      <c r="C7" s="145" t="s">
        <v>96</v>
      </c>
      <c r="D7" s="403" t="s">
        <v>6</v>
      </c>
      <c r="E7" s="146">
        <v>43174.583807870367</v>
      </c>
      <c r="F7" s="104">
        <f>E7</f>
        <v>43174.583807870367</v>
      </c>
      <c r="G7" s="125" t="str">
        <f>HOUR(E7)&amp;":"&amp;MINUTE(E7)</f>
        <v>14:0</v>
      </c>
      <c r="H7" s="126">
        <f t="shared" ref="H7" si="0">IF(D7="上班",(G8-G7)*24,"-")</f>
        <v>3.4999999999999982</v>
      </c>
      <c r="I7" s="92">
        <f>IF(D7="上班",IF(H7-1.5&gt;8,8,H7-1.5),"-")+1.5</f>
        <v>3.4999999999999982</v>
      </c>
      <c r="J7" s="127"/>
      <c r="K7" s="128">
        <f t="shared" ref="K7" si="1">IF(D7="加班",(G8-G7)*24,0)</f>
        <v>0</v>
      </c>
      <c r="L7" s="128"/>
      <c r="M7" s="129">
        <f t="shared" ref="M7" si="2">IF(K7&gt;2,2,K7)</f>
        <v>0</v>
      </c>
      <c r="N7" s="129">
        <f t="shared" ref="N7" si="3">IF(K7&gt;2,K7-2,0)</f>
        <v>0</v>
      </c>
      <c r="O7" s="164"/>
      <c r="P7" s="18"/>
    </row>
    <row r="8" spans="1:16" s="63" customFormat="1">
      <c r="A8" s="145">
        <v>9223</v>
      </c>
      <c r="B8" s="145" t="s">
        <v>96</v>
      </c>
      <c r="C8" s="145" t="s">
        <v>96</v>
      </c>
      <c r="D8" s="403" t="s">
        <v>5</v>
      </c>
      <c r="E8" s="146">
        <v>43174.729548611111</v>
      </c>
      <c r="F8" s="104">
        <f t="shared" ref="F8:F10" si="4">E8</f>
        <v>43174.729548611111</v>
      </c>
      <c r="G8" s="125" t="str">
        <f t="shared" ref="G8:G10" si="5">HOUR(E8)&amp;":"&amp;MINUTE(E8)</f>
        <v>17:30</v>
      </c>
      <c r="H8" s="126" t="str">
        <f t="shared" ref="H8:H10" si="6">IF(D8="上班",(G9-G8)*24,"-")</f>
        <v>-</v>
      </c>
      <c r="I8" s="92" t="str">
        <f>IF(D8="上班",IF(H8-1.5&gt;8,8,H8-1.5),"-")</f>
        <v>-</v>
      </c>
      <c r="J8" s="127"/>
      <c r="K8" s="128">
        <f t="shared" ref="K8:K10" si="7">IF(D8="加班",(G9-G8)*24,0)</f>
        <v>0</v>
      </c>
      <c r="L8" s="128"/>
      <c r="M8" s="129">
        <f t="shared" ref="M8:M10" si="8">IF(K8&gt;2,2,K8)</f>
        <v>0</v>
      </c>
      <c r="N8" s="129">
        <f t="shared" ref="N8:N10" si="9">IF(K8&gt;2,K8-2,0)</f>
        <v>0</v>
      </c>
      <c r="O8" s="164" t="s">
        <v>104</v>
      </c>
      <c r="P8" s="18"/>
    </row>
    <row r="9" spans="1:16">
      <c r="A9" s="398">
        <v>9223</v>
      </c>
      <c r="B9" s="398" t="s">
        <v>96</v>
      </c>
      <c r="C9" s="398" t="s">
        <v>96</v>
      </c>
      <c r="D9" s="403" t="s">
        <v>6</v>
      </c>
      <c r="E9" s="146">
        <v>43187.417141203703</v>
      </c>
      <c r="F9" s="104">
        <f t="shared" si="4"/>
        <v>43187.417141203703</v>
      </c>
      <c r="G9" s="125" t="str">
        <f t="shared" si="5"/>
        <v>10:0</v>
      </c>
      <c r="H9" s="126">
        <f t="shared" si="6"/>
        <v>2.5000000000000004</v>
      </c>
      <c r="I9" s="92">
        <f t="shared" ref="I9" si="10">IF(D9="上班",IF(H9-1.5&gt;8,8,H9-1.5),"-")+1.5</f>
        <v>2.5000000000000004</v>
      </c>
      <c r="J9" s="127"/>
      <c r="K9" s="128">
        <f t="shared" si="7"/>
        <v>0</v>
      </c>
      <c r="L9" s="128"/>
      <c r="M9" s="129">
        <f t="shared" si="8"/>
        <v>0</v>
      </c>
      <c r="N9" s="129">
        <f t="shared" si="9"/>
        <v>0</v>
      </c>
      <c r="O9" s="164"/>
    </row>
    <row r="10" spans="1:16">
      <c r="A10" s="398">
        <v>9223</v>
      </c>
      <c r="B10" s="398" t="s">
        <v>96</v>
      </c>
      <c r="C10" s="398" t="s">
        <v>96</v>
      </c>
      <c r="D10" s="403" t="s">
        <v>5</v>
      </c>
      <c r="E10" s="146">
        <v>43187.521215277775</v>
      </c>
      <c r="F10" s="104">
        <f t="shared" si="4"/>
        <v>43187.521215277775</v>
      </c>
      <c r="G10" s="125" t="str">
        <f t="shared" si="5"/>
        <v>12:30</v>
      </c>
      <c r="H10" s="126" t="str">
        <f t="shared" si="6"/>
        <v>-</v>
      </c>
      <c r="I10" s="92" t="str">
        <f>IF(D10="上班",IF(H10-1.5&gt;8,8,H10-1.5),"-")</f>
        <v>-</v>
      </c>
      <c r="J10" s="127"/>
      <c r="K10" s="128">
        <f t="shared" si="7"/>
        <v>0</v>
      </c>
      <c r="L10" s="128"/>
      <c r="M10" s="129">
        <f t="shared" si="8"/>
        <v>0</v>
      </c>
      <c r="N10" s="129">
        <f t="shared" si="9"/>
        <v>0</v>
      </c>
      <c r="O10" s="164" t="s">
        <v>103</v>
      </c>
    </row>
    <row r="11" spans="1:16">
      <c r="D11" s="178"/>
      <c r="E11" s="17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工作表26"/>
  <dimension ref="A1:P52"/>
  <sheetViews>
    <sheetView view="pageBreakPreview" topLeftCell="D1" zoomScaleNormal="100" zoomScaleSheetLayoutView="100" workbookViewId="0">
      <selection activeCell="J9" sqref="J9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.12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1.75" style="21" customWidth="1" collapsed="1"/>
    <col min="10" max="10" width="12.125" style="21" customWidth="1"/>
    <col min="11" max="11" width="2.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5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wilson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145.65000000000003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SUM(I7:I44)</f>
        <v>127.75000000000001</v>
      </c>
      <c r="J6" s="124">
        <f>SUM(J7:J44)</f>
        <v>17.900000000000006</v>
      </c>
      <c r="K6" s="124">
        <f>SUM(K9:K18)</f>
        <v>0</v>
      </c>
      <c r="L6" s="124">
        <f>SUM(L9:L18)</f>
        <v>0</v>
      </c>
      <c r="M6" s="124">
        <f>SUM(M9:M18)</f>
        <v>0</v>
      </c>
      <c r="N6" s="124">
        <f>SUM(N9:N18)</f>
        <v>0</v>
      </c>
      <c r="O6" s="45"/>
    </row>
    <row r="7" spans="1:16" s="63" customFormat="1">
      <c r="A7" s="140">
        <v>8497</v>
      </c>
      <c r="B7" s="140" t="s">
        <v>90</v>
      </c>
      <c r="C7" s="140" t="s">
        <v>89</v>
      </c>
      <c r="D7" s="143" t="s">
        <v>6</v>
      </c>
      <c r="E7" s="144">
        <v>43160.376539351855</v>
      </c>
      <c r="F7" s="104">
        <f>E7</f>
        <v>43160.376539351855</v>
      </c>
      <c r="G7" s="125" t="str">
        <f>HOUR(E7)&amp;":"&amp;MINUTE(E7)</f>
        <v>9:2</v>
      </c>
      <c r="H7" s="33">
        <f t="shared" ref="H7" si="0">IF(D7="上班",(G8-G7)*24,"-")</f>
        <v>9.2333333333333325</v>
      </c>
      <c r="I7" s="92">
        <f>IF(D7="上班",IF(H7-1.5&gt;8,8,H7-1.5),"-")</f>
        <v>7.7333333333333325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" si="3">IF(K7&gt;2,K7-2,0)</f>
        <v>0</v>
      </c>
      <c r="O7" s="164"/>
      <c r="P7" s="18"/>
    </row>
    <row r="8" spans="1:16">
      <c r="A8" s="140">
        <v>8500</v>
      </c>
      <c r="B8" s="140" t="s">
        <v>89</v>
      </c>
      <c r="C8" s="140" t="s">
        <v>89</v>
      </c>
      <c r="D8" s="143" t="s">
        <v>5</v>
      </c>
      <c r="E8" s="144">
        <v>43160.761712962965</v>
      </c>
      <c r="F8" s="104">
        <f t="shared" ref="F8:F52" si="4">E8</f>
        <v>43160.761712962965</v>
      </c>
      <c r="G8" s="125" t="str">
        <f t="shared" ref="G8:G52" si="5">HOUR(E8)&amp;":"&amp;MINUTE(E8)</f>
        <v>18:16</v>
      </c>
      <c r="H8" s="33" t="str">
        <f t="shared" ref="H8:H52" si="6">IF(D8="上班",(G9-G8)*24,"-")</f>
        <v>-</v>
      </c>
      <c r="I8" s="92" t="str">
        <f t="shared" ref="I8:I52" si="7">IF(D8="上班",IF(H8-1.5&gt;8,8,H8-1.5),"-")</f>
        <v>-</v>
      </c>
      <c r="J8" s="92" t="str">
        <f t="shared" ref="J8:J52" si="8">IF(D8="上班",IF(H8&gt;(8+2),(H8-8-1.5-0.5),"-"),"-")</f>
        <v>-</v>
      </c>
      <c r="K8" s="93">
        <f t="shared" ref="K8:K52" si="9">IF(D8="加班",(G9-G8)*24,0)</f>
        <v>0</v>
      </c>
      <c r="L8" s="93"/>
      <c r="M8" s="94">
        <f t="shared" ref="M8:M52" si="10">IF(K8&gt;2,K8-2,0)</f>
        <v>0</v>
      </c>
      <c r="N8" s="129">
        <f t="shared" ref="N8:N52" si="11">IF(K8&gt;2,K8-2,0)</f>
        <v>0</v>
      </c>
      <c r="O8" s="164"/>
    </row>
    <row r="9" spans="1:16" s="63" customFormat="1">
      <c r="A9" s="140">
        <v>8530</v>
      </c>
      <c r="B9" s="140" t="s">
        <v>89</v>
      </c>
      <c r="C9" s="140" t="s">
        <v>89</v>
      </c>
      <c r="D9" s="143" t="s">
        <v>6</v>
      </c>
      <c r="E9" s="144">
        <v>43161.382303240738</v>
      </c>
      <c r="F9" s="104">
        <f t="shared" si="4"/>
        <v>43161.382303240738</v>
      </c>
      <c r="G9" s="125" t="str">
        <f t="shared" si="5"/>
        <v>9:10</v>
      </c>
      <c r="H9" s="33">
        <f t="shared" si="6"/>
        <v>12.166666666666666</v>
      </c>
      <c r="I9" s="92">
        <f t="shared" si="7"/>
        <v>8</v>
      </c>
      <c r="J9" s="92">
        <f t="shared" si="8"/>
        <v>2.1666666666666661</v>
      </c>
      <c r="K9" s="93">
        <f t="shared" si="9"/>
        <v>0</v>
      </c>
      <c r="L9" s="93"/>
      <c r="M9" s="94">
        <f t="shared" si="10"/>
        <v>0</v>
      </c>
      <c r="N9" s="129">
        <f t="shared" si="11"/>
        <v>0</v>
      </c>
      <c r="O9" s="164"/>
      <c r="P9" s="18"/>
    </row>
    <row r="10" spans="1:16">
      <c r="A10" s="140">
        <v>8500</v>
      </c>
      <c r="B10" s="140" t="s">
        <v>89</v>
      </c>
      <c r="C10" s="140" t="s">
        <v>89</v>
      </c>
      <c r="D10" s="143" t="s">
        <v>5</v>
      </c>
      <c r="E10" s="144">
        <v>43161.889490740738</v>
      </c>
      <c r="F10" s="104">
        <f t="shared" si="4"/>
        <v>43161.889490740738</v>
      </c>
      <c r="G10" s="125" t="str">
        <f t="shared" si="5"/>
        <v>21:20</v>
      </c>
      <c r="H10" s="33" t="str">
        <f t="shared" si="6"/>
        <v>-</v>
      </c>
      <c r="I10" s="92" t="str">
        <f t="shared" si="7"/>
        <v>-</v>
      </c>
      <c r="J10" s="92" t="str">
        <f t="shared" si="8"/>
        <v>-</v>
      </c>
      <c r="K10" s="93">
        <f t="shared" si="9"/>
        <v>0</v>
      </c>
      <c r="L10" s="93"/>
      <c r="M10" s="94">
        <f t="shared" si="10"/>
        <v>0</v>
      </c>
      <c r="N10" s="129">
        <f t="shared" si="11"/>
        <v>0</v>
      </c>
      <c r="O10" s="164"/>
    </row>
    <row r="11" spans="1:16">
      <c r="A11" s="140">
        <v>8549</v>
      </c>
      <c r="B11" s="140" t="s">
        <v>90</v>
      </c>
      <c r="C11" s="140" t="s">
        <v>89</v>
      </c>
      <c r="D11" s="143" t="s">
        <v>6</v>
      </c>
      <c r="E11" s="144">
        <v>43162.486400462964</v>
      </c>
      <c r="F11" s="104">
        <f t="shared" si="4"/>
        <v>43162.486400462964</v>
      </c>
      <c r="G11" s="125" t="str">
        <f t="shared" si="5"/>
        <v>11:40</v>
      </c>
      <c r="H11" s="33">
        <f t="shared" si="6"/>
        <v>4.2166666666666668</v>
      </c>
      <c r="I11" s="92">
        <f>IF(D11="上班",IF(H11-1.5&gt;8,8,H11-1.5),"-")+1.5</f>
        <v>4.2166666666666668</v>
      </c>
      <c r="J11" s="92" t="str">
        <f t="shared" si="8"/>
        <v>-</v>
      </c>
      <c r="K11" s="93">
        <f t="shared" si="9"/>
        <v>0</v>
      </c>
      <c r="L11" s="93"/>
      <c r="M11" s="94">
        <f t="shared" si="10"/>
        <v>0</v>
      </c>
      <c r="N11" s="129">
        <f t="shared" si="11"/>
        <v>0</v>
      </c>
      <c r="O11" s="164"/>
    </row>
    <row r="12" spans="1:16">
      <c r="A12" s="140">
        <v>8552</v>
      </c>
      <c r="B12" s="140" t="s">
        <v>89</v>
      </c>
      <c r="C12" s="140" t="s">
        <v>89</v>
      </c>
      <c r="D12" s="143" t="s">
        <v>5</v>
      </c>
      <c r="E12" s="144">
        <v>43162.661828703705</v>
      </c>
      <c r="F12" s="104">
        <f t="shared" si="4"/>
        <v>43162.661828703705</v>
      </c>
      <c r="G12" s="125" t="str">
        <f t="shared" si="5"/>
        <v>15:53</v>
      </c>
      <c r="H12" s="33" t="str">
        <f t="shared" si="6"/>
        <v>-</v>
      </c>
      <c r="I12" s="92" t="str">
        <f t="shared" si="7"/>
        <v>-</v>
      </c>
      <c r="J12" s="92" t="str">
        <f t="shared" si="8"/>
        <v>-</v>
      </c>
      <c r="K12" s="93">
        <f t="shared" si="9"/>
        <v>0</v>
      </c>
      <c r="L12" s="93"/>
      <c r="M12" s="94">
        <f t="shared" si="10"/>
        <v>0</v>
      </c>
      <c r="N12" s="129">
        <f t="shared" si="11"/>
        <v>0</v>
      </c>
      <c r="O12" s="164"/>
    </row>
    <row r="13" spans="1:16">
      <c r="A13" s="140">
        <v>8553</v>
      </c>
      <c r="B13" s="140" t="s">
        <v>89</v>
      </c>
      <c r="C13" s="140" t="s">
        <v>89</v>
      </c>
      <c r="D13" s="143" t="s">
        <v>6</v>
      </c>
      <c r="E13" s="144">
        <v>43162.683321759258</v>
      </c>
      <c r="F13" s="104">
        <f t="shared" si="4"/>
        <v>43162.683321759258</v>
      </c>
      <c r="G13" s="125" t="str">
        <f t="shared" si="5"/>
        <v>16:23</v>
      </c>
      <c r="H13" s="33">
        <f t="shared" si="6"/>
        <v>5.15</v>
      </c>
      <c r="I13" s="92">
        <f>IF(D13="上班",IF(H13-1.5&gt;8,8,H13-1.5),"-")+1.5</f>
        <v>5.15</v>
      </c>
      <c r="J13" s="92" t="str">
        <f t="shared" si="8"/>
        <v>-</v>
      </c>
      <c r="K13" s="93">
        <f t="shared" si="9"/>
        <v>0</v>
      </c>
      <c r="L13" s="93"/>
      <c r="M13" s="94">
        <f t="shared" si="10"/>
        <v>0</v>
      </c>
      <c r="N13" s="129">
        <f t="shared" si="11"/>
        <v>0</v>
      </c>
      <c r="O13" s="164"/>
    </row>
    <row r="14" spans="1:16">
      <c r="A14" s="140">
        <v>8555</v>
      </c>
      <c r="B14" s="140" t="s">
        <v>90</v>
      </c>
      <c r="C14" s="140" t="s">
        <v>89</v>
      </c>
      <c r="D14" s="143" t="s">
        <v>5</v>
      </c>
      <c r="E14" s="144">
        <v>43162.897245370368</v>
      </c>
      <c r="F14" s="104">
        <f t="shared" si="4"/>
        <v>43162.897245370368</v>
      </c>
      <c r="G14" s="125" t="str">
        <f t="shared" si="5"/>
        <v>21:32</v>
      </c>
      <c r="H14" s="33" t="str">
        <f t="shared" si="6"/>
        <v>-</v>
      </c>
      <c r="I14" s="92" t="str">
        <f t="shared" si="7"/>
        <v>-</v>
      </c>
      <c r="J14" s="92" t="str">
        <f t="shared" si="8"/>
        <v>-</v>
      </c>
      <c r="K14" s="93">
        <f t="shared" si="9"/>
        <v>0</v>
      </c>
      <c r="L14" s="93"/>
      <c r="M14" s="94">
        <f t="shared" si="10"/>
        <v>0</v>
      </c>
      <c r="N14" s="129">
        <f t="shared" si="11"/>
        <v>0</v>
      </c>
      <c r="O14" s="164"/>
    </row>
    <row r="15" spans="1:16">
      <c r="A15" s="140">
        <v>8563</v>
      </c>
      <c r="B15" s="140" t="s">
        <v>89</v>
      </c>
      <c r="C15" s="140" t="s">
        <v>89</v>
      </c>
      <c r="D15" s="143" t="s">
        <v>6</v>
      </c>
      <c r="E15" s="144">
        <v>43164.369537037041</v>
      </c>
      <c r="F15" s="104">
        <f t="shared" si="4"/>
        <v>43164.369537037041</v>
      </c>
      <c r="G15" s="125" t="str">
        <f t="shared" si="5"/>
        <v>8:52</v>
      </c>
      <c r="H15" s="33">
        <f t="shared" si="6"/>
        <v>13.733333333333334</v>
      </c>
      <c r="I15" s="92">
        <f t="shared" si="7"/>
        <v>8</v>
      </c>
      <c r="J15" s="92">
        <f t="shared" si="8"/>
        <v>3.7333333333333343</v>
      </c>
      <c r="K15" s="93">
        <f t="shared" si="9"/>
        <v>0</v>
      </c>
      <c r="L15" s="93"/>
      <c r="M15" s="94">
        <f t="shared" si="10"/>
        <v>0</v>
      </c>
      <c r="N15" s="129">
        <f t="shared" si="11"/>
        <v>0</v>
      </c>
      <c r="O15" s="164"/>
    </row>
    <row r="16" spans="1:16">
      <c r="A16" s="140">
        <v>8593</v>
      </c>
      <c r="B16" s="140" t="s">
        <v>90</v>
      </c>
      <c r="C16" s="140" t="s">
        <v>89</v>
      </c>
      <c r="D16" s="143" t="s">
        <v>5</v>
      </c>
      <c r="E16" s="144">
        <v>43164.941701388889</v>
      </c>
      <c r="F16" s="104">
        <f t="shared" si="4"/>
        <v>43164.941701388889</v>
      </c>
      <c r="G16" s="125" t="str">
        <f t="shared" si="5"/>
        <v>22:36</v>
      </c>
      <c r="H16" s="33" t="str">
        <f t="shared" si="6"/>
        <v>-</v>
      </c>
      <c r="I16" s="92" t="str">
        <f t="shared" si="7"/>
        <v>-</v>
      </c>
      <c r="J16" s="92" t="str">
        <f t="shared" si="8"/>
        <v>-</v>
      </c>
      <c r="K16" s="93">
        <f t="shared" si="9"/>
        <v>0</v>
      </c>
      <c r="L16" s="93"/>
      <c r="M16" s="94">
        <f t="shared" si="10"/>
        <v>0</v>
      </c>
      <c r="N16" s="129">
        <f t="shared" si="11"/>
        <v>0</v>
      </c>
      <c r="O16" s="164"/>
    </row>
    <row r="17" spans="1:15">
      <c r="A17" s="140">
        <v>8603</v>
      </c>
      <c r="B17" s="140" t="s">
        <v>90</v>
      </c>
      <c r="C17" s="140" t="s">
        <v>89</v>
      </c>
      <c r="D17" s="143" t="s">
        <v>6</v>
      </c>
      <c r="E17" s="144">
        <v>43165.383159722223</v>
      </c>
      <c r="F17" s="104">
        <f t="shared" si="4"/>
        <v>43165.383159722223</v>
      </c>
      <c r="G17" s="125" t="str">
        <f t="shared" si="5"/>
        <v>9:11</v>
      </c>
      <c r="H17" s="33">
        <f t="shared" si="6"/>
        <v>9.0833333333333321</v>
      </c>
      <c r="I17" s="92">
        <f t="shared" si="7"/>
        <v>7.5833333333333321</v>
      </c>
      <c r="J17" s="92" t="str">
        <f t="shared" si="8"/>
        <v>-</v>
      </c>
      <c r="K17" s="93">
        <f t="shared" si="9"/>
        <v>0</v>
      </c>
      <c r="L17" s="93"/>
      <c r="M17" s="94">
        <f t="shared" si="10"/>
        <v>0</v>
      </c>
      <c r="N17" s="129">
        <f t="shared" si="11"/>
        <v>0</v>
      </c>
      <c r="O17" s="164"/>
    </row>
    <row r="18" spans="1:15">
      <c r="A18" s="140">
        <v>8605</v>
      </c>
      <c r="B18" s="140" t="s">
        <v>93</v>
      </c>
      <c r="C18" s="140" t="s">
        <v>89</v>
      </c>
      <c r="D18" s="143" t="s">
        <v>5</v>
      </c>
      <c r="E18" s="144">
        <v>43165.761284722219</v>
      </c>
      <c r="F18" s="104">
        <f t="shared" si="4"/>
        <v>43165.761284722219</v>
      </c>
      <c r="G18" s="125" t="str">
        <f t="shared" si="5"/>
        <v>18:16</v>
      </c>
      <c r="H18" s="33" t="str">
        <f t="shared" si="6"/>
        <v>-</v>
      </c>
      <c r="I18" s="92" t="str">
        <f t="shared" si="7"/>
        <v>-</v>
      </c>
      <c r="J18" s="92" t="str">
        <f t="shared" si="8"/>
        <v>-</v>
      </c>
      <c r="K18" s="93">
        <f t="shared" si="9"/>
        <v>0</v>
      </c>
      <c r="L18" s="93"/>
      <c r="M18" s="94">
        <f t="shared" si="10"/>
        <v>0</v>
      </c>
      <c r="N18" s="129">
        <f t="shared" si="11"/>
        <v>0</v>
      </c>
      <c r="O18" s="164"/>
    </row>
    <row r="19" spans="1:15">
      <c r="A19" s="140">
        <v>8635</v>
      </c>
      <c r="B19" s="140" t="s">
        <v>93</v>
      </c>
      <c r="C19" s="140" t="s">
        <v>89</v>
      </c>
      <c r="D19" s="143" t="s">
        <v>6</v>
      </c>
      <c r="E19" s="144">
        <v>43166.399178240739</v>
      </c>
      <c r="F19" s="104">
        <f t="shared" si="4"/>
        <v>43166.399178240739</v>
      </c>
      <c r="G19" s="125" t="str">
        <f t="shared" si="5"/>
        <v>9:34</v>
      </c>
      <c r="H19" s="33">
        <f t="shared" si="6"/>
        <v>12.46666666666667</v>
      </c>
      <c r="I19" s="92">
        <f t="shared" si="7"/>
        <v>8</v>
      </c>
      <c r="J19" s="92">
        <f t="shared" si="8"/>
        <v>2.4666666666666703</v>
      </c>
      <c r="K19" s="93">
        <f t="shared" si="9"/>
        <v>0</v>
      </c>
      <c r="L19" s="93"/>
      <c r="M19" s="94">
        <f t="shared" si="10"/>
        <v>0</v>
      </c>
      <c r="N19" s="129">
        <f t="shared" si="11"/>
        <v>0</v>
      </c>
      <c r="O19" s="164"/>
    </row>
    <row r="20" spans="1:15">
      <c r="A20" s="140">
        <v>8660</v>
      </c>
      <c r="B20" s="140" t="s">
        <v>90</v>
      </c>
      <c r="C20" s="140" t="s">
        <v>89</v>
      </c>
      <c r="D20" s="143" t="s">
        <v>5</v>
      </c>
      <c r="E20" s="144">
        <v>43166.918379629627</v>
      </c>
      <c r="F20" s="104">
        <f t="shared" si="4"/>
        <v>43166.918379629627</v>
      </c>
      <c r="G20" s="125" t="str">
        <f t="shared" si="5"/>
        <v>22:2</v>
      </c>
      <c r="H20" s="33" t="str">
        <f t="shared" si="6"/>
        <v>-</v>
      </c>
      <c r="I20" s="92" t="str">
        <f t="shared" si="7"/>
        <v>-</v>
      </c>
      <c r="J20" s="92" t="str">
        <f t="shared" si="8"/>
        <v>-</v>
      </c>
      <c r="K20" s="93">
        <f t="shared" si="9"/>
        <v>0</v>
      </c>
      <c r="L20" s="93"/>
      <c r="M20" s="94">
        <f t="shared" si="10"/>
        <v>0</v>
      </c>
      <c r="N20" s="129">
        <f t="shared" si="11"/>
        <v>0</v>
      </c>
      <c r="O20" s="164"/>
    </row>
    <row r="21" spans="1:15">
      <c r="A21" s="140">
        <v>8662</v>
      </c>
      <c r="B21" s="140" t="s">
        <v>89</v>
      </c>
      <c r="C21" s="140" t="s">
        <v>89</v>
      </c>
      <c r="D21" s="143" t="s">
        <v>6</v>
      </c>
      <c r="E21" s="144">
        <v>43167.357511574075</v>
      </c>
      <c r="F21" s="104">
        <f t="shared" si="4"/>
        <v>43167.357511574075</v>
      </c>
      <c r="G21" s="125" t="str">
        <f t="shared" si="5"/>
        <v>8:34</v>
      </c>
      <c r="H21" s="33">
        <f t="shared" si="6"/>
        <v>9.8500000000000014</v>
      </c>
      <c r="I21" s="92">
        <f t="shared" si="7"/>
        <v>8</v>
      </c>
      <c r="J21" s="92" t="str">
        <f t="shared" si="8"/>
        <v>-</v>
      </c>
      <c r="K21" s="93">
        <f t="shared" si="9"/>
        <v>0</v>
      </c>
      <c r="L21" s="93"/>
      <c r="M21" s="94">
        <f t="shared" si="10"/>
        <v>0</v>
      </c>
      <c r="N21" s="129">
        <f t="shared" si="11"/>
        <v>0</v>
      </c>
      <c r="O21" s="164"/>
    </row>
    <row r="22" spans="1:15">
      <c r="A22" s="140">
        <v>8676</v>
      </c>
      <c r="B22" s="140" t="s">
        <v>89</v>
      </c>
      <c r="C22" s="140" t="s">
        <v>89</v>
      </c>
      <c r="D22" s="143" t="s">
        <v>5</v>
      </c>
      <c r="E22" s="144">
        <v>43167.767939814818</v>
      </c>
      <c r="F22" s="104">
        <f t="shared" si="4"/>
        <v>43167.767939814818</v>
      </c>
      <c r="G22" s="125" t="str">
        <f t="shared" si="5"/>
        <v>18:25</v>
      </c>
      <c r="H22" s="33" t="str">
        <f t="shared" si="6"/>
        <v>-</v>
      </c>
      <c r="I22" s="92" t="str">
        <f t="shared" si="7"/>
        <v>-</v>
      </c>
      <c r="J22" s="92" t="str">
        <f t="shared" si="8"/>
        <v>-</v>
      </c>
      <c r="K22" s="93">
        <f t="shared" si="9"/>
        <v>0</v>
      </c>
      <c r="L22" s="93"/>
      <c r="M22" s="94">
        <f t="shared" si="10"/>
        <v>0</v>
      </c>
      <c r="N22" s="129">
        <f t="shared" si="11"/>
        <v>0</v>
      </c>
      <c r="O22" s="164"/>
    </row>
    <row r="23" spans="1:15">
      <c r="A23" s="140">
        <v>8702</v>
      </c>
      <c r="B23" s="140" t="s">
        <v>90</v>
      </c>
      <c r="C23" s="140" t="s">
        <v>89</v>
      </c>
      <c r="D23" s="143" t="s">
        <v>6</v>
      </c>
      <c r="E23" s="144">
        <v>43168.381712962961</v>
      </c>
      <c r="F23" s="104">
        <f t="shared" si="4"/>
        <v>43168.381712962961</v>
      </c>
      <c r="G23" s="125" t="str">
        <f t="shared" si="5"/>
        <v>9:9</v>
      </c>
      <c r="H23" s="33">
        <f t="shared" si="6"/>
        <v>12.150000000000002</v>
      </c>
      <c r="I23" s="92">
        <f t="shared" si="7"/>
        <v>8</v>
      </c>
      <c r="J23" s="92">
        <f t="shared" si="8"/>
        <v>2.1500000000000021</v>
      </c>
      <c r="K23" s="93">
        <f t="shared" si="9"/>
        <v>0</v>
      </c>
      <c r="L23" s="93"/>
      <c r="M23" s="94">
        <f t="shared" si="10"/>
        <v>0</v>
      </c>
      <c r="N23" s="129">
        <f t="shared" si="11"/>
        <v>0</v>
      </c>
      <c r="O23" s="164"/>
    </row>
    <row r="24" spans="1:15">
      <c r="A24" s="140">
        <v>8716</v>
      </c>
      <c r="B24" s="140" t="s">
        <v>90</v>
      </c>
      <c r="C24" s="140" t="s">
        <v>89</v>
      </c>
      <c r="D24" s="143" t="s">
        <v>5</v>
      </c>
      <c r="E24" s="144">
        <v>43168.887557870374</v>
      </c>
      <c r="F24" s="104">
        <f t="shared" si="4"/>
        <v>43168.887557870374</v>
      </c>
      <c r="G24" s="125" t="str">
        <f t="shared" si="5"/>
        <v>21:18</v>
      </c>
      <c r="H24" s="33" t="str">
        <f t="shared" si="6"/>
        <v>-</v>
      </c>
      <c r="I24" s="92" t="str">
        <f t="shared" si="7"/>
        <v>-</v>
      </c>
      <c r="J24" s="92" t="str">
        <f t="shared" si="8"/>
        <v>-</v>
      </c>
      <c r="K24" s="93">
        <f t="shared" si="9"/>
        <v>0</v>
      </c>
      <c r="L24" s="93"/>
      <c r="M24" s="94">
        <f t="shared" si="10"/>
        <v>0</v>
      </c>
      <c r="N24" s="129">
        <f t="shared" si="11"/>
        <v>0</v>
      </c>
      <c r="O24" s="164"/>
    </row>
    <row r="25" spans="1:15">
      <c r="A25" s="140">
        <v>8731</v>
      </c>
      <c r="B25" s="140" t="s">
        <v>93</v>
      </c>
      <c r="C25" s="140" t="s">
        <v>89</v>
      </c>
      <c r="D25" s="143" t="s">
        <v>6</v>
      </c>
      <c r="E25" s="144">
        <v>43170.428483796299</v>
      </c>
      <c r="F25" s="104">
        <f t="shared" si="4"/>
        <v>43170.428483796299</v>
      </c>
      <c r="G25" s="125" t="str">
        <f t="shared" si="5"/>
        <v>10:17</v>
      </c>
      <c r="H25" s="33">
        <f t="shared" si="6"/>
        <v>3.183333333333334</v>
      </c>
      <c r="I25" s="92">
        <f>IF(D25="上班",IF(H25-1.5&gt;8,8,H25-1.5),"-")+1.5</f>
        <v>3.183333333333334</v>
      </c>
      <c r="J25" s="92" t="str">
        <f t="shared" si="8"/>
        <v>-</v>
      </c>
      <c r="K25" s="93">
        <f t="shared" si="9"/>
        <v>0</v>
      </c>
      <c r="L25" s="93"/>
      <c r="M25" s="94">
        <f t="shared" si="10"/>
        <v>0</v>
      </c>
      <c r="N25" s="129">
        <f t="shared" si="11"/>
        <v>0</v>
      </c>
      <c r="O25" s="164"/>
    </row>
    <row r="26" spans="1:15">
      <c r="A26" s="140">
        <v>8739</v>
      </c>
      <c r="B26" s="140" t="s">
        <v>89</v>
      </c>
      <c r="C26" s="140" t="s">
        <v>89</v>
      </c>
      <c r="D26" s="143" t="s">
        <v>5</v>
      </c>
      <c r="E26" s="144">
        <v>43170.561145833337</v>
      </c>
      <c r="F26" s="104">
        <f t="shared" si="4"/>
        <v>43170.561145833337</v>
      </c>
      <c r="G26" s="125" t="str">
        <f t="shared" si="5"/>
        <v>13:28</v>
      </c>
      <c r="H26" s="33" t="str">
        <f t="shared" si="6"/>
        <v>-</v>
      </c>
      <c r="I26" s="92" t="str">
        <f t="shared" si="7"/>
        <v>-</v>
      </c>
      <c r="J26" s="92" t="str">
        <f t="shared" si="8"/>
        <v>-</v>
      </c>
      <c r="K26" s="93">
        <f t="shared" si="9"/>
        <v>0</v>
      </c>
      <c r="L26" s="93"/>
      <c r="M26" s="94">
        <f t="shared" si="10"/>
        <v>0</v>
      </c>
      <c r="N26" s="129">
        <f t="shared" si="11"/>
        <v>0</v>
      </c>
      <c r="O26" s="164"/>
    </row>
    <row r="27" spans="1:15">
      <c r="A27" s="140">
        <v>8744</v>
      </c>
      <c r="B27" s="140" t="s">
        <v>90</v>
      </c>
      <c r="C27" s="140" t="s">
        <v>89</v>
      </c>
      <c r="D27" s="143" t="s">
        <v>6</v>
      </c>
      <c r="E27" s="144">
        <v>43170.604456018518</v>
      </c>
      <c r="F27" s="104">
        <f t="shared" si="4"/>
        <v>43170.604456018518</v>
      </c>
      <c r="G27" s="125" t="str">
        <f t="shared" si="5"/>
        <v>14:30</v>
      </c>
      <c r="H27" s="33">
        <f t="shared" si="6"/>
        <v>3.4333333333333345</v>
      </c>
      <c r="I27" s="92">
        <f>IF(D27="上班",IF(H27-1.5&gt;8,8,H27-1.5),"-")+1.5</f>
        <v>3.4333333333333345</v>
      </c>
      <c r="J27" s="92" t="str">
        <f t="shared" si="8"/>
        <v>-</v>
      </c>
      <c r="K27" s="93">
        <f t="shared" si="9"/>
        <v>0</v>
      </c>
      <c r="L27" s="93"/>
      <c r="M27" s="94">
        <f t="shared" si="10"/>
        <v>0</v>
      </c>
      <c r="N27" s="129">
        <f t="shared" si="11"/>
        <v>0</v>
      </c>
      <c r="O27" s="164"/>
    </row>
    <row r="28" spans="1:15">
      <c r="A28" s="140">
        <v>8747</v>
      </c>
      <c r="B28" s="140" t="s">
        <v>90</v>
      </c>
      <c r="C28" s="140" t="s">
        <v>89</v>
      </c>
      <c r="D28" s="143" t="s">
        <v>5</v>
      </c>
      <c r="E28" s="144">
        <v>43170.747303240743</v>
      </c>
      <c r="F28" s="104">
        <f t="shared" si="4"/>
        <v>43170.747303240743</v>
      </c>
      <c r="G28" s="125" t="str">
        <f t="shared" si="5"/>
        <v>17:56</v>
      </c>
      <c r="H28" s="33" t="str">
        <f t="shared" si="6"/>
        <v>-</v>
      </c>
      <c r="I28" s="92" t="str">
        <f t="shared" si="7"/>
        <v>-</v>
      </c>
      <c r="J28" s="92" t="str">
        <f t="shared" si="8"/>
        <v>-</v>
      </c>
      <c r="K28" s="93">
        <f t="shared" si="9"/>
        <v>0</v>
      </c>
      <c r="L28" s="93"/>
      <c r="M28" s="94">
        <f t="shared" si="10"/>
        <v>0</v>
      </c>
      <c r="N28" s="129">
        <f t="shared" si="11"/>
        <v>0</v>
      </c>
      <c r="O28" s="164"/>
    </row>
    <row r="29" spans="1:15">
      <c r="A29" s="140">
        <v>8748</v>
      </c>
      <c r="B29" s="140" t="s">
        <v>90</v>
      </c>
      <c r="C29" s="140" t="s">
        <v>89</v>
      </c>
      <c r="D29" s="143" t="s">
        <v>6</v>
      </c>
      <c r="E29" s="144">
        <v>43170.748113425929</v>
      </c>
      <c r="F29" s="104">
        <f t="shared" si="4"/>
        <v>43170.748113425929</v>
      </c>
      <c r="G29" s="125" t="str">
        <f t="shared" si="5"/>
        <v>17:57</v>
      </c>
      <c r="H29" s="33">
        <f t="shared" si="6"/>
        <v>1.1833333333333318</v>
      </c>
      <c r="I29" s="92">
        <f>IF(D29="上班",IF(H29-1.5&gt;8,8,H29-1.5),"-")+1.5</f>
        <v>1.1833333333333318</v>
      </c>
      <c r="J29" s="92" t="str">
        <f t="shared" si="8"/>
        <v>-</v>
      </c>
      <c r="K29" s="93">
        <f t="shared" si="9"/>
        <v>0</v>
      </c>
      <c r="L29" s="93"/>
      <c r="M29" s="94">
        <f t="shared" si="10"/>
        <v>0</v>
      </c>
      <c r="N29" s="129">
        <f t="shared" si="11"/>
        <v>0</v>
      </c>
      <c r="O29" s="164"/>
    </row>
    <row r="30" spans="1:15">
      <c r="A30" s="140">
        <v>8760</v>
      </c>
      <c r="B30" s="140" t="s">
        <v>90</v>
      </c>
      <c r="C30" s="140" t="s">
        <v>89</v>
      </c>
      <c r="D30" s="143" t="s">
        <v>5</v>
      </c>
      <c r="E30" s="144">
        <v>43170.797407407408</v>
      </c>
      <c r="F30" s="104">
        <f t="shared" si="4"/>
        <v>43170.797407407408</v>
      </c>
      <c r="G30" s="125" t="str">
        <f t="shared" si="5"/>
        <v>19:8</v>
      </c>
      <c r="H30" s="33" t="str">
        <f t="shared" si="6"/>
        <v>-</v>
      </c>
      <c r="I30" s="92" t="str">
        <f t="shared" si="7"/>
        <v>-</v>
      </c>
      <c r="J30" s="92" t="str">
        <f t="shared" si="8"/>
        <v>-</v>
      </c>
      <c r="K30" s="93">
        <f t="shared" si="9"/>
        <v>0</v>
      </c>
      <c r="L30" s="93"/>
      <c r="M30" s="94">
        <f t="shared" si="10"/>
        <v>0</v>
      </c>
      <c r="N30" s="129">
        <f t="shared" si="11"/>
        <v>0</v>
      </c>
      <c r="O30" s="164"/>
    </row>
    <row r="31" spans="1:15">
      <c r="A31" s="140">
        <v>8772</v>
      </c>
      <c r="B31" s="140" t="s">
        <v>89</v>
      </c>
      <c r="C31" s="140" t="s">
        <v>89</v>
      </c>
      <c r="D31" s="143" t="s">
        <v>6</v>
      </c>
      <c r="E31" s="144">
        <v>43171.382048611114</v>
      </c>
      <c r="F31" s="104">
        <f t="shared" si="4"/>
        <v>43171.382048611114</v>
      </c>
      <c r="G31" s="125" t="str">
        <f t="shared" si="5"/>
        <v>9:10</v>
      </c>
      <c r="H31" s="33">
        <f t="shared" si="6"/>
        <v>12.766666666666666</v>
      </c>
      <c r="I31" s="92">
        <f t="shared" si="7"/>
        <v>8</v>
      </c>
      <c r="J31" s="92">
        <f t="shared" si="8"/>
        <v>2.7666666666666657</v>
      </c>
      <c r="K31" s="93">
        <f t="shared" si="9"/>
        <v>0</v>
      </c>
      <c r="L31" s="93"/>
      <c r="M31" s="94">
        <f t="shared" si="10"/>
        <v>0</v>
      </c>
      <c r="N31" s="129">
        <f t="shared" si="11"/>
        <v>0</v>
      </c>
      <c r="O31" s="164"/>
    </row>
    <row r="32" spans="1:15">
      <c r="A32" s="140">
        <v>8798</v>
      </c>
      <c r="B32" s="140" t="s">
        <v>90</v>
      </c>
      <c r="C32" s="140" t="s">
        <v>89</v>
      </c>
      <c r="D32" s="143" t="s">
        <v>5</v>
      </c>
      <c r="E32" s="144">
        <v>43171.914039351854</v>
      </c>
      <c r="F32" s="104">
        <f t="shared" si="4"/>
        <v>43171.914039351854</v>
      </c>
      <c r="G32" s="125" t="str">
        <f t="shared" si="5"/>
        <v>21:56</v>
      </c>
      <c r="H32" s="33" t="str">
        <f t="shared" si="6"/>
        <v>-</v>
      </c>
      <c r="I32" s="92" t="str">
        <f t="shared" si="7"/>
        <v>-</v>
      </c>
      <c r="J32" s="92" t="str">
        <f t="shared" si="8"/>
        <v>-</v>
      </c>
      <c r="K32" s="93">
        <f t="shared" si="9"/>
        <v>0</v>
      </c>
      <c r="L32" s="93"/>
      <c r="M32" s="94">
        <f t="shared" si="10"/>
        <v>0</v>
      </c>
      <c r="N32" s="129">
        <f t="shared" si="11"/>
        <v>0</v>
      </c>
      <c r="O32" s="164"/>
    </row>
    <row r="33" spans="1:15">
      <c r="A33" s="140">
        <v>8806</v>
      </c>
      <c r="B33" s="140" t="s">
        <v>93</v>
      </c>
      <c r="C33" s="140" t="s">
        <v>89</v>
      </c>
      <c r="D33" s="143" t="s">
        <v>6</v>
      </c>
      <c r="E33" s="144">
        <v>43172.368321759262</v>
      </c>
      <c r="F33" s="104">
        <f t="shared" si="4"/>
        <v>43172.368321759262</v>
      </c>
      <c r="G33" s="125" t="str">
        <f t="shared" si="5"/>
        <v>8:50</v>
      </c>
      <c r="H33" s="33">
        <f t="shared" si="6"/>
        <v>9.7166666666666668</v>
      </c>
      <c r="I33" s="92">
        <f t="shared" si="7"/>
        <v>8</v>
      </c>
      <c r="J33" s="92" t="str">
        <f t="shared" si="8"/>
        <v>-</v>
      </c>
      <c r="K33" s="93">
        <f t="shared" si="9"/>
        <v>0</v>
      </c>
      <c r="L33" s="93"/>
      <c r="M33" s="94">
        <f t="shared" si="10"/>
        <v>0</v>
      </c>
      <c r="N33" s="129">
        <f t="shared" si="11"/>
        <v>0</v>
      </c>
      <c r="O33" s="164"/>
    </row>
    <row r="34" spans="1:15">
      <c r="A34" s="140">
        <v>8823</v>
      </c>
      <c r="B34" s="140" t="s">
        <v>89</v>
      </c>
      <c r="C34" s="140" t="s">
        <v>89</v>
      </c>
      <c r="D34" s="143" t="s">
        <v>5</v>
      </c>
      <c r="E34" s="144">
        <v>43172.773449074077</v>
      </c>
      <c r="F34" s="104">
        <f t="shared" si="4"/>
        <v>43172.773449074077</v>
      </c>
      <c r="G34" s="125" t="str">
        <f t="shared" si="5"/>
        <v>18:33</v>
      </c>
      <c r="H34" s="33" t="str">
        <f t="shared" si="6"/>
        <v>-</v>
      </c>
      <c r="I34" s="92" t="str">
        <f t="shared" si="7"/>
        <v>-</v>
      </c>
      <c r="J34" s="92" t="str">
        <f t="shared" si="8"/>
        <v>-</v>
      </c>
      <c r="K34" s="93">
        <f t="shared" si="9"/>
        <v>0</v>
      </c>
      <c r="L34" s="93"/>
      <c r="M34" s="94">
        <f t="shared" si="10"/>
        <v>0</v>
      </c>
      <c r="N34" s="129">
        <f t="shared" si="11"/>
        <v>0</v>
      </c>
      <c r="O34" s="164"/>
    </row>
    <row r="35" spans="1:15">
      <c r="A35" s="140">
        <v>8845</v>
      </c>
      <c r="B35" s="140" t="s">
        <v>89</v>
      </c>
      <c r="C35" s="140" t="s">
        <v>89</v>
      </c>
      <c r="D35" s="143" t="s">
        <v>6</v>
      </c>
      <c r="E35" s="144">
        <v>43173.372731481482</v>
      </c>
      <c r="F35" s="104">
        <f t="shared" si="4"/>
        <v>43173.372731481482</v>
      </c>
      <c r="G35" s="125" t="str">
        <f t="shared" si="5"/>
        <v>8:56</v>
      </c>
      <c r="H35" s="33">
        <f t="shared" si="6"/>
        <v>12.100000000000001</v>
      </c>
      <c r="I35" s="92">
        <f t="shared" si="7"/>
        <v>8</v>
      </c>
      <c r="J35" s="92">
        <f t="shared" si="8"/>
        <v>2.1000000000000014</v>
      </c>
      <c r="K35" s="93">
        <f t="shared" si="9"/>
        <v>0</v>
      </c>
      <c r="L35" s="93"/>
      <c r="M35" s="94">
        <f t="shared" si="10"/>
        <v>0</v>
      </c>
      <c r="N35" s="129">
        <f t="shared" si="11"/>
        <v>0</v>
      </c>
      <c r="O35" s="164"/>
    </row>
    <row r="36" spans="1:15">
      <c r="A36" s="140">
        <v>8869</v>
      </c>
      <c r="B36" s="140" t="s">
        <v>89</v>
      </c>
      <c r="C36" s="140" t="s">
        <v>89</v>
      </c>
      <c r="D36" s="143" t="s">
        <v>5</v>
      </c>
      <c r="E36" s="144">
        <v>43173.876458333332</v>
      </c>
      <c r="F36" s="104">
        <f t="shared" si="4"/>
        <v>43173.876458333332</v>
      </c>
      <c r="G36" s="125" t="str">
        <f t="shared" si="5"/>
        <v>21:2</v>
      </c>
      <c r="H36" s="33" t="str">
        <f t="shared" si="6"/>
        <v>-</v>
      </c>
      <c r="I36" s="92" t="str">
        <f t="shared" si="7"/>
        <v>-</v>
      </c>
      <c r="J36" s="92" t="str">
        <f t="shared" si="8"/>
        <v>-</v>
      </c>
      <c r="K36" s="93">
        <f t="shared" si="9"/>
        <v>0</v>
      </c>
      <c r="L36" s="93"/>
      <c r="M36" s="94">
        <f t="shared" si="10"/>
        <v>0</v>
      </c>
      <c r="N36" s="129">
        <f t="shared" si="11"/>
        <v>0</v>
      </c>
      <c r="O36" s="164"/>
    </row>
    <row r="37" spans="1:15">
      <c r="A37" s="140">
        <v>8881</v>
      </c>
      <c r="B37" s="140" t="s">
        <v>93</v>
      </c>
      <c r="C37" s="140" t="s">
        <v>89</v>
      </c>
      <c r="D37" s="143" t="s">
        <v>6</v>
      </c>
      <c r="E37" s="144">
        <v>43174.379340277781</v>
      </c>
      <c r="F37" s="104">
        <f t="shared" si="4"/>
        <v>43174.379340277781</v>
      </c>
      <c r="G37" s="125" t="str">
        <f t="shared" si="5"/>
        <v>9:6</v>
      </c>
      <c r="H37" s="33">
        <f t="shared" si="6"/>
        <v>9.5</v>
      </c>
      <c r="I37" s="92">
        <f t="shared" si="7"/>
        <v>8</v>
      </c>
      <c r="J37" s="92" t="str">
        <f t="shared" si="8"/>
        <v>-</v>
      </c>
      <c r="K37" s="93">
        <f t="shared" si="9"/>
        <v>0</v>
      </c>
      <c r="L37" s="93"/>
      <c r="M37" s="94">
        <f t="shared" si="10"/>
        <v>0</v>
      </c>
      <c r="N37" s="129">
        <f t="shared" si="11"/>
        <v>0</v>
      </c>
      <c r="O37" s="164"/>
    </row>
    <row r="38" spans="1:15">
      <c r="A38" s="140">
        <v>8895</v>
      </c>
      <c r="B38" s="140" t="s">
        <v>89</v>
      </c>
      <c r="C38" s="140" t="s">
        <v>89</v>
      </c>
      <c r="D38" s="143" t="s">
        <v>5</v>
      </c>
      <c r="E38" s="144">
        <v>43174.775312500002</v>
      </c>
      <c r="F38" s="104">
        <f t="shared" si="4"/>
        <v>43174.775312500002</v>
      </c>
      <c r="G38" s="125" t="str">
        <f t="shared" si="5"/>
        <v>18:36</v>
      </c>
      <c r="H38" s="33" t="str">
        <f t="shared" si="6"/>
        <v>-</v>
      </c>
      <c r="I38" s="92" t="str">
        <f t="shared" si="7"/>
        <v>-</v>
      </c>
      <c r="J38" s="92" t="str">
        <f t="shared" si="8"/>
        <v>-</v>
      </c>
      <c r="K38" s="93">
        <f t="shared" si="9"/>
        <v>0</v>
      </c>
      <c r="L38" s="93"/>
      <c r="M38" s="94">
        <f t="shared" si="10"/>
        <v>0</v>
      </c>
      <c r="N38" s="129">
        <f t="shared" si="11"/>
        <v>0</v>
      </c>
      <c r="O38" s="164"/>
    </row>
    <row r="39" spans="1:15">
      <c r="A39" s="140">
        <v>8916</v>
      </c>
      <c r="B39" s="140" t="s">
        <v>89</v>
      </c>
      <c r="C39" s="140" t="s">
        <v>89</v>
      </c>
      <c r="D39" s="143" t="s">
        <v>6</v>
      </c>
      <c r="E39" s="144">
        <v>43175.389456018522</v>
      </c>
      <c r="F39" s="104">
        <f t="shared" si="4"/>
        <v>43175.389456018522</v>
      </c>
      <c r="G39" s="125" t="str">
        <f t="shared" si="5"/>
        <v>9:20</v>
      </c>
      <c r="H39" s="33">
        <f t="shared" si="6"/>
        <v>12.516666666666667</v>
      </c>
      <c r="I39" s="92">
        <f t="shared" si="7"/>
        <v>8</v>
      </c>
      <c r="J39" s="92">
        <f t="shared" si="8"/>
        <v>2.5166666666666675</v>
      </c>
      <c r="K39" s="93">
        <f t="shared" si="9"/>
        <v>0</v>
      </c>
      <c r="L39" s="93"/>
      <c r="M39" s="94">
        <f t="shared" si="10"/>
        <v>0</v>
      </c>
      <c r="N39" s="129">
        <f t="shared" si="11"/>
        <v>0</v>
      </c>
      <c r="O39" s="164"/>
    </row>
    <row r="40" spans="1:15">
      <c r="A40" s="140">
        <v>8941</v>
      </c>
      <c r="B40" s="140" t="s">
        <v>93</v>
      </c>
      <c r="C40" s="140" t="s">
        <v>89</v>
      </c>
      <c r="D40" s="143" t="s">
        <v>5</v>
      </c>
      <c r="E40" s="144">
        <v>43175.910613425927</v>
      </c>
      <c r="F40" s="104">
        <f t="shared" si="4"/>
        <v>43175.910613425927</v>
      </c>
      <c r="G40" s="125" t="str">
        <f t="shared" si="5"/>
        <v>21:51</v>
      </c>
      <c r="H40" s="33" t="str">
        <f t="shared" si="6"/>
        <v>-</v>
      </c>
      <c r="I40" s="92" t="str">
        <f t="shared" si="7"/>
        <v>-</v>
      </c>
      <c r="J40" s="92" t="str">
        <f t="shared" si="8"/>
        <v>-</v>
      </c>
      <c r="K40" s="93">
        <f t="shared" si="9"/>
        <v>0</v>
      </c>
      <c r="L40" s="93"/>
      <c r="M40" s="94">
        <f t="shared" si="10"/>
        <v>0</v>
      </c>
      <c r="N40" s="129">
        <f t="shared" si="11"/>
        <v>0</v>
      </c>
      <c r="O40" s="164"/>
    </row>
    <row r="41" spans="1:15">
      <c r="A41">
        <v>8950</v>
      </c>
      <c r="B41" t="s">
        <v>93</v>
      </c>
      <c r="C41" t="s">
        <v>89</v>
      </c>
      <c r="D41" s="143" t="s">
        <v>6</v>
      </c>
      <c r="E41" s="144">
        <v>43176.471851851849</v>
      </c>
      <c r="F41" s="104">
        <f t="shared" si="4"/>
        <v>43176.471851851849</v>
      </c>
      <c r="G41" s="125" t="str">
        <f t="shared" si="5"/>
        <v>11:19</v>
      </c>
      <c r="H41" s="33">
        <f t="shared" si="6"/>
        <v>8.7666666666666657</v>
      </c>
      <c r="I41" s="92">
        <f t="shared" si="7"/>
        <v>7.2666666666666657</v>
      </c>
      <c r="J41" s="92" t="str">
        <f t="shared" si="8"/>
        <v>-</v>
      </c>
      <c r="K41" s="93">
        <f t="shared" si="9"/>
        <v>0</v>
      </c>
      <c r="L41" s="93"/>
      <c r="M41" s="94">
        <f t="shared" si="10"/>
        <v>0</v>
      </c>
      <c r="N41" s="129">
        <f t="shared" si="11"/>
        <v>0</v>
      </c>
      <c r="O41" s="164"/>
    </row>
    <row r="42" spans="1:15">
      <c r="A42">
        <v>8972</v>
      </c>
      <c r="B42" t="s">
        <v>93</v>
      </c>
      <c r="C42" t="s">
        <v>89</v>
      </c>
      <c r="D42" s="143" t="s">
        <v>5</v>
      </c>
      <c r="E42" s="144">
        <v>43176.836921296293</v>
      </c>
      <c r="F42" s="104">
        <f t="shared" si="4"/>
        <v>43176.836921296293</v>
      </c>
      <c r="G42" s="125" t="str">
        <f t="shared" si="5"/>
        <v>20:5</v>
      </c>
      <c r="H42" s="33" t="str">
        <f t="shared" si="6"/>
        <v>-</v>
      </c>
      <c r="I42" s="92" t="str">
        <f t="shared" si="7"/>
        <v>-</v>
      </c>
      <c r="J42" s="92" t="str">
        <f t="shared" si="8"/>
        <v>-</v>
      </c>
      <c r="K42" s="93">
        <f t="shared" si="9"/>
        <v>0</v>
      </c>
      <c r="L42" s="93"/>
      <c r="M42" s="94">
        <f t="shared" si="10"/>
        <v>0</v>
      </c>
      <c r="N42" s="129">
        <f t="shared" si="11"/>
        <v>0</v>
      </c>
      <c r="O42" s="164"/>
    </row>
    <row r="43" spans="1:15">
      <c r="A43">
        <v>8977</v>
      </c>
      <c r="B43" t="s">
        <v>89</v>
      </c>
      <c r="C43" t="s">
        <v>89</v>
      </c>
      <c r="D43" s="143" t="s">
        <v>6</v>
      </c>
      <c r="E43" s="144">
        <v>43178.368078703701</v>
      </c>
      <c r="F43" s="104">
        <f t="shared" si="4"/>
        <v>43178.368078703701</v>
      </c>
      <c r="G43" s="125" t="str">
        <f t="shared" si="5"/>
        <v>8:50</v>
      </c>
      <c r="H43" s="33">
        <f t="shared" si="6"/>
        <v>9.6333333333333311</v>
      </c>
      <c r="I43" s="92">
        <f t="shared" si="7"/>
        <v>8</v>
      </c>
      <c r="J43" s="92" t="str">
        <f t="shared" si="8"/>
        <v>-</v>
      </c>
      <c r="K43" s="93">
        <f t="shared" si="9"/>
        <v>0</v>
      </c>
      <c r="L43" s="93"/>
      <c r="M43" s="94">
        <f t="shared" si="10"/>
        <v>0</v>
      </c>
      <c r="N43" s="129">
        <f t="shared" si="11"/>
        <v>0</v>
      </c>
      <c r="O43" s="164"/>
    </row>
    <row r="44" spans="1:15">
      <c r="A44">
        <v>8992</v>
      </c>
      <c r="B44" t="s">
        <v>90</v>
      </c>
      <c r="C44" t="s">
        <v>89</v>
      </c>
      <c r="D44" s="143" t="s">
        <v>5</v>
      </c>
      <c r="E44" s="144">
        <v>43178.770011574074</v>
      </c>
      <c r="F44" s="104">
        <f t="shared" si="4"/>
        <v>43178.770011574074</v>
      </c>
      <c r="G44" s="125" t="str">
        <f t="shared" si="5"/>
        <v>18:28</v>
      </c>
      <c r="H44" s="33" t="str">
        <f t="shared" si="6"/>
        <v>-</v>
      </c>
      <c r="I44" s="92" t="str">
        <f t="shared" si="7"/>
        <v>-</v>
      </c>
      <c r="J44" s="92" t="str">
        <f t="shared" si="8"/>
        <v>-</v>
      </c>
      <c r="K44" s="93">
        <f t="shared" si="9"/>
        <v>0</v>
      </c>
      <c r="L44" s="93"/>
      <c r="M44" s="94">
        <f t="shared" si="10"/>
        <v>0</v>
      </c>
      <c r="N44" s="129">
        <f t="shared" si="11"/>
        <v>0</v>
      </c>
      <c r="O44" s="164"/>
    </row>
    <row r="45" spans="1:15">
      <c r="A45">
        <v>8993</v>
      </c>
      <c r="B45" t="s">
        <v>90</v>
      </c>
      <c r="C45" t="s">
        <v>89</v>
      </c>
      <c r="D45" s="143" t="s">
        <v>7</v>
      </c>
      <c r="E45" s="144">
        <v>43178.770069444443</v>
      </c>
      <c r="F45" s="104">
        <f t="shared" si="4"/>
        <v>43178.770069444443</v>
      </c>
      <c r="G45" s="125" t="str">
        <f t="shared" si="5"/>
        <v>18:28</v>
      </c>
      <c r="H45" s="33" t="str">
        <f t="shared" si="6"/>
        <v>-</v>
      </c>
      <c r="I45" s="92" t="str">
        <f t="shared" si="7"/>
        <v>-</v>
      </c>
      <c r="J45" s="92" t="str">
        <f t="shared" si="8"/>
        <v>-</v>
      </c>
      <c r="K45" s="93">
        <f t="shared" si="9"/>
        <v>2.3666666666666663</v>
      </c>
      <c r="L45" s="93"/>
      <c r="M45" s="94">
        <f t="shared" si="10"/>
        <v>0.36666666666666625</v>
      </c>
      <c r="N45" s="129">
        <f t="shared" si="11"/>
        <v>0.36666666666666625</v>
      </c>
      <c r="O45" s="164"/>
    </row>
    <row r="46" spans="1:15">
      <c r="A46">
        <v>9004</v>
      </c>
      <c r="B46" t="s">
        <v>89</v>
      </c>
      <c r="C46" t="s">
        <v>89</v>
      </c>
      <c r="D46" s="143" t="s">
        <v>8</v>
      </c>
      <c r="E46" s="144">
        <v>43178.868437500001</v>
      </c>
      <c r="F46" s="104">
        <f t="shared" si="4"/>
        <v>43178.868437500001</v>
      </c>
      <c r="G46" s="125" t="str">
        <f t="shared" si="5"/>
        <v>20:50</v>
      </c>
      <c r="H46" s="33" t="str">
        <f t="shared" si="6"/>
        <v>-</v>
      </c>
      <c r="I46" s="92" t="str">
        <f t="shared" si="7"/>
        <v>-</v>
      </c>
      <c r="J46" s="92" t="str">
        <f t="shared" si="8"/>
        <v>-</v>
      </c>
      <c r="K46" s="93">
        <f t="shared" si="9"/>
        <v>0</v>
      </c>
      <c r="L46" s="93"/>
      <c r="M46" s="94">
        <f t="shared" si="10"/>
        <v>0</v>
      </c>
      <c r="N46" s="129">
        <f t="shared" si="11"/>
        <v>0</v>
      </c>
      <c r="O46" s="164"/>
    </row>
    <row r="47" spans="1:15">
      <c r="A47">
        <v>9017</v>
      </c>
      <c r="B47" t="s">
        <v>89</v>
      </c>
      <c r="C47" t="s">
        <v>89</v>
      </c>
      <c r="D47" s="143" t="s">
        <v>6</v>
      </c>
      <c r="E47" s="144">
        <v>43179.37332175926</v>
      </c>
      <c r="F47" s="104">
        <f t="shared" si="4"/>
        <v>43179.37332175926</v>
      </c>
      <c r="G47" s="125" t="str">
        <f t="shared" si="5"/>
        <v>8:57</v>
      </c>
      <c r="H47" s="33">
        <f t="shared" si="6"/>
        <v>9.3166666666666664</v>
      </c>
      <c r="I47" s="92">
        <f t="shared" si="7"/>
        <v>7.8166666666666664</v>
      </c>
      <c r="J47" s="92" t="str">
        <f t="shared" si="8"/>
        <v>-</v>
      </c>
      <c r="K47" s="93">
        <f t="shared" si="9"/>
        <v>0</v>
      </c>
      <c r="L47" s="93"/>
      <c r="M47" s="94">
        <f t="shared" si="10"/>
        <v>0</v>
      </c>
      <c r="N47" s="129">
        <f t="shared" si="11"/>
        <v>0</v>
      </c>
      <c r="O47" s="164"/>
    </row>
    <row r="48" spans="1:15">
      <c r="A48">
        <v>9021</v>
      </c>
      <c r="B48" t="s">
        <v>93</v>
      </c>
      <c r="C48" t="s">
        <v>89</v>
      </c>
      <c r="D48" s="143" t="s">
        <v>5</v>
      </c>
      <c r="E48" s="144">
        <v>43179.76152777778</v>
      </c>
      <c r="F48" s="104">
        <f t="shared" si="4"/>
        <v>43179.76152777778</v>
      </c>
      <c r="G48" s="125" t="str">
        <f t="shared" si="5"/>
        <v>18:16</v>
      </c>
      <c r="H48" s="33" t="str">
        <f t="shared" si="6"/>
        <v>-</v>
      </c>
      <c r="I48" s="92" t="str">
        <f t="shared" si="7"/>
        <v>-</v>
      </c>
      <c r="J48" s="92" t="str">
        <f t="shared" si="8"/>
        <v>-</v>
      </c>
      <c r="K48" s="93">
        <f t="shared" si="9"/>
        <v>0</v>
      </c>
      <c r="L48" s="93"/>
      <c r="M48" s="94">
        <f t="shared" si="10"/>
        <v>0</v>
      </c>
      <c r="N48" s="129">
        <f t="shared" si="11"/>
        <v>0</v>
      </c>
      <c r="O48" s="164"/>
    </row>
    <row r="49" spans="1:15">
      <c r="A49">
        <v>9054</v>
      </c>
      <c r="B49" t="s">
        <v>93</v>
      </c>
      <c r="C49" t="s">
        <v>89</v>
      </c>
      <c r="D49" s="143" t="s">
        <v>6</v>
      </c>
      <c r="E49" s="144">
        <v>43180.375254629631</v>
      </c>
      <c r="F49" s="104">
        <f t="shared" si="4"/>
        <v>43180.375254629631</v>
      </c>
      <c r="G49" s="125" t="str">
        <f t="shared" si="5"/>
        <v>9:0</v>
      </c>
      <c r="H49" s="33">
        <f t="shared" si="6"/>
        <v>10.033333333333335</v>
      </c>
      <c r="I49" s="92">
        <f t="shared" si="7"/>
        <v>8</v>
      </c>
      <c r="J49" s="92">
        <f t="shared" si="8"/>
        <v>3.3333333333334991E-2</v>
      </c>
      <c r="K49" s="93">
        <f t="shared" si="9"/>
        <v>0</v>
      </c>
      <c r="L49" s="93"/>
      <c r="M49" s="94">
        <f t="shared" si="10"/>
        <v>0</v>
      </c>
      <c r="N49" s="129">
        <f t="shared" si="11"/>
        <v>0</v>
      </c>
      <c r="O49" s="164"/>
    </row>
    <row r="50" spans="1:15">
      <c r="A50">
        <v>9071</v>
      </c>
      <c r="B50" t="s">
        <v>89</v>
      </c>
      <c r="C50" t="s">
        <v>89</v>
      </c>
      <c r="D50" s="143" t="s">
        <v>5</v>
      </c>
      <c r="E50" s="144">
        <v>43180.79347222222</v>
      </c>
      <c r="F50" s="104">
        <f t="shared" si="4"/>
        <v>43180.79347222222</v>
      </c>
      <c r="G50" s="125" t="str">
        <f t="shared" si="5"/>
        <v>19:2</v>
      </c>
      <c r="H50" s="33" t="str">
        <f t="shared" si="6"/>
        <v>-</v>
      </c>
      <c r="I50" s="92" t="str">
        <f t="shared" si="7"/>
        <v>-</v>
      </c>
      <c r="J50" s="92" t="str">
        <f t="shared" si="8"/>
        <v>-</v>
      </c>
      <c r="K50" s="93">
        <f t="shared" si="9"/>
        <v>0</v>
      </c>
      <c r="L50" s="93"/>
      <c r="M50" s="94">
        <f t="shared" si="10"/>
        <v>0</v>
      </c>
      <c r="N50" s="129">
        <f t="shared" si="11"/>
        <v>0</v>
      </c>
      <c r="O50" s="164"/>
    </row>
    <row r="51" spans="1:15">
      <c r="A51">
        <v>9075</v>
      </c>
      <c r="B51" t="s">
        <v>90</v>
      </c>
      <c r="C51" t="s">
        <v>89</v>
      </c>
      <c r="D51" s="143" t="s">
        <v>7</v>
      </c>
      <c r="E51" s="144">
        <v>43180.817465277774</v>
      </c>
      <c r="F51" s="104">
        <f t="shared" si="4"/>
        <v>43180.817465277774</v>
      </c>
      <c r="G51" s="125" t="str">
        <f t="shared" si="5"/>
        <v>19:37</v>
      </c>
      <c r="H51" s="33" t="str">
        <f t="shared" si="6"/>
        <v>-</v>
      </c>
      <c r="I51" s="92" t="str">
        <f t="shared" si="7"/>
        <v>-</v>
      </c>
      <c r="J51" s="92" t="str">
        <f t="shared" si="8"/>
        <v>-</v>
      </c>
      <c r="K51" s="93">
        <f t="shared" si="9"/>
        <v>1.8333333333333321</v>
      </c>
      <c r="L51" s="93"/>
      <c r="M51" s="94">
        <f t="shared" si="10"/>
        <v>0</v>
      </c>
      <c r="N51" s="129">
        <f t="shared" si="11"/>
        <v>0</v>
      </c>
      <c r="O51" s="164"/>
    </row>
    <row r="52" spans="1:15">
      <c r="A52">
        <v>9080</v>
      </c>
      <c r="B52" t="s">
        <v>90</v>
      </c>
      <c r="C52" t="s">
        <v>89</v>
      </c>
      <c r="D52" s="143" t="s">
        <v>8</v>
      </c>
      <c r="E52" s="144">
        <v>43180.893796296295</v>
      </c>
      <c r="F52" s="104">
        <f t="shared" si="4"/>
        <v>43180.893796296295</v>
      </c>
      <c r="G52" s="125" t="str">
        <f t="shared" si="5"/>
        <v>21:27</v>
      </c>
      <c r="H52" s="33" t="str">
        <f t="shared" si="6"/>
        <v>-</v>
      </c>
      <c r="I52" s="92" t="str">
        <f t="shared" si="7"/>
        <v>-</v>
      </c>
      <c r="J52" s="92" t="str">
        <f t="shared" si="8"/>
        <v>-</v>
      </c>
      <c r="K52" s="93">
        <f t="shared" si="9"/>
        <v>0</v>
      </c>
      <c r="L52" s="93"/>
      <c r="M52" s="94">
        <f t="shared" si="10"/>
        <v>0</v>
      </c>
      <c r="N52" s="129">
        <f t="shared" si="11"/>
        <v>0</v>
      </c>
      <c r="O52" s="16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工作表27"/>
  <dimension ref="A1"/>
  <sheetViews>
    <sheetView workbookViewId="0">
      <selection activeCell="K18" sqref="K18"/>
    </sheetView>
  </sheetViews>
  <sheetFormatPr defaultRowHeight="16.5"/>
  <sheetData/>
  <phoneticPr fontId="18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工作表28"/>
  <dimension ref="A1:P21"/>
  <sheetViews>
    <sheetView view="pageBreakPreview" topLeftCell="D1" zoomScaleNormal="100" zoomScaleSheetLayoutView="100" workbookViewId="0">
      <selection activeCell="S26" sqref="S26"/>
    </sheetView>
  </sheetViews>
  <sheetFormatPr defaultColWidth="9" defaultRowHeight="16.5" outlineLevelCol="1"/>
  <cols>
    <col min="1" max="1" width="5.625" style="201" hidden="1" customWidth="1" outlineLevel="1"/>
    <col min="2" max="2" width="6.875" style="201" hidden="1" customWidth="1" outlineLevel="1"/>
    <col min="3" max="3" width="6.5" style="202" hidden="1" customWidth="1" outlineLevel="1"/>
    <col min="4" max="4" width="10.375" style="202" customWidth="1" collapsed="1"/>
    <col min="5" max="5" width="15.75" style="202" customWidth="1"/>
    <col min="6" max="6" width="7.875" style="245" customWidth="1"/>
    <col min="7" max="7" width="8.625" style="246" hidden="1" customWidth="1" outlineLevel="1"/>
    <col min="8" max="8" width="11.125" style="247" hidden="1" customWidth="1" outlineLevel="1"/>
    <col min="9" max="9" width="10.25" style="248" customWidth="1" collapsed="1"/>
    <col min="10" max="10" width="10" style="248" customWidth="1"/>
    <col min="11" max="11" width="8.375" style="249" hidden="1" customWidth="1" outlineLevel="1"/>
    <col min="12" max="12" width="5.875" style="249" customWidth="1" collapsed="1"/>
    <col min="13" max="13" width="8.25" style="249" customWidth="1"/>
    <col min="14" max="14" width="8.125" style="249" customWidth="1"/>
    <col min="15" max="15" width="11.75" style="250" customWidth="1"/>
    <col min="16" max="16" width="9" style="212"/>
    <col min="17" max="16384" width="9" style="201"/>
  </cols>
  <sheetData>
    <row r="1" spans="1:16" s="190" customFormat="1" ht="28.5" thickBot="1">
      <c r="C1" s="191"/>
      <c r="D1" s="192"/>
      <c r="E1" s="192"/>
      <c r="F1" s="193"/>
      <c r="G1" s="194"/>
      <c r="H1" s="195"/>
      <c r="I1" s="196" t="str">
        <f>B7</f>
        <v>anne</v>
      </c>
      <c r="J1" s="197" t="s">
        <v>29</v>
      </c>
      <c r="K1" s="198"/>
      <c r="L1" s="198"/>
      <c r="M1" s="198"/>
      <c r="N1" s="198"/>
      <c r="O1" s="199"/>
      <c r="P1" s="200"/>
    </row>
    <row r="2" spans="1:16">
      <c r="D2" s="203"/>
      <c r="E2" s="204"/>
      <c r="F2" s="205" t="s">
        <v>28</v>
      </c>
      <c r="G2" s="206"/>
      <c r="H2" s="206"/>
      <c r="I2" s="207" t="s">
        <v>24</v>
      </c>
      <c r="J2" s="207"/>
      <c r="K2" s="208"/>
      <c r="L2" s="209"/>
      <c r="M2" s="210"/>
      <c r="N2" s="210"/>
      <c r="O2" s="211" t="s">
        <v>27</v>
      </c>
    </row>
    <row r="3" spans="1:16" ht="17.25" thickBot="1">
      <c r="D3" s="213"/>
      <c r="E3" s="214"/>
      <c r="F3" s="215"/>
      <c r="G3" s="216"/>
      <c r="H3" s="216"/>
      <c r="I3" s="217">
        <f>I6+J6+M6+N6</f>
        <v>48.216666666666661</v>
      </c>
      <c r="J3" s="218"/>
      <c r="K3" s="219"/>
      <c r="L3" s="219"/>
      <c r="M3" s="219"/>
      <c r="N3" s="219"/>
      <c r="O3" s="220"/>
    </row>
    <row r="4" spans="1:16">
      <c r="D4" s="221"/>
      <c r="E4" s="222"/>
      <c r="F4" s="223"/>
      <c r="G4" s="224"/>
      <c r="H4" s="224"/>
      <c r="I4" s="225" t="s">
        <v>33</v>
      </c>
      <c r="J4" s="225"/>
      <c r="K4" s="225"/>
      <c r="L4" s="225"/>
      <c r="M4" s="225"/>
      <c r="N4" s="225"/>
      <c r="O4" s="226"/>
    </row>
    <row r="5" spans="1:16">
      <c r="D5" s="227"/>
      <c r="E5" s="228"/>
      <c r="F5" s="229" t="s">
        <v>26</v>
      </c>
      <c r="G5" s="230"/>
      <c r="H5" s="230"/>
      <c r="I5" s="231" t="s">
        <v>81</v>
      </c>
      <c r="J5" s="231" t="s">
        <v>82</v>
      </c>
      <c r="K5" s="231"/>
      <c r="L5" s="231"/>
      <c r="M5" s="232"/>
      <c r="N5" s="232"/>
      <c r="O5" s="233"/>
    </row>
    <row r="6" spans="1:16" ht="17.25" thickBot="1">
      <c r="A6" s="201" t="s">
        <v>0</v>
      </c>
      <c r="B6" s="201" t="s">
        <v>1</v>
      </c>
      <c r="C6" s="202" t="s">
        <v>2</v>
      </c>
      <c r="D6" s="234" t="s">
        <v>3</v>
      </c>
      <c r="E6" s="235" t="s">
        <v>4</v>
      </c>
      <c r="F6" s="236"/>
      <c r="G6" s="237"/>
      <c r="H6" s="238" t="s">
        <v>22</v>
      </c>
      <c r="I6" s="239">
        <f>SUM(I7:I18)</f>
        <v>48</v>
      </c>
      <c r="J6" s="239">
        <f>SUM(J7:J18)</f>
        <v>0.21666666666666146</v>
      </c>
      <c r="K6" s="239" t="e">
        <f>SUM(#REF!)</f>
        <v>#REF!</v>
      </c>
      <c r="L6" s="239"/>
      <c r="M6" s="239"/>
      <c r="N6" s="239"/>
      <c r="O6" s="240"/>
    </row>
    <row r="7" spans="1:16">
      <c r="A7" s="312">
        <v>5138</v>
      </c>
      <c r="B7" s="312" t="s">
        <v>79</v>
      </c>
      <c r="C7" s="312" t="s">
        <v>79</v>
      </c>
      <c r="D7" s="315" t="s">
        <v>6</v>
      </c>
      <c r="E7" s="316">
        <v>42979.355613425927</v>
      </c>
      <c r="F7" s="241">
        <f t="shared" ref="F7" si="0">E7</f>
        <v>42979.355613425927</v>
      </c>
      <c r="G7" s="242" t="str">
        <f t="shared" ref="G7" si="1">HOUR(E7)&amp;":"&amp;MINUTE(E7)</f>
        <v>8:32</v>
      </c>
      <c r="H7" s="33">
        <f t="shared" ref="H7" si="2">IF(D7="上班",(G8-G7)*24,"-")</f>
        <v>9.9333333333333318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3">IF(D7="加班",(G8-G7)*24,0)</f>
        <v>0</v>
      </c>
      <c r="L7" s="93"/>
      <c r="M7" s="94">
        <f t="shared" ref="M7" si="4">IF(K7&gt;2,K7-2,0)</f>
        <v>0</v>
      </c>
      <c r="N7" s="129">
        <f t="shared" ref="N7" si="5">IF(K7&gt;2,K7-2,0)</f>
        <v>0</v>
      </c>
      <c r="O7" s="243"/>
    </row>
    <row r="8" spans="1:16">
      <c r="A8" s="312">
        <v>5150</v>
      </c>
      <c r="B8" s="312" t="s">
        <v>79</v>
      </c>
      <c r="C8" s="312" t="s">
        <v>79</v>
      </c>
      <c r="D8" s="317" t="s">
        <v>5</v>
      </c>
      <c r="E8" s="318">
        <v>42979.770127314812</v>
      </c>
      <c r="F8" s="241">
        <f t="shared" ref="F8:F9" si="6">E8</f>
        <v>42979.770127314812</v>
      </c>
      <c r="G8" s="242" t="str">
        <f t="shared" ref="G8:G9" si="7">HOUR(E8)&amp;":"&amp;MINUTE(E8)</f>
        <v>18:28</v>
      </c>
      <c r="H8" s="33" t="str">
        <f t="shared" ref="H8:H18" si="8">IF(D8="上班",(G9-G8)*24,"-")</f>
        <v>-</v>
      </c>
      <c r="I8" s="92" t="str">
        <f t="shared" ref="I8:I18" si="9">IF(D8="上班",IF(H8-1.5&gt;8,8,H8-1.5),"-")</f>
        <v>-</v>
      </c>
      <c r="J8" s="92" t="str">
        <f t="shared" ref="J8:J18" si="10">IF(D8="上班",IF(H8&gt;(8+2),(H8-8-1.5-0.5),"-"),"-")</f>
        <v>-</v>
      </c>
      <c r="K8" s="93">
        <f t="shared" ref="K8:K18" si="11">IF(D8="加班",(G9-G8)*24,0)</f>
        <v>0</v>
      </c>
      <c r="L8" s="93"/>
      <c r="M8" s="94">
        <f t="shared" ref="M8:M18" si="12">IF(K8&gt;2,K8-2,0)</f>
        <v>0</v>
      </c>
      <c r="N8" s="129">
        <f t="shared" ref="N8:N18" si="13">IF(K8&gt;2,K8-2,0)</f>
        <v>0</v>
      </c>
      <c r="O8" s="243"/>
    </row>
    <row r="9" spans="1:16">
      <c r="A9" s="312">
        <v>5153</v>
      </c>
      <c r="B9" s="312" t="s">
        <v>79</v>
      </c>
      <c r="C9" s="312" t="s">
        <v>79</v>
      </c>
      <c r="D9" s="317" t="s">
        <v>6</v>
      </c>
      <c r="E9" s="318">
        <v>42982.358182870368</v>
      </c>
      <c r="F9" s="241">
        <f t="shared" si="6"/>
        <v>42982.358182870368</v>
      </c>
      <c r="G9" s="242" t="str">
        <f t="shared" si="7"/>
        <v>8:35</v>
      </c>
      <c r="H9" s="33">
        <f t="shared" si="8"/>
        <v>10.066666666666665</v>
      </c>
      <c r="I9" s="92">
        <f t="shared" si="9"/>
        <v>8</v>
      </c>
      <c r="J9" s="92">
        <f t="shared" si="10"/>
        <v>6.6666666666664653E-2</v>
      </c>
      <c r="K9" s="93">
        <f t="shared" si="11"/>
        <v>0</v>
      </c>
      <c r="L9" s="93"/>
      <c r="M9" s="94">
        <f t="shared" si="12"/>
        <v>0</v>
      </c>
      <c r="N9" s="129">
        <f t="shared" si="13"/>
        <v>0</v>
      </c>
      <c r="O9" s="243"/>
    </row>
    <row r="10" spans="1:16">
      <c r="A10" s="312">
        <v>5169</v>
      </c>
      <c r="B10" s="312" t="s">
        <v>79</v>
      </c>
      <c r="C10" s="312" t="s">
        <v>79</v>
      </c>
      <c r="D10" s="317" t="s">
        <v>5</v>
      </c>
      <c r="E10" s="318">
        <v>42982.777268518519</v>
      </c>
      <c r="F10" s="241">
        <f t="shared" ref="F10:F18" si="14">E10</f>
        <v>42982.777268518519</v>
      </c>
      <c r="G10" s="242" t="str">
        <f t="shared" ref="G10:G18" si="15">HOUR(E10)&amp;":"&amp;MINUTE(E10)</f>
        <v>18:39</v>
      </c>
      <c r="H10" s="33" t="str">
        <f t="shared" si="8"/>
        <v>-</v>
      </c>
      <c r="I10" s="92" t="str">
        <f t="shared" si="9"/>
        <v>-</v>
      </c>
      <c r="J10" s="92" t="str">
        <f t="shared" si="10"/>
        <v>-</v>
      </c>
      <c r="K10" s="93">
        <f t="shared" si="11"/>
        <v>0</v>
      </c>
      <c r="L10" s="93"/>
      <c r="M10" s="94">
        <f t="shared" si="12"/>
        <v>0</v>
      </c>
      <c r="N10" s="129">
        <f t="shared" si="13"/>
        <v>0</v>
      </c>
      <c r="O10" s="243"/>
    </row>
    <row r="11" spans="1:16">
      <c r="A11" s="312">
        <v>5177</v>
      </c>
      <c r="B11" s="312" t="s">
        <v>79</v>
      </c>
      <c r="C11" s="312" t="s">
        <v>79</v>
      </c>
      <c r="D11" s="317" t="s">
        <v>6</v>
      </c>
      <c r="E11" s="318">
        <v>42983.354479166665</v>
      </c>
      <c r="F11" s="241">
        <f t="shared" si="14"/>
        <v>42983.354479166665</v>
      </c>
      <c r="G11" s="242" t="str">
        <f t="shared" si="15"/>
        <v>8:30</v>
      </c>
      <c r="H11" s="33">
        <f t="shared" si="8"/>
        <v>10.149999999999997</v>
      </c>
      <c r="I11" s="92">
        <f t="shared" si="9"/>
        <v>8</v>
      </c>
      <c r="J11" s="92">
        <f t="shared" si="10"/>
        <v>0.1499999999999968</v>
      </c>
      <c r="K11" s="93">
        <f t="shared" si="11"/>
        <v>0</v>
      </c>
      <c r="L11" s="93"/>
      <c r="M11" s="94">
        <f t="shared" si="12"/>
        <v>0</v>
      </c>
      <c r="N11" s="129">
        <f t="shared" si="13"/>
        <v>0</v>
      </c>
      <c r="O11" s="243"/>
    </row>
    <row r="12" spans="1:16" s="63" customFormat="1">
      <c r="A12" s="322">
        <v>5169</v>
      </c>
      <c r="B12" s="322" t="s">
        <v>79</v>
      </c>
      <c r="C12" s="322" t="s">
        <v>79</v>
      </c>
      <c r="D12" s="321" t="s">
        <v>5</v>
      </c>
      <c r="E12" s="320">
        <v>42983.777268518519</v>
      </c>
      <c r="F12" s="135">
        <f t="shared" si="14"/>
        <v>42983.777268518519</v>
      </c>
      <c r="G12" s="67" t="str">
        <f t="shared" si="15"/>
        <v>18:39</v>
      </c>
      <c r="H12" s="33" t="str">
        <f t="shared" si="8"/>
        <v>-</v>
      </c>
      <c r="I12" s="92" t="str">
        <f t="shared" si="9"/>
        <v>-</v>
      </c>
      <c r="J12" s="92" t="str">
        <f t="shared" si="10"/>
        <v>-</v>
      </c>
      <c r="K12" s="93">
        <f t="shared" si="11"/>
        <v>0</v>
      </c>
      <c r="L12" s="93"/>
      <c r="M12" s="94">
        <f t="shared" si="12"/>
        <v>0</v>
      </c>
      <c r="N12" s="129">
        <f t="shared" si="13"/>
        <v>0</v>
      </c>
      <c r="O12" s="186"/>
      <c r="P12" s="18"/>
    </row>
    <row r="13" spans="1:16">
      <c r="A13" s="312">
        <v>5204</v>
      </c>
      <c r="B13" s="312" t="s">
        <v>79</v>
      </c>
      <c r="C13" s="312" t="s">
        <v>79</v>
      </c>
      <c r="D13" s="317" t="s">
        <v>6</v>
      </c>
      <c r="E13" s="318">
        <v>42984.356087962966</v>
      </c>
      <c r="F13" s="241">
        <f t="shared" si="14"/>
        <v>42984.356087962966</v>
      </c>
      <c r="G13" s="242" t="str">
        <f t="shared" si="15"/>
        <v>8:32</v>
      </c>
      <c r="H13" s="33">
        <f t="shared" si="8"/>
        <v>9.9833333333333307</v>
      </c>
      <c r="I13" s="92">
        <f t="shared" si="9"/>
        <v>8</v>
      </c>
      <c r="J13" s="92" t="str">
        <f t="shared" si="10"/>
        <v>-</v>
      </c>
      <c r="K13" s="93">
        <f t="shared" si="11"/>
        <v>0</v>
      </c>
      <c r="L13" s="93"/>
      <c r="M13" s="94">
        <f t="shared" si="12"/>
        <v>0</v>
      </c>
      <c r="N13" s="129">
        <f t="shared" si="13"/>
        <v>0</v>
      </c>
      <c r="O13" s="243"/>
    </row>
    <row r="14" spans="1:16">
      <c r="A14" s="312">
        <v>5219</v>
      </c>
      <c r="B14" s="312" t="s">
        <v>79</v>
      </c>
      <c r="C14" s="312" t="s">
        <v>79</v>
      </c>
      <c r="D14" s="317" t="s">
        <v>5</v>
      </c>
      <c r="E14" s="318">
        <v>42984.772187499999</v>
      </c>
      <c r="F14" s="241">
        <f t="shared" si="14"/>
        <v>42984.772187499999</v>
      </c>
      <c r="G14" s="242" t="str">
        <f t="shared" si="15"/>
        <v>18:31</v>
      </c>
      <c r="H14" s="33" t="str">
        <f t="shared" si="8"/>
        <v>-</v>
      </c>
      <c r="I14" s="92" t="str">
        <f t="shared" si="9"/>
        <v>-</v>
      </c>
      <c r="J14" s="92" t="str">
        <f t="shared" si="10"/>
        <v>-</v>
      </c>
      <c r="K14" s="93">
        <f t="shared" si="11"/>
        <v>0</v>
      </c>
      <c r="L14" s="93"/>
      <c r="M14" s="94">
        <f t="shared" si="12"/>
        <v>0</v>
      </c>
      <c r="N14" s="129">
        <f t="shared" si="13"/>
        <v>0</v>
      </c>
      <c r="O14" s="243"/>
    </row>
    <row r="15" spans="1:16">
      <c r="A15" s="312">
        <v>5227</v>
      </c>
      <c r="B15" s="312" t="s">
        <v>79</v>
      </c>
      <c r="C15" s="312" t="s">
        <v>79</v>
      </c>
      <c r="D15" s="317" t="s">
        <v>6</v>
      </c>
      <c r="E15" s="318">
        <v>42985.353888888887</v>
      </c>
      <c r="F15" s="241">
        <f t="shared" si="14"/>
        <v>42985.353888888887</v>
      </c>
      <c r="G15" s="242" t="str">
        <f t="shared" si="15"/>
        <v>8:29</v>
      </c>
      <c r="H15" s="33">
        <f t="shared" si="8"/>
        <v>9.9833333333333325</v>
      </c>
      <c r="I15" s="92">
        <f t="shared" si="9"/>
        <v>8</v>
      </c>
      <c r="J15" s="92" t="str">
        <f t="shared" si="10"/>
        <v>-</v>
      </c>
      <c r="K15" s="93">
        <f t="shared" si="11"/>
        <v>0</v>
      </c>
      <c r="L15" s="93"/>
      <c r="M15" s="94">
        <f t="shared" si="12"/>
        <v>0</v>
      </c>
      <c r="N15" s="129">
        <f t="shared" si="13"/>
        <v>0</v>
      </c>
      <c r="O15" s="243"/>
    </row>
    <row r="16" spans="1:16">
      <c r="A16" s="312">
        <v>5238</v>
      </c>
      <c r="B16" s="312" t="s">
        <v>79</v>
      </c>
      <c r="C16" s="312" t="s">
        <v>79</v>
      </c>
      <c r="D16" s="317" t="s">
        <v>5</v>
      </c>
      <c r="E16" s="318">
        <v>42985.769872685189</v>
      </c>
      <c r="F16" s="241">
        <f t="shared" si="14"/>
        <v>42985.769872685189</v>
      </c>
      <c r="G16" s="242" t="str">
        <f t="shared" si="15"/>
        <v>18:28</v>
      </c>
      <c r="H16" s="33" t="str">
        <f t="shared" si="8"/>
        <v>-</v>
      </c>
      <c r="I16" s="92" t="str">
        <f t="shared" si="9"/>
        <v>-</v>
      </c>
      <c r="J16" s="92" t="str">
        <f t="shared" si="10"/>
        <v>-</v>
      </c>
      <c r="K16" s="93">
        <f t="shared" si="11"/>
        <v>0</v>
      </c>
      <c r="L16" s="93"/>
      <c r="M16" s="94">
        <f t="shared" si="12"/>
        <v>0</v>
      </c>
      <c r="N16" s="129">
        <f t="shared" si="13"/>
        <v>0</v>
      </c>
      <c r="O16" s="243"/>
    </row>
    <row r="17" spans="1:15">
      <c r="A17" s="312">
        <v>5256</v>
      </c>
      <c r="B17" s="312" t="s">
        <v>79</v>
      </c>
      <c r="C17" s="312" t="s">
        <v>79</v>
      </c>
      <c r="D17" s="317" t="s">
        <v>6</v>
      </c>
      <c r="E17" s="318">
        <v>42986.360937500001</v>
      </c>
      <c r="F17" s="241">
        <f t="shared" si="14"/>
        <v>42986.360937500001</v>
      </c>
      <c r="G17" s="242" t="str">
        <f t="shared" si="15"/>
        <v>8:39</v>
      </c>
      <c r="H17" s="33">
        <f t="shared" si="8"/>
        <v>9.9333333333333318</v>
      </c>
      <c r="I17" s="92">
        <f t="shared" si="9"/>
        <v>8</v>
      </c>
      <c r="J17" s="92" t="str">
        <f t="shared" si="10"/>
        <v>-</v>
      </c>
      <c r="K17" s="93">
        <f t="shared" si="11"/>
        <v>0</v>
      </c>
      <c r="L17" s="93"/>
      <c r="M17" s="94">
        <f t="shared" si="12"/>
        <v>0</v>
      </c>
      <c r="N17" s="129">
        <f t="shared" si="13"/>
        <v>0</v>
      </c>
      <c r="O17" s="243"/>
    </row>
    <row r="18" spans="1:15">
      <c r="A18" s="312">
        <v>5266</v>
      </c>
      <c r="B18" s="312" t="s">
        <v>79</v>
      </c>
      <c r="C18" s="312" t="s">
        <v>79</v>
      </c>
      <c r="D18" s="317" t="s">
        <v>5</v>
      </c>
      <c r="E18" s="318">
        <v>42986.774837962963</v>
      </c>
      <c r="F18" s="241">
        <f t="shared" si="14"/>
        <v>42986.774837962963</v>
      </c>
      <c r="G18" s="242" t="str">
        <f t="shared" si="15"/>
        <v>18:35</v>
      </c>
      <c r="H18" s="33" t="str">
        <f t="shared" si="8"/>
        <v>-</v>
      </c>
      <c r="I18" s="92" t="str">
        <f t="shared" si="9"/>
        <v>-</v>
      </c>
      <c r="J18" s="92" t="str">
        <f t="shared" si="10"/>
        <v>-</v>
      </c>
      <c r="K18" s="93">
        <f t="shared" si="11"/>
        <v>0</v>
      </c>
      <c r="L18" s="93"/>
      <c r="M18" s="94">
        <f t="shared" si="12"/>
        <v>0</v>
      </c>
      <c r="N18" s="129">
        <f t="shared" si="13"/>
        <v>0</v>
      </c>
      <c r="O18" s="243"/>
    </row>
    <row r="20" spans="1:15">
      <c r="D20" s="244"/>
    </row>
    <row r="21" spans="1:15">
      <c r="D21" s="244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工作表29"/>
  <dimension ref="A1:P23"/>
  <sheetViews>
    <sheetView view="pageBreakPreview" topLeftCell="D1" zoomScaleNormal="100" zoomScaleSheetLayoutView="100" workbookViewId="0">
      <selection activeCell="T15" sqref="T15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10.375" style="3" customWidth="1" collapsed="1"/>
    <col min="5" max="5" width="15.75" style="3" customWidth="1"/>
    <col min="6" max="6" width="7.8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2.25" style="22" hidden="1" customWidth="1" outlineLevel="1"/>
    <col min="12" max="12" width="5.87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B9</f>
        <v>yvonne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I6+J6+M6+N6</f>
        <v>47.283333333333331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81</v>
      </c>
      <c r="J5" s="118" t="s">
        <v>82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182" t="s">
        <v>3</v>
      </c>
      <c r="E6" s="183" t="s">
        <v>4</v>
      </c>
      <c r="F6" s="121"/>
      <c r="G6" s="122"/>
      <c r="H6" s="123" t="s">
        <v>22</v>
      </c>
      <c r="I6" s="124">
        <f>SUM(I7:I22)</f>
        <v>47.283333333333331</v>
      </c>
      <c r="J6" s="124">
        <f>SUM(J7:J20)</f>
        <v>0</v>
      </c>
      <c r="K6" s="124">
        <f>SUM(K9:K20)</f>
        <v>0</v>
      </c>
      <c r="L6" s="124">
        <f>SUM(L9:L20)</f>
        <v>0</v>
      </c>
      <c r="M6" s="124">
        <f>SUM(M9:M20)</f>
        <v>0</v>
      </c>
      <c r="N6" s="124">
        <f>SUM(N9:N20)</f>
        <v>0</v>
      </c>
      <c r="O6" s="45"/>
    </row>
    <row r="7" spans="1:16" s="63" customFormat="1">
      <c r="A7" s="314">
        <v>5160</v>
      </c>
      <c r="B7" s="314" t="s">
        <v>73</v>
      </c>
      <c r="C7" s="314" t="s">
        <v>73</v>
      </c>
      <c r="D7" s="317" t="s">
        <v>6</v>
      </c>
      <c r="E7" s="318">
        <v>42982.373495370368</v>
      </c>
      <c r="F7" s="104">
        <f>E7</f>
        <v>42982.373495370368</v>
      </c>
      <c r="G7" s="125" t="str">
        <f>HOUR(E7)&amp;":"&amp;MINUTE(E7)</f>
        <v>8:57</v>
      </c>
      <c r="H7" s="33">
        <f t="shared" ref="H7:H20" si="0">IF(D7="上班",(G8-G7)*24,"-")</f>
        <v>9.6333333333333329</v>
      </c>
      <c r="I7" s="92">
        <f>IF(D7="上班",IF(H7-1.5&gt;8,8,H7-1.5),"-")</f>
        <v>8</v>
      </c>
      <c r="J7" s="92" t="str">
        <f>IF(D7="上班",IF(H7&gt;(8+2),(H7-8-1.5-0.5),"-"),"-")</f>
        <v>-</v>
      </c>
      <c r="K7" s="93">
        <f t="shared" ref="K7" si="1">IF(D7="加班",(G8-G7)*24,0)</f>
        <v>0</v>
      </c>
      <c r="L7" s="93"/>
      <c r="M7" s="94">
        <f t="shared" ref="M7" si="2">IF(K7&gt;2,K7-2,0)</f>
        <v>0</v>
      </c>
      <c r="N7" s="129">
        <f t="shared" ref="N7:N8" si="3">IF(K7&gt;2,K7-2,0)</f>
        <v>0</v>
      </c>
      <c r="O7" s="164"/>
      <c r="P7" s="18"/>
    </row>
    <row r="8" spans="1:16">
      <c r="A8" s="312">
        <v>5168</v>
      </c>
      <c r="B8" s="312" t="s">
        <v>73</v>
      </c>
      <c r="C8" s="312" t="s">
        <v>73</v>
      </c>
      <c r="D8" s="317" t="s">
        <v>5</v>
      </c>
      <c r="E8" s="318">
        <v>42982.774629629632</v>
      </c>
      <c r="F8" s="104">
        <f t="shared" ref="F8:F20" si="4">E8</f>
        <v>42982.774629629632</v>
      </c>
      <c r="G8" s="125" t="str">
        <f t="shared" ref="G8:G9" si="5">HOUR(E8)&amp;":"&amp;MINUTE(E8)</f>
        <v>18:35</v>
      </c>
      <c r="H8" s="33" t="str">
        <f t="shared" si="0"/>
        <v>-</v>
      </c>
      <c r="I8" s="92" t="str">
        <f t="shared" ref="I8:I20" si="6">IF(D8="上班",IF(H8-1.5&gt;8,8,H8-1.5),"-")</f>
        <v>-</v>
      </c>
      <c r="J8" s="92" t="str">
        <f t="shared" ref="J8:J20" si="7">IF(D8="上班",IF(H8&gt;(8+2),(H8-8-1.5-0.5),"-"),"-")</f>
        <v>-</v>
      </c>
      <c r="K8" s="128">
        <f>IF(D8="加班",(#REF!-G8)*24,0)</f>
        <v>0</v>
      </c>
      <c r="L8" s="128"/>
      <c r="M8" s="129">
        <f t="shared" ref="M8" si="8">IF(K8&gt;2,2,K8)</f>
        <v>0</v>
      </c>
      <c r="N8" s="129">
        <f t="shared" si="3"/>
        <v>0</v>
      </c>
      <c r="O8" s="164"/>
    </row>
    <row r="9" spans="1:16" s="63" customFormat="1">
      <c r="A9" s="314">
        <v>5183</v>
      </c>
      <c r="B9" s="314" t="s">
        <v>73</v>
      </c>
      <c r="C9" s="314" t="s">
        <v>73</v>
      </c>
      <c r="D9" s="317" t="s">
        <v>6</v>
      </c>
      <c r="E9" s="318">
        <v>42983.587708333333</v>
      </c>
      <c r="F9" s="104">
        <f t="shared" si="4"/>
        <v>42983.587708333333</v>
      </c>
      <c r="G9" s="125" t="str">
        <f t="shared" si="5"/>
        <v>14:6</v>
      </c>
      <c r="H9" s="33">
        <f t="shared" si="0"/>
        <v>4.6333333333333329</v>
      </c>
      <c r="I9" s="92">
        <f>IF(D9="上班",IF(H9-1.5&gt;8,8,H9-1.5),"-")+1.5</f>
        <v>4.6333333333333329</v>
      </c>
      <c r="J9" s="92" t="str">
        <f t="shared" si="7"/>
        <v>-</v>
      </c>
      <c r="K9" s="128">
        <f>IF(D9="加班",(#REF!-G9)*24,0)</f>
        <v>0</v>
      </c>
      <c r="L9" s="128"/>
      <c r="M9" s="129">
        <f t="shared" ref="M9:M20" si="9">IF(K9&gt;2,2,K9)</f>
        <v>0</v>
      </c>
      <c r="N9" s="129">
        <f t="shared" ref="N9:N20" si="10">IF(K9&gt;2,K9-2,0)</f>
        <v>0</v>
      </c>
      <c r="O9" s="164"/>
      <c r="P9" s="18"/>
    </row>
    <row r="10" spans="1:16">
      <c r="A10" s="312">
        <v>5197</v>
      </c>
      <c r="B10" s="312" t="s">
        <v>73</v>
      </c>
      <c r="C10" s="312" t="s">
        <v>73</v>
      </c>
      <c r="D10" s="317" t="s">
        <v>5</v>
      </c>
      <c r="E10" s="318">
        <v>42983.780925925923</v>
      </c>
      <c r="F10" s="104">
        <f t="shared" si="4"/>
        <v>42983.780925925923</v>
      </c>
      <c r="G10" s="125" t="str">
        <f t="shared" ref="G10:G20" si="11">HOUR(E10)&amp;":"&amp;MINUTE(E10)</f>
        <v>18:44</v>
      </c>
      <c r="H10" s="33" t="str">
        <f t="shared" si="0"/>
        <v>-</v>
      </c>
      <c r="I10" s="92" t="str">
        <f t="shared" si="6"/>
        <v>-</v>
      </c>
      <c r="J10" s="92" t="str">
        <f t="shared" si="7"/>
        <v>-</v>
      </c>
      <c r="K10" s="128">
        <f>IF(D10="加班",(#REF!-G10)*24,0)</f>
        <v>0</v>
      </c>
      <c r="L10" s="128"/>
      <c r="M10" s="129">
        <f t="shared" si="9"/>
        <v>0</v>
      </c>
      <c r="N10" s="129">
        <f t="shared" si="10"/>
        <v>0</v>
      </c>
      <c r="O10" s="164"/>
    </row>
    <row r="11" spans="1:16">
      <c r="A11" s="312">
        <v>5212</v>
      </c>
      <c r="B11" s="312" t="s">
        <v>73</v>
      </c>
      <c r="C11" s="312" t="s">
        <v>73</v>
      </c>
      <c r="D11" s="317" t="s">
        <v>6</v>
      </c>
      <c r="E11" s="318">
        <v>42984.434351851851</v>
      </c>
      <c r="F11" s="104">
        <f t="shared" si="4"/>
        <v>42984.434351851851</v>
      </c>
      <c r="G11" s="125" t="str">
        <f t="shared" si="11"/>
        <v>10:25</v>
      </c>
      <c r="H11" s="33">
        <f t="shared" si="0"/>
        <v>8.2666666666666675</v>
      </c>
      <c r="I11" s="92">
        <f t="shared" si="6"/>
        <v>6.7666666666666675</v>
      </c>
      <c r="J11" s="92" t="str">
        <f t="shared" si="7"/>
        <v>-</v>
      </c>
      <c r="K11" s="128">
        <f>IF(D11="加班",(#REF!-G11)*24,0)</f>
        <v>0</v>
      </c>
      <c r="L11" s="128"/>
      <c r="M11" s="129">
        <f t="shared" si="9"/>
        <v>0</v>
      </c>
      <c r="N11" s="129">
        <f t="shared" si="10"/>
        <v>0</v>
      </c>
      <c r="O11" s="164"/>
    </row>
    <row r="12" spans="1:16">
      <c r="A12" s="312">
        <v>5222</v>
      </c>
      <c r="B12" s="312" t="s">
        <v>73</v>
      </c>
      <c r="C12" s="312" t="s">
        <v>73</v>
      </c>
      <c r="D12" s="317" t="s">
        <v>5</v>
      </c>
      <c r="E12" s="318">
        <v>42984.778622685182</v>
      </c>
      <c r="F12" s="104">
        <f t="shared" si="4"/>
        <v>42984.778622685182</v>
      </c>
      <c r="G12" s="125" t="str">
        <f t="shared" si="11"/>
        <v>18:41</v>
      </c>
      <c r="H12" s="33" t="str">
        <f t="shared" si="0"/>
        <v>-</v>
      </c>
      <c r="I12" s="92" t="str">
        <f t="shared" si="6"/>
        <v>-</v>
      </c>
      <c r="J12" s="92" t="str">
        <f t="shared" si="7"/>
        <v>-</v>
      </c>
      <c r="K12" s="128">
        <f>IF(D12="加班",(#REF!-G12)*24,0)</f>
        <v>0</v>
      </c>
      <c r="L12" s="128"/>
      <c r="M12" s="129">
        <f t="shared" si="9"/>
        <v>0</v>
      </c>
      <c r="N12" s="129">
        <f t="shared" si="10"/>
        <v>0</v>
      </c>
      <c r="O12" s="164"/>
    </row>
    <row r="13" spans="1:16">
      <c r="A13" s="312">
        <v>5234</v>
      </c>
      <c r="B13" s="312" t="s">
        <v>73</v>
      </c>
      <c r="C13" s="312" t="s">
        <v>73</v>
      </c>
      <c r="D13" s="317" t="s">
        <v>6</v>
      </c>
      <c r="E13" s="318">
        <v>42985.58697916667</v>
      </c>
      <c r="F13" s="104">
        <f t="shared" si="4"/>
        <v>42985.58697916667</v>
      </c>
      <c r="G13" s="125" t="str">
        <f t="shared" si="11"/>
        <v>14:5</v>
      </c>
      <c r="H13" s="33">
        <f t="shared" si="0"/>
        <v>4.4666666666666668</v>
      </c>
      <c r="I13" s="92">
        <f>IF(D13="上班",IF(H13-1.5&gt;8,8,H13-1.5),"-")+1.5</f>
        <v>4.4666666666666668</v>
      </c>
      <c r="J13" s="92" t="str">
        <f t="shared" si="7"/>
        <v>-</v>
      </c>
      <c r="K13" s="128">
        <f>IF(D13="加班",(#REF!-G13)*24,0)</f>
        <v>0</v>
      </c>
      <c r="L13" s="128"/>
      <c r="M13" s="129">
        <f t="shared" si="9"/>
        <v>0</v>
      </c>
      <c r="N13" s="129">
        <f t="shared" si="10"/>
        <v>0</v>
      </c>
      <c r="O13" s="164"/>
    </row>
    <row r="14" spans="1:16">
      <c r="A14" s="312">
        <v>5243</v>
      </c>
      <c r="B14" s="312" t="s">
        <v>73</v>
      </c>
      <c r="C14" s="312" t="s">
        <v>73</v>
      </c>
      <c r="D14" s="317" t="s">
        <v>5</v>
      </c>
      <c r="E14" s="318">
        <v>42985.773564814815</v>
      </c>
      <c r="F14" s="104">
        <f t="shared" si="4"/>
        <v>42985.773564814815</v>
      </c>
      <c r="G14" s="125" t="str">
        <f t="shared" si="11"/>
        <v>18:33</v>
      </c>
      <c r="H14" s="33" t="str">
        <f t="shared" si="0"/>
        <v>-</v>
      </c>
      <c r="I14" s="92" t="str">
        <f t="shared" si="6"/>
        <v>-</v>
      </c>
      <c r="J14" s="92" t="str">
        <f t="shared" si="7"/>
        <v>-</v>
      </c>
      <c r="K14" s="128">
        <f>IF(D14="加班",(#REF!-G14)*24,0)</f>
        <v>0</v>
      </c>
      <c r="L14" s="128"/>
      <c r="M14" s="129">
        <f t="shared" si="9"/>
        <v>0</v>
      </c>
      <c r="N14" s="129">
        <f t="shared" si="10"/>
        <v>0</v>
      </c>
      <c r="O14" s="164"/>
    </row>
    <row r="15" spans="1:16">
      <c r="A15" s="312">
        <v>5262</v>
      </c>
      <c r="B15" s="312" t="s">
        <v>73</v>
      </c>
      <c r="C15" s="312" t="s">
        <v>73</v>
      </c>
      <c r="D15" s="317" t="s">
        <v>6</v>
      </c>
      <c r="E15" s="318">
        <v>42986.37400462963</v>
      </c>
      <c r="F15" s="104">
        <f t="shared" si="4"/>
        <v>42986.37400462963</v>
      </c>
      <c r="G15" s="125" t="str">
        <f t="shared" si="11"/>
        <v>8:58</v>
      </c>
      <c r="H15" s="33">
        <f t="shared" si="0"/>
        <v>9.7166666666666668</v>
      </c>
      <c r="I15" s="92">
        <f t="shared" si="6"/>
        <v>8</v>
      </c>
      <c r="J15" s="92" t="str">
        <f t="shared" si="7"/>
        <v>-</v>
      </c>
      <c r="K15" s="128">
        <f>IF(D15="加班",(#REF!-G15)*24,0)</f>
        <v>0</v>
      </c>
      <c r="L15" s="128"/>
      <c r="M15" s="129">
        <f t="shared" si="9"/>
        <v>0</v>
      </c>
      <c r="N15" s="129">
        <f t="shared" si="10"/>
        <v>0</v>
      </c>
      <c r="O15" s="164"/>
    </row>
    <row r="16" spans="1:16">
      <c r="A16" s="312">
        <v>5267</v>
      </c>
      <c r="B16" s="312" t="s">
        <v>73</v>
      </c>
      <c r="C16" s="312" t="s">
        <v>73</v>
      </c>
      <c r="D16" s="317" t="s">
        <v>5</v>
      </c>
      <c r="E16" s="318">
        <v>42986.778564814813</v>
      </c>
      <c r="F16" s="104">
        <f t="shared" si="4"/>
        <v>42986.778564814813</v>
      </c>
      <c r="G16" s="125" t="str">
        <f t="shared" si="11"/>
        <v>18:41</v>
      </c>
      <c r="H16" s="33" t="str">
        <f t="shared" si="0"/>
        <v>-</v>
      </c>
      <c r="I16" s="92" t="str">
        <f t="shared" si="6"/>
        <v>-</v>
      </c>
      <c r="J16" s="92" t="str">
        <f t="shared" si="7"/>
        <v>-</v>
      </c>
      <c r="K16" s="128">
        <f>IF(D16="加班",(#REF!-G16)*24,0)</f>
        <v>0</v>
      </c>
      <c r="L16" s="128"/>
      <c r="M16" s="129">
        <f t="shared" si="9"/>
        <v>0</v>
      </c>
      <c r="N16" s="129">
        <f t="shared" si="10"/>
        <v>0</v>
      </c>
      <c r="O16" s="164"/>
    </row>
    <row r="17" spans="1:16">
      <c r="A17" s="313">
        <v>5262</v>
      </c>
      <c r="B17" s="313" t="s">
        <v>73</v>
      </c>
      <c r="C17" s="313" t="s">
        <v>73</v>
      </c>
      <c r="D17" s="319" t="s">
        <v>6</v>
      </c>
      <c r="E17" s="320">
        <v>42993.375393518516</v>
      </c>
      <c r="F17" s="104">
        <f t="shared" si="4"/>
        <v>42993.375393518516</v>
      </c>
      <c r="G17" s="125" t="str">
        <f t="shared" si="11"/>
        <v>9:0</v>
      </c>
      <c r="H17" s="33">
        <f t="shared" si="0"/>
        <v>9.5</v>
      </c>
      <c r="I17" s="92">
        <f t="shared" si="6"/>
        <v>8</v>
      </c>
      <c r="J17" s="92" t="str">
        <f t="shared" si="7"/>
        <v>-</v>
      </c>
      <c r="K17" s="128">
        <f>IF(D17="加班",(#REF!-G17)*24,0)</f>
        <v>0</v>
      </c>
      <c r="L17" s="128"/>
      <c r="M17" s="129">
        <f t="shared" si="9"/>
        <v>0</v>
      </c>
      <c r="N17" s="129">
        <f t="shared" si="10"/>
        <v>0</v>
      </c>
      <c r="O17" s="164"/>
    </row>
    <row r="18" spans="1:16">
      <c r="A18" s="313">
        <v>5267</v>
      </c>
      <c r="B18" s="313" t="s">
        <v>73</v>
      </c>
      <c r="C18" s="313" t="s">
        <v>73</v>
      </c>
      <c r="D18" s="319" t="s">
        <v>5</v>
      </c>
      <c r="E18" s="320">
        <v>42993.770925925928</v>
      </c>
      <c r="F18" s="104">
        <f t="shared" si="4"/>
        <v>42993.770925925928</v>
      </c>
      <c r="G18" s="125" t="str">
        <f t="shared" si="11"/>
        <v>18:30</v>
      </c>
      <c r="H18" s="33" t="str">
        <f t="shared" si="0"/>
        <v>-</v>
      </c>
      <c r="I18" s="92" t="str">
        <f t="shared" si="6"/>
        <v>-</v>
      </c>
      <c r="J18" s="92" t="str">
        <f t="shared" si="7"/>
        <v>-</v>
      </c>
      <c r="K18" s="128">
        <f>IF(D18="加班",(#REF!-G18)*24,0)</f>
        <v>0</v>
      </c>
      <c r="L18" s="128"/>
      <c r="M18" s="129">
        <f t="shared" si="9"/>
        <v>0</v>
      </c>
      <c r="N18" s="129">
        <f t="shared" si="10"/>
        <v>0</v>
      </c>
      <c r="O18" s="164"/>
    </row>
    <row r="19" spans="1:16">
      <c r="A19" s="313">
        <v>5262</v>
      </c>
      <c r="B19" s="313" t="s">
        <v>73</v>
      </c>
      <c r="C19" s="313" t="s">
        <v>73</v>
      </c>
      <c r="D19" s="319" t="s">
        <v>6</v>
      </c>
      <c r="E19" s="320">
        <v>43008.358032407406</v>
      </c>
      <c r="F19" s="104">
        <f t="shared" si="4"/>
        <v>43008.358032407406</v>
      </c>
      <c r="G19" s="125" t="str">
        <f t="shared" si="11"/>
        <v>8:35</v>
      </c>
      <c r="H19" s="33">
        <f t="shared" si="0"/>
        <v>8.9166666666666661</v>
      </c>
      <c r="I19" s="92">
        <f t="shared" si="6"/>
        <v>7.4166666666666661</v>
      </c>
      <c r="J19" s="92" t="str">
        <f t="shared" si="7"/>
        <v>-</v>
      </c>
      <c r="K19" s="128">
        <f>IF(D19="加班",(#REF!-G19)*24,0)</f>
        <v>0</v>
      </c>
      <c r="L19" s="128"/>
      <c r="M19" s="129">
        <f t="shared" si="9"/>
        <v>0</v>
      </c>
      <c r="N19" s="129">
        <f t="shared" si="10"/>
        <v>0</v>
      </c>
      <c r="O19" s="164"/>
    </row>
    <row r="20" spans="1:16">
      <c r="A20" s="313">
        <v>5267</v>
      </c>
      <c r="B20" s="313" t="s">
        <v>73</v>
      </c>
      <c r="C20" s="313" t="s">
        <v>73</v>
      </c>
      <c r="D20" s="319" t="s">
        <v>5</v>
      </c>
      <c r="E20" s="320">
        <v>43008.729259259257</v>
      </c>
      <c r="F20" s="104">
        <f t="shared" si="4"/>
        <v>43008.729259259257</v>
      </c>
      <c r="G20" s="125" t="str">
        <f t="shared" si="11"/>
        <v>17:30</v>
      </c>
      <c r="H20" s="33" t="str">
        <f t="shared" si="0"/>
        <v>-</v>
      </c>
      <c r="I20" s="92" t="str">
        <f t="shared" si="6"/>
        <v>-</v>
      </c>
      <c r="J20" s="92" t="str">
        <f t="shared" si="7"/>
        <v>-</v>
      </c>
      <c r="K20" s="128">
        <f>IF(D20="加班",(#REF!-G20)*24,0)</f>
        <v>0</v>
      </c>
      <c r="L20" s="128"/>
      <c r="M20" s="129">
        <f t="shared" si="9"/>
        <v>0</v>
      </c>
      <c r="N20" s="129">
        <f t="shared" si="10"/>
        <v>0</v>
      </c>
      <c r="O20" s="164"/>
    </row>
    <row r="22" spans="1:16" s="3" customFormat="1">
      <c r="A22"/>
      <c r="B22"/>
      <c r="D22" s="178"/>
      <c r="F22" s="16"/>
      <c r="G22" s="17"/>
      <c r="H22" s="51"/>
      <c r="I22" s="21"/>
      <c r="J22" s="21"/>
      <c r="K22" s="22"/>
      <c r="L22" s="22"/>
      <c r="M22" s="22"/>
      <c r="N22" s="22"/>
      <c r="O22" s="28"/>
      <c r="P22" s="9"/>
    </row>
    <row r="23" spans="1:16" s="3" customFormat="1">
      <c r="A23"/>
      <c r="B23"/>
      <c r="D23" s="178"/>
      <c r="F23" s="16"/>
      <c r="G23" s="17"/>
      <c r="H23" s="51"/>
      <c r="I23" s="21"/>
      <c r="J23" s="21"/>
      <c r="K23" s="22"/>
      <c r="L23" s="22"/>
      <c r="M23" s="22"/>
      <c r="N23" s="22"/>
      <c r="O23" s="28"/>
      <c r="P23" s="9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工作表30"/>
  <dimension ref="A1:P8"/>
  <sheetViews>
    <sheetView topLeftCell="D1" zoomScaleNormal="100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8.5" style="3" customWidth="1" collapsed="1"/>
    <col min="5" max="5" width="15.75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6.5" style="22" customWidth="1" collapsed="1"/>
    <col min="13" max="13" width="8.25" style="22" customWidth="1"/>
    <col min="14" max="14" width="8.125" style="22" customWidth="1"/>
    <col min="15" max="15" width="18.7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B6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SUM(I7:I22)</f>
        <v>0</v>
      </c>
      <c r="J6" s="78">
        <f>SUM(J7:J24)</f>
        <v>3</v>
      </c>
      <c r="K6" s="124">
        <f>SUM(K7:K22)</f>
        <v>0</v>
      </c>
      <c r="L6" s="124">
        <f>SUM(L7:L22)</f>
        <v>0</v>
      </c>
      <c r="M6" s="124">
        <f>SUM(M7:M22)</f>
        <v>0</v>
      </c>
      <c r="N6" s="124">
        <f>SUM(N7:N22)</f>
        <v>0</v>
      </c>
      <c r="O6" s="45"/>
    </row>
    <row r="7" spans="1:16" s="16" customFormat="1">
      <c r="A7" s="145">
        <v>1857</v>
      </c>
      <c r="B7" s="148" t="s">
        <v>57</v>
      </c>
      <c r="C7" s="151" t="s">
        <v>58</v>
      </c>
      <c r="D7" s="138" t="s">
        <v>6</v>
      </c>
      <c r="E7" s="146">
        <v>42879</v>
      </c>
      <c r="F7" s="31">
        <f t="shared" ref="F7:F8" si="0">E7</f>
        <v>42879</v>
      </c>
      <c r="G7" s="32" t="str">
        <f t="shared" ref="G7:G8" si="1">HOUR(E7)&amp;":"&amp;MINUTE(E7)</f>
        <v>0:0</v>
      </c>
      <c r="H7" s="33">
        <f t="shared" ref="H7" si="2">IF(D7="上班",(G8-G7)*24,"-")</f>
        <v>0</v>
      </c>
      <c r="I7" s="58">
        <v>0</v>
      </c>
      <c r="J7" s="58">
        <v>3</v>
      </c>
      <c r="K7" s="34">
        <f t="shared" ref="K7" si="3">IF(D7="加班",(G8-G7)*24,0)</f>
        <v>0</v>
      </c>
      <c r="L7" s="34"/>
      <c r="M7" s="35">
        <f t="shared" ref="M7:M8" si="4">IF(K7&gt;2,2,K7)</f>
        <v>0</v>
      </c>
      <c r="N7" s="35">
        <f t="shared" ref="N7:N8" si="5">IF(K7&gt;2,K7-2,0)</f>
        <v>0</v>
      </c>
      <c r="O7" s="36" t="s">
        <v>54</v>
      </c>
      <c r="P7" s="137"/>
    </row>
    <row r="8" spans="1:16" s="16" customFormat="1">
      <c r="A8" s="145">
        <v>1864</v>
      </c>
      <c r="B8" s="148" t="s">
        <v>57</v>
      </c>
      <c r="C8" s="151" t="s">
        <v>58</v>
      </c>
      <c r="D8" s="138" t="s">
        <v>5</v>
      </c>
      <c r="E8" s="146">
        <v>42879</v>
      </c>
      <c r="F8" s="31">
        <f t="shared" si="0"/>
        <v>42879</v>
      </c>
      <c r="G8" s="32" t="str">
        <f t="shared" si="1"/>
        <v>0:0</v>
      </c>
      <c r="H8" s="33" t="str">
        <f>IF(D8="上班",(#REF!-G8)*24,"-")</f>
        <v>-</v>
      </c>
      <c r="I8" s="58" t="str">
        <f>IF(D8="上班",IF(H8-1.5&gt;8,8,H8-1.5),"-")</f>
        <v>-</v>
      </c>
      <c r="J8" s="58"/>
      <c r="K8" s="34">
        <f>IF(D8="加班",(#REF!-G8)*24,0)</f>
        <v>0</v>
      </c>
      <c r="L8" s="34"/>
      <c r="M8" s="35">
        <f t="shared" si="4"/>
        <v>0</v>
      </c>
      <c r="N8" s="35">
        <f t="shared" si="5"/>
        <v>0</v>
      </c>
      <c r="O8" s="36"/>
      <c r="P8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工作表31"/>
  <dimension ref="A1:P9"/>
  <sheetViews>
    <sheetView topLeftCell="D1" workbookViewId="0">
      <selection sqref="A1:E467"/>
    </sheetView>
  </sheetViews>
  <sheetFormatPr defaultRowHeight="16.5" outlineLevelCol="1"/>
  <cols>
    <col min="1" max="1" width="4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6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5.75" style="22" customWidth="1"/>
    <col min="14" max="14" width="8.75" style="22" customWidth="1"/>
    <col min="15" max="15" width="19.12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tr">
        <f>B7</f>
        <v>TL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131"/>
      <c r="F2" s="132" t="s">
        <v>28</v>
      </c>
      <c r="G2" s="80"/>
      <c r="H2" s="80"/>
      <c r="I2" s="81" t="s">
        <v>24</v>
      </c>
      <c r="J2" s="81"/>
      <c r="K2" s="82"/>
      <c r="L2" s="83"/>
      <c r="M2" s="84"/>
      <c r="N2" s="84"/>
      <c r="O2" s="85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3.2166666666666659</v>
      </c>
      <c r="J3" s="54"/>
      <c r="K3" s="53"/>
      <c r="L3" s="53"/>
      <c r="M3" s="53"/>
      <c r="N3" s="53"/>
      <c r="O3" s="50"/>
    </row>
    <row r="4" spans="1:16">
      <c r="D4" s="37"/>
      <c r="E4" s="38"/>
      <c r="F4" s="96"/>
      <c r="G4" s="70"/>
      <c r="H4" s="70"/>
      <c r="I4" s="97" t="s">
        <v>33</v>
      </c>
      <c r="J4" s="97"/>
      <c r="K4" s="97"/>
      <c r="L4" s="97"/>
      <c r="M4" s="97"/>
      <c r="N4" s="97"/>
      <c r="O4" s="98"/>
    </row>
    <row r="5" spans="1:16">
      <c r="D5" s="40"/>
      <c r="E5" s="7"/>
      <c r="F5" s="99" t="s">
        <v>26</v>
      </c>
      <c r="G5" s="72"/>
      <c r="H5" s="72"/>
      <c r="I5" s="100" t="s">
        <v>23</v>
      </c>
      <c r="J5" s="100" t="s">
        <v>41</v>
      </c>
      <c r="K5" s="100"/>
      <c r="L5" s="100"/>
      <c r="M5" s="101"/>
      <c r="N5" s="101"/>
      <c r="O5" s="102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76"/>
      <c r="G6" s="77"/>
      <c r="H6" s="75" t="s">
        <v>22</v>
      </c>
      <c r="I6" s="78">
        <f>SUM(I7:I40)</f>
        <v>3.2166666666666659</v>
      </c>
      <c r="J6" s="78">
        <f>SUM(J7:J40)</f>
        <v>0</v>
      </c>
      <c r="K6" s="78"/>
      <c r="L6" s="78"/>
      <c r="M6" s="44"/>
      <c r="N6" s="44"/>
      <c r="O6" s="45"/>
    </row>
    <row r="7" spans="1:16" s="2" customFormat="1">
      <c r="A7" s="140">
        <v>1791</v>
      </c>
      <c r="B7" s="140" t="s">
        <v>56</v>
      </c>
      <c r="C7" t="s">
        <v>15</v>
      </c>
      <c r="D7" s="141" t="s">
        <v>6</v>
      </c>
      <c r="E7" s="142">
        <v>42748.428356481483</v>
      </c>
      <c r="F7" s="89">
        <f>E7</f>
        <v>42748.428356481483</v>
      </c>
      <c r="G7" s="90" t="str">
        <f>HOUR(E7)&amp;":"&amp;MINUTE(E7)</f>
        <v>10:16</v>
      </c>
      <c r="H7" s="91">
        <f t="shared" ref="H7" si="0">IF(D7="上班",(G8-G7)*24,"-")</f>
        <v>4.7166666666666659</v>
      </c>
      <c r="I7" s="91">
        <f t="shared" ref="I7" si="1">IF(D7="上班",IF(H7-1.5&gt;8,8,H7-1.5),"-")</f>
        <v>3.2166666666666659</v>
      </c>
      <c r="J7" s="91"/>
      <c r="K7" s="93"/>
      <c r="L7" s="93"/>
      <c r="M7" s="94"/>
      <c r="N7" s="94"/>
      <c r="O7" s="171"/>
      <c r="P7" s="8"/>
    </row>
    <row r="8" spans="1:16">
      <c r="A8" s="140">
        <v>1793</v>
      </c>
      <c r="B8" s="140" t="s">
        <v>15</v>
      </c>
      <c r="C8" t="s">
        <v>15</v>
      </c>
      <c r="D8" s="143" t="s">
        <v>5</v>
      </c>
      <c r="E8" s="144">
        <v>42748.62431712963</v>
      </c>
      <c r="F8" s="89">
        <f t="shared" ref="F8" si="2">E8</f>
        <v>42748.62431712963</v>
      </c>
      <c r="G8" s="90" t="str">
        <f t="shared" ref="G8" si="3">HOUR(E8)&amp;":"&amp;MINUTE(E8)</f>
        <v>14:59</v>
      </c>
      <c r="H8" s="91" t="str">
        <f>IF(D8="上班",(#REF!-G8)*24,"-")</f>
        <v>-</v>
      </c>
      <c r="I8" s="91" t="str">
        <f t="shared" ref="I8" si="4">IF(D8="上班",IF(H8-1.5&gt;8,8,H8-1.5),"-")</f>
        <v>-</v>
      </c>
      <c r="J8" s="91"/>
      <c r="K8" s="93"/>
      <c r="L8" s="93"/>
      <c r="M8" s="94"/>
      <c r="N8" s="94"/>
      <c r="O8" s="95"/>
    </row>
    <row r="9" spans="1:16">
      <c r="C9"/>
      <c r="D9"/>
      <c r="E9" s="1"/>
    </row>
  </sheetData>
  <phoneticPr fontId="18" type="noConversion"/>
  <printOptions horizontalCentered="1"/>
  <pageMargins left="0.19685039370078741" right="3.937007874015748E-2" top="0.74803149606299213" bottom="0.74803149606299213" header="0.31496062992125984" footer="0.31496062992125984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工作表32"/>
  <dimension ref="A1:P16"/>
  <sheetViews>
    <sheetView topLeftCell="D1" workbookViewId="0">
      <selection sqref="A1:E467"/>
    </sheetView>
  </sheetViews>
  <sheetFormatPr defaultRowHeight="16.5" outlineLevelCol="1"/>
  <cols>
    <col min="1" max="1" width="5.62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8" style="3" customWidth="1"/>
    <col min="6" max="6" width="5.7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9" style="21" customWidth="1"/>
    <col min="11" max="11" width="8.375" style="22" hidden="1" customWidth="1" outlineLevel="1"/>
    <col min="12" max="12" width="6.25" style="22" customWidth="1" collapsed="1"/>
    <col min="13" max="13" width="6.75" style="22" customWidth="1"/>
    <col min="14" max="14" width="8.75" style="22" customWidth="1"/>
    <col min="15" max="15" width="14.5" style="28" customWidth="1"/>
    <col min="16" max="16" width="9" style="9"/>
  </cols>
  <sheetData>
    <row r="1" spans="1:16" s="4" customFormat="1" ht="28.5" thickBot="1">
      <c r="C1" s="5"/>
      <c r="D1" s="6"/>
      <c r="E1" s="6"/>
      <c r="F1" s="10"/>
      <c r="G1" s="11"/>
      <c r="H1" s="12"/>
      <c r="I1" s="13" t="s">
        <v>52</v>
      </c>
      <c r="J1" s="46" t="s">
        <v>29</v>
      </c>
      <c r="K1" s="14"/>
      <c r="L1" s="14"/>
      <c r="M1" s="14"/>
      <c r="N1" s="14"/>
      <c r="O1" s="27"/>
      <c r="P1" s="19"/>
    </row>
    <row r="2" spans="1:16">
      <c r="D2" s="23"/>
      <c r="E2" s="29"/>
      <c r="F2" s="105" t="s">
        <v>28</v>
      </c>
      <c r="G2" s="106"/>
      <c r="H2" s="106"/>
      <c r="I2" s="107" t="s">
        <v>24</v>
      </c>
      <c r="J2" s="107"/>
      <c r="K2" s="108"/>
      <c r="L2" s="109"/>
      <c r="M2" s="110"/>
      <c r="N2" s="110"/>
      <c r="O2" s="111" t="s">
        <v>27</v>
      </c>
    </row>
    <row r="3" spans="1:16" ht="17.25" thickBot="1">
      <c r="D3" s="24"/>
      <c r="E3" s="30"/>
      <c r="F3" s="25"/>
      <c r="G3" s="26"/>
      <c r="H3" s="26"/>
      <c r="I3" s="52">
        <f>I6+J6</f>
        <v>15.166666666666666</v>
      </c>
      <c r="J3" s="54"/>
      <c r="K3" s="53"/>
      <c r="L3" s="53"/>
      <c r="M3" s="53"/>
      <c r="N3" s="53"/>
      <c r="O3" s="50"/>
    </row>
    <row r="4" spans="1:16">
      <c r="D4" s="37"/>
      <c r="E4" s="38"/>
      <c r="F4" s="112"/>
      <c r="G4" s="113"/>
      <c r="H4" s="113"/>
      <c r="I4" s="114" t="s">
        <v>33</v>
      </c>
      <c r="J4" s="114"/>
      <c r="K4" s="114"/>
      <c r="L4" s="114"/>
      <c r="M4" s="114"/>
      <c r="N4" s="114"/>
      <c r="O4" s="115"/>
    </row>
    <row r="5" spans="1:16">
      <c r="D5" s="40"/>
      <c r="E5" s="7"/>
      <c r="F5" s="116" t="s">
        <v>26</v>
      </c>
      <c r="G5" s="117"/>
      <c r="H5" s="117"/>
      <c r="I5" s="118" t="s">
        <v>23</v>
      </c>
      <c r="J5" s="100" t="s">
        <v>41</v>
      </c>
      <c r="K5" s="118"/>
      <c r="L5" s="118"/>
      <c r="M5" s="119"/>
      <c r="N5" s="119"/>
      <c r="O5" s="120"/>
    </row>
    <row r="6" spans="1:16" ht="17.25" thickBot="1">
      <c r="A6" t="s">
        <v>0</v>
      </c>
      <c r="B6" t="s">
        <v>1</v>
      </c>
      <c r="C6" s="3" t="s">
        <v>2</v>
      </c>
      <c r="D6" s="42" t="s">
        <v>3</v>
      </c>
      <c r="E6" s="43" t="s">
        <v>4</v>
      </c>
      <c r="F6" s="121"/>
      <c r="G6" s="122"/>
      <c r="H6" s="123" t="s">
        <v>22</v>
      </c>
      <c r="I6" s="124">
        <f>SUM(I7:I41)</f>
        <v>3.1666666666666661</v>
      </c>
      <c r="J6" s="78">
        <f>SUM(J7:J55)</f>
        <v>12</v>
      </c>
      <c r="K6" s="124">
        <f>SUM(K13:K41)</f>
        <v>0</v>
      </c>
      <c r="L6" s="124">
        <f>SUM(L13:L41)</f>
        <v>0</v>
      </c>
      <c r="M6" s="124">
        <f>SUM(M13:M41)</f>
        <v>0</v>
      </c>
      <c r="N6" s="124">
        <f>SUM(N13:N41)</f>
        <v>0</v>
      </c>
      <c r="O6" s="45"/>
    </row>
    <row r="7" spans="1:16" s="2" customFormat="1">
      <c r="A7" s="140">
        <v>1809</v>
      </c>
      <c r="B7" s="140" t="s">
        <v>37</v>
      </c>
      <c r="C7" s="140" t="s">
        <v>37</v>
      </c>
      <c r="D7" s="141" t="s">
        <v>6</v>
      </c>
      <c r="E7" s="142">
        <v>42706.412881944445</v>
      </c>
      <c r="F7" s="104">
        <f t="shared" ref="F7" si="0">E7</f>
        <v>42706.412881944445</v>
      </c>
      <c r="G7" s="125" t="str">
        <f>HOUR(E7)&amp;":"&amp;MINUTE(E7)</f>
        <v>9:54</v>
      </c>
      <c r="H7" s="126">
        <f t="shared" ref="H7" si="1">IF(D7="上班",(G8-G7)*24,"-")</f>
        <v>0.2333333333333325</v>
      </c>
      <c r="I7" s="92">
        <f>IF(D7="上班",IF(H7-1.5&gt;8,8,H7-1.5),"-")+1.5</f>
        <v>0.2333333333333325</v>
      </c>
      <c r="J7" s="92"/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36"/>
      <c r="P7" s="8"/>
    </row>
    <row r="8" spans="1:16">
      <c r="A8" s="140">
        <v>1810</v>
      </c>
      <c r="B8" s="140" t="s">
        <v>37</v>
      </c>
      <c r="C8" s="140" t="s">
        <v>37</v>
      </c>
      <c r="D8" s="143" t="s">
        <v>5</v>
      </c>
      <c r="E8" s="144">
        <v>42706.422777777778</v>
      </c>
      <c r="F8" s="104">
        <f t="shared" ref="F8:F12" si="5">E8</f>
        <v>42706.422777777778</v>
      </c>
      <c r="G8" s="125" t="str">
        <f t="shared" ref="G8:G12" si="6">HOUR(E8)&amp;":"&amp;MINUTE(E8)</f>
        <v>10:8</v>
      </c>
      <c r="H8" s="126" t="str">
        <f>IF(D8="上班",(G11-G8)*24,"-")</f>
        <v>-</v>
      </c>
      <c r="I8" s="92" t="str">
        <f>IF(D8="上班",IF(H8-1.5&gt;8,8,H8-1.5),"-")</f>
        <v>-</v>
      </c>
      <c r="J8" s="92"/>
      <c r="K8" s="93">
        <f>IF(D8="加班",(G11-G8)*24,0)</f>
        <v>0</v>
      </c>
      <c r="L8" s="93"/>
      <c r="M8" s="94">
        <f t="shared" ref="M8:M12" si="7">IF(K8&gt;2,2,K8)</f>
        <v>0</v>
      </c>
      <c r="N8" s="94">
        <f t="shared" ref="N8:N12" si="8">IF(K8&gt;2,K8-2,0)</f>
        <v>0</v>
      </c>
      <c r="O8" s="36"/>
    </row>
    <row r="9" spans="1:16" s="16" customFormat="1">
      <c r="A9" s="145">
        <v>1857</v>
      </c>
      <c r="B9" s="140" t="s">
        <v>37</v>
      </c>
      <c r="C9" s="140" t="s">
        <v>37</v>
      </c>
      <c r="D9" s="138" t="s">
        <v>6</v>
      </c>
      <c r="E9" s="146">
        <v>42709</v>
      </c>
      <c r="F9" s="31">
        <f t="shared" si="5"/>
        <v>42709</v>
      </c>
      <c r="G9" s="32" t="str">
        <f t="shared" si="6"/>
        <v>0:0</v>
      </c>
      <c r="H9" s="33">
        <f t="shared" ref="H9:H10" si="9">IF(D9="上班",(G10-G9)*24,"-")</f>
        <v>0</v>
      </c>
      <c r="I9" s="58">
        <v>0</v>
      </c>
      <c r="J9" s="58">
        <v>2</v>
      </c>
      <c r="K9" s="34">
        <f t="shared" ref="K9:K10" si="10">IF(D9="加班",(G10-G9)*24,0)</f>
        <v>0</v>
      </c>
      <c r="L9" s="34"/>
      <c r="M9" s="35">
        <f t="shared" si="7"/>
        <v>0</v>
      </c>
      <c r="N9" s="35">
        <f t="shared" si="8"/>
        <v>0</v>
      </c>
      <c r="O9" s="36" t="s">
        <v>54</v>
      </c>
      <c r="P9" s="137"/>
    </row>
    <row r="10" spans="1:16" s="16" customFormat="1">
      <c r="A10" s="145">
        <v>1864</v>
      </c>
      <c r="B10" s="140" t="s">
        <v>37</v>
      </c>
      <c r="C10" s="140" t="s">
        <v>37</v>
      </c>
      <c r="D10" s="138" t="s">
        <v>5</v>
      </c>
      <c r="E10" s="146">
        <v>42709</v>
      </c>
      <c r="F10" s="31">
        <f t="shared" si="5"/>
        <v>42709</v>
      </c>
      <c r="G10" s="32" t="str">
        <f t="shared" si="6"/>
        <v>0:0</v>
      </c>
      <c r="H10" s="33" t="str">
        <f t="shared" si="9"/>
        <v>-</v>
      </c>
      <c r="I10" s="58" t="str">
        <f>IF(D10="上班",IF(H10-1.5&gt;8,8,H10-1.5),"-")</f>
        <v>-</v>
      </c>
      <c r="J10" s="58"/>
      <c r="K10" s="34">
        <f t="shared" si="10"/>
        <v>0</v>
      </c>
      <c r="L10" s="34"/>
      <c r="M10" s="35">
        <f t="shared" si="7"/>
        <v>0</v>
      </c>
      <c r="N10" s="35">
        <f t="shared" si="8"/>
        <v>0</v>
      </c>
      <c r="O10" s="36"/>
      <c r="P10" s="137"/>
    </row>
    <row r="11" spans="1:16" s="16" customFormat="1">
      <c r="A11" s="140">
        <v>1894</v>
      </c>
      <c r="B11" s="140" t="s">
        <v>37</v>
      </c>
      <c r="C11" s="140" t="s">
        <v>37</v>
      </c>
      <c r="D11" s="141" t="s">
        <v>6</v>
      </c>
      <c r="E11" s="142">
        <v>42716.384826388887</v>
      </c>
      <c r="F11" s="104">
        <f t="shared" si="5"/>
        <v>42716.384826388887</v>
      </c>
      <c r="G11" s="125" t="str">
        <f t="shared" si="6"/>
        <v>9:14</v>
      </c>
      <c r="H11" s="126">
        <f t="shared" ref="H11:H14" si="11">IF(D11="上班",(G12-G11)*24,"-")</f>
        <v>2.9333333333333336</v>
      </c>
      <c r="I11" s="92">
        <f t="shared" ref="I11" si="12">IF(D11="上班",IF(H11-1.5&gt;8,8,H11-1.5),"-")+1.5</f>
        <v>2.9333333333333336</v>
      </c>
      <c r="J11" s="92"/>
      <c r="K11" s="93">
        <f t="shared" ref="K11:K14" si="13">IF(D11="加班",(G12-G11)*24,0)</f>
        <v>0</v>
      </c>
      <c r="L11" s="93"/>
      <c r="M11" s="94">
        <f t="shared" si="7"/>
        <v>0</v>
      </c>
      <c r="N11" s="94">
        <f t="shared" si="8"/>
        <v>0</v>
      </c>
      <c r="O11" s="36"/>
      <c r="P11" s="137"/>
    </row>
    <row r="12" spans="1:16" s="16" customFormat="1">
      <c r="A12" s="140">
        <v>1895</v>
      </c>
      <c r="B12" s="140" t="s">
        <v>37</v>
      </c>
      <c r="C12" s="140" t="s">
        <v>37</v>
      </c>
      <c r="D12" s="143" t="s">
        <v>5</v>
      </c>
      <c r="E12" s="144">
        <v>42716.507060185184</v>
      </c>
      <c r="F12" s="104">
        <f t="shared" si="5"/>
        <v>42716.507060185184</v>
      </c>
      <c r="G12" s="125" t="str">
        <f t="shared" si="6"/>
        <v>12:10</v>
      </c>
      <c r="H12" s="126" t="str">
        <f t="shared" si="11"/>
        <v>-</v>
      </c>
      <c r="I12" s="92" t="str">
        <f>IF(D12="上班",IF(H12-1.5&gt;8,8,H12-1.5),"-")</f>
        <v>-</v>
      </c>
      <c r="J12" s="92"/>
      <c r="K12" s="93">
        <f t="shared" si="13"/>
        <v>0</v>
      </c>
      <c r="L12" s="93"/>
      <c r="M12" s="94">
        <f t="shared" si="7"/>
        <v>0</v>
      </c>
      <c r="N12" s="94">
        <f t="shared" si="8"/>
        <v>0</v>
      </c>
      <c r="O12" s="36"/>
      <c r="P12" s="137"/>
    </row>
    <row r="13" spans="1:16" s="16" customFormat="1">
      <c r="A13" s="145">
        <v>1857</v>
      </c>
      <c r="B13" s="140" t="s">
        <v>37</v>
      </c>
      <c r="C13" s="140" t="s">
        <v>37</v>
      </c>
      <c r="D13" s="138" t="s">
        <v>6</v>
      </c>
      <c r="E13" s="146">
        <v>42723</v>
      </c>
      <c r="F13" s="31">
        <f t="shared" ref="F13:F14" si="14">E13</f>
        <v>42723</v>
      </c>
      <c r="G13" s="32" t="str">
        <f t="shared" ref="G13:G14" si="15">HOUR(E13)&amp;":"&amp;MINUTE(E13)</f>
        <v>0:0</v>
      </c>
      <c r="H13" s="33">
        <f t="shared" si="11"/>
        <v>0</v>
      </c>
      <c r="I13" s="58">
        <v>0</v>
      </c>
      <c r="J13" s="58">
        <v>7</v>
      </c>
      <c r="K13" s="34">
        <f t="shared" si="13"/>
        <v>0</v>
      </c>
      <c r="L13" s="34"/>
      <c r="M13" s="35">
        <f t="shared" ref="M13:M14" si="16">IF(K13&gt;2,2,K13)</f>
        <v>0</v>
      </c>
      <c r="N13" s="35">
        <f t="shared" ref="N13:N14" si="17">IF(K13&gt;2,K13-2,0)</f>
        <v>0</v>
      </c>
      <c r="O13" s="36" t="s">
        <v>54</v>
      </c>
      <c r="P13" s="137"/>
    </row>
    <row r="14" spans="1:16" s="16" customFormat="1">
      <c r="A14" s="145">
        <v>1864</v>
      </c>
      <c r="B14" s="140" t="s">
        <v>37</v>
      </c>
      <c r="C14" s="140" t="s">
        <v>37</v>
      </c>
      <c r="D14" s="138" t="s">
        <v>5</v>
      </c>
      <c r="E14" s="146">
        <v>42723</v>
      </c>
      <c r="F14" s="31">
        <f t="shared" si="14"/>
        <v>42723</v>
      </c>
      <c r="G14" s="32" t="str">
        <f t="shared" si="15"/>
        <v>0:0</v>
      </c>
      <c r="H14" s="33" t="str">
        <f t="shared" si="11"/>
        <v>-</v>
      </c>
      <c r="I14" s="58" t="str">
        <f>IF(D14="上班",IF(H14-1.5&gt;8,8,H14-1.5),"-")</f>
        <v>-</v>
      </c>
      <c r="J14" s="58"/>
      <c r="K14" s="34">
        <f t="shared" si="13"/>
        <v>0</v>
      </c>
      <c r="L14" s="34"/>
      <c r="M14" s="35">
        <f t="shared" si="16"/>
        <v>0</v>
      </c>
      <c r="N14" s="35">
        <f t="shared" si="17"/>
        <v>0</v>
      </c>
      <c r="O14" s="36"/>
      <c r="P14" s="137"/>
    </row>
    <row r="15" spans="1:16" s="16" customFormat="1">
      <c r="A15" s="145">
        <v>1857</v>
      </c>
      <c r="B15" s="140" t="s">
        <v>37</v>
      </c>
      <c r="C15" s="140" t="s">
        <v>37</v>
      </c>
      <c r="D15" s="138" t="s">
        <v>6</v>
      </c>
      <c r="E15" s="146">
        <v>42725</v>
      </c>
      <c r="F15" s="31">
        <f t="shared" ref="F15:F16" si="18">E15</f>
        <v>42725</v>
      </c>
      <c r="G15" s="32" t="str">
        <f t="shared" ref="G15:G16" si="19">HOUR(E15)&amp;":"&amp;MINUTE(E15)</f>
        <v>0:0</v>
      </c>
      <c r="H15" s="33">
        <f t="shared" ref="H15:H16" si="20">IF(D15="上班",(G16-G15)*24,"-")</f>
        <v>0</v>
      </c>
      <c r="I15" s="58">
        <v>0</v>
      </c>
      <c r="J15" s="58">
        <v>3</v>
      </c>
      <c r="K15" s="34">
        <f t="shared" ref="K15:K16" si="21">IF(D15="加班",(G16-G15)*24,0)</f>
        <v>0</v>
      </c>
      <c r="L15" s="34"/>
      <c r="M15" s="35">
        <f t="shared" ref="M15:M16" si="22">IF(K15&gt;2,2,K15)</f>
        <v>0</v>
      </c>
      <c r="N15" s="35">
        <f t="shared" ref="N15:N16" si="23">IF(K15&gt;2,K15-2,0)</f>
        <v>0</v>
      </c>
      <c r="O15" s="36" t="s">
        <v>54</v>
      </c>
      <c r="P15" s="137"/>
    </row>
    <row r="16" spans="1:16" s="16" customFormat="1">
      <c r="A16" s="145">
        <v>1864</v>
      </c>
      <c r="B16" s="140" t="s">
        <v>37</v>
      </c>
      <c r="C16" s="140" t="s">
        <v>37</v>
      </c>
      <c r="D16" s="138" t="s">
        <v>5</v>
      </c>
      <c r="E16" s="146">
        <v>42725</v>
      </c>
      <c r="F16" s="31">
        <f t="shared" si="18"/>
        <v>42725</v>
      </c>
      <c r="G16" s="32" t="str">
        <f t="shared" si="19"/>
        <v>0:0</v>
      </c>
      <c r="H16" s="33" t="str">
        <f t="shared" si="20"/>
        <v>-</v>
      </c>
      <c r="I16" s="58" t="str">
        <f>IF(D16="上班",IF(H16-1.5&gt;8,8,H16-1.5),"-")</f>
        <v>-</v>
      </c>
      <c r="J16" s="58"/>
      <c r="K16" s="34">
        <f t="shared" si="21"/>
        <v>0</v>
      </c>
      <c r="L16" s="34"/>
      <c r="M16" s="35">
        <f t="shared" si="22"/>
        <v>0</v>
      </c>
      <c r="N16" s="35">
        <f t="shared" si="23"/>
        <v>0</v>
      </c>
      <c r="O16" s="36"/>
      <c r="P16" s="137"/>
    </row>
  </sheetData>
  <phoneticPr fontId="18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工作表33"/>
  <dimension ref="A1:U81"/>
  <sheetViews>
    <sheetView view="pageBreakPreview" topLeftCell="D49" zoomScaleNormal="100" zoomScaleSheetLayoutView="100" workbookViewId="0">
      <selection activeCell="L10" sqref="L10"/>
    </sheetView>
  </sheetViews>
  <sheetFormatPr defaultRowHeight="16.5" outlineLevelCol="1"/>
  <cols>
    <col min="1" max="1" width="6.75" hidden="1" customWidth="1" outlineLevel="1"/>
    <col min="2" max="2" width="6.875" hidden="1" customWidth="1" outlineLevel="1"/>
    <col min="3" max="3" width="6.5" style="3" hidden="1" customWidth="1" outlineLevel="1"/>
    <col min="4" max="4" width="9" style="3" collapsed="1"/>
    <col min="5" max="5" width="15.1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9.62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B38</f>
        <v>sam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74</v>
      </c>
      <c r="E2" s="184">
        <f>24-8</f>
        <v>16</v>
      </c>
      <c r="F2" s="79" t="s">
        <v>75</v>
      </c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 t="s">
        <v>76</v>
      </c>
      <c r="E3" s="185">
        <v>1000</v>
      </c>
      <c r="F3" s="25"/>
      <c r="G3" s="26"/>
      <c r="H3" s="26"/>
      <c r="I3" s="88"/>
      <c r="J3" s="54">
        <f>D5+E5</f>
        <v>0</v>
      </c>
      <c r="K3" s="53">
        <f>SUM(K15:K52)</f>
        <v>17.716666666666665</v>
      </c>
      <c r="L3" s="53">
        <f>J3</f>
        <v>0</v>
      </c>
      <c r="M3" s="53">
        <f>M6-J3</f>
        <v>18.149999999999999</v>
      </c>
      <c r="N3" s="53">
        <f>N6</f>
        <v>5.15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168</v>
      </c>
    </row>
    <row r="5" spans="1:21">
      <c r="D5" s="87">
        <v>0</v>
      </c>
      <c r="E5" s="86">
        <v>0</v>
      </c>
      <c r="F5" s="86">
        <v>8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0.14562499999999998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SUM(I7:I76)</f>
        <v>168</v>
      </c>
      <c r="J6" s="78">
        <f>SUM(J7:J62)</f>
        <v>0</v>
      </c>
      <c r="K6" s="78">
        <f>SUM(K7:K62)</f>
        <v>23.099999999999998</v>
      </c>
      <c r="L6" s="78">
        <f>SUM(L7:L62)</f>
        <v>0</v>
      </c>
      <c r="M6" s="78">
        <f>SUM(M7:M76)</f>
        <v>18.149999999999999</v>
      </c>
      <c r="N6" s="78">
        <f>SUM(N7:N74)</f>
        <v>5.15</v>
      </c>
      <c r="O6" s="45"/>
      <c r="Q6" s="47"/>
      <c r="U6" s="49"/>
    </row>
    <row r="7" spans="1:21" s="130" customFormat="1">
      <c r="A7" s="140">
        <v>4167</v>
      </c>
      <c r="B7" s="140" t="s">
        <v>48</v>
      </c>
      <c r="C7" s="140" t="s">
        <v>48</v>
      </c>
      <c r="D7" s="141" t="s">
        <v>6</v>
      </c>
      <c r="E7" s="142">
        <v>42919.357164351852</v>
      </c>
      <c r="F7" s="89">
        <f t="shared" ref="F7" si="0">E7</f>
        <v>42919.357164351852</v>
      </c>
      <c r="G7" s="90" t="str">
        <f>HOUR(E7)&amp;":"&amp;MINUTE(E7)</f>
        <v>8:34</v>
      </c>
      <c r="H7" s="91">
        <f>IF(D7="上班",(G8-G7)*24,"-")</f>
        <v>10</v>
      </c>
      <c r="I7" s="92">
        <f t="shared" ref="I7" si="1">IF(D7="上班",IF(H7-1.5&gt;8,8,H7-1.5),"-")</f>
        <v>8</v>
      </c>
      <c r="J7" s="92" t="str">
        <f>IF(I7&lt;8,8-I7,"-")</f>
        <v>-</v>
      </c>
      <c r="K7" s="93">
        <f t="shared" ref="K7" si="2">IF(D7="加班",(G8-G7)*24,0)</f>
        <v>0</v>
      </c>
      <c r="L7" s="93"/>
      <c r="M7" s="94">
        <f t="shared" ref="M7" si="3">IF(K7&gt;2,2,K7)</f>
        <v>0</v>
      </c>
      <c r="N7" s="94">
        <f t="shared" ref="N7" si="4">IF(K7&gt;2,K7-2,0)</f>
        <v>0</v>
      </c>
      <c r="O7" s="95"/>
      <c r="P7" s="149"/>
      <c r="Q7" s="149"/>
      <c r="R7" s="149"/>
      <c r="S7" s="149"/>
    </row>
    <row r="8" spans="1:21" s="16" customFormat="1">
      <c r="A8" s="140">
        <v>4181</v>
      </c>
      <c r="B8" s="140" t="s">
        <v>48</v>
      </c>
      <c r="C8" s="140" t="s">
        <v>48</v>
      </c>
      <c r="D8" s="143" t="s">
        <v>5</v>
      </c>
      <c r="E8" s="144">
        <v>42919.773877314816</v>
      </c>
      <c r="F8" s="89">
        <f t="shared" ref="F8:F70" si="5">E8</f>
        <v>42919.773877314816</v>
      </c>
      <c r="G8" s="90" t="str">
        <f t="shared" ref="G8:G70" si="6">HOUR(E8)&amp;":"&amp;MINUTE(E8)</f>
        <v>18:34</v>
      </c>
      <c r="H8" s="91" t="str">
        <f t="shared" ref="H8:H69" si="7">IF(D8="上班",(G9-G8)*24,"-")</f>
        <v>-</v>
      </c>
      <c r="I8" s="92" t="str">
        <f t="shared" ref="I8:I70" si="8">IF(D8="上班",IF(H8-1.5&gt;8,8,H8-1.5),"-")</f>
        <v>-</v>
      </c>
      <c r="J8" s="92" t="str">
        <f t="shared" ref="J8:J70" si="9">IF(I8&lt;8,8-I8,"-")</f>
        <v>-</v>
      </c>
      <c r="K8" s="93">
        <f t="shared" ref="K8:K69" si="10">IF(D8="加班",(G9-G8)*24,0)</f>
        <v>0</v>
      </c>
      <c r="L8" s="93"/>
      <c r="M8" s="94">
        <f t="shared" ref="M8:M70" si="11">IF(K8&gt;2,2,K8)</f>
        <v>0</v>
      </c>
      <c r="N8" s="94">
        <f t="shared" ref="N8:N70" si="12">IF(K8&gt;2,K8-2,0)</f>
        <v>0</v>
      </c>
      <c r="O8" s="95"/>
      <c r="P8" s="137"/>
      <c r="Q8" s="137"/>
      <c r="R8" s="137"/>
      <c r="S8" s="137"/>
    </row>
    <row r="9" spans="1:21" s="16" customFormat="1">
      <c r="A9" s="140">
        <v>4182</v>
      </c>
      <c r="B9" s="140" t="s">
        <v>48</v>
      </c>
      <c r="C9" s="140" t="s">
        <v>48</v>
      </c>
      <c r="D9" s="141" t="s">
        <v>7</v>
      </c>
      <c r="E9" s="142">
        <v>42919.773900462962</v>
      </c>
      <c r="F9" s="89">
        <f t="shared" si="5"/>
        <v>42919.773900462962</v>
      </c>
      <c r="G9" s="90" t="str">
        <f t="shared" si="6"/>
        <v>18:34</v>
      </c>
      <c r="H9" s="91" t="str">
        <f t="shared" si="7"/>
        <v>-</v>
      </c>
      <c r="I9" s="92" t="str">
        <f t="shared" si="8"/>
        <v>-</v>
      </c>
      <c r="J9" s="92" t="str">
        <f t="shared" si="9"/>
        <v>-</v>
      </c>
      <c r="K9" s="93">
        <f t="shared" si="10"/>
        <v>0.83333333333333037</v>
      </c>
      <c r="L9" s="93"/>
      <c r="M9" s="94">
        <f t="shared" si="11"/>
        <v>0.83333333333333037</v>
      </c>
      <c r="N9" s="94">
        <f t="shared" si="12"/>
        <v>0</v>
      </c>
      <c r="O9" s="95"/>
      <c r="P9" s="137"/>
      <c r="Q9" s="137"/>
      <c r="R9" s="137"/>
      <c r="S9" s="137"/>
    </row>
    <row r="10" spans="1:21" s="16" customFormat="1">
      <c r="A10" s="140">
        <v>4185</v>
      </c>
      <c r="B10" s="140" t="s">
        <v>48</v>
      </c>
      <c r="C10" s="140" t="s">
        <v>48</v>
      </c>
      <c r="D10" s="143" t="s">
        <v>8</v>
      </c>
      <c r="E10" s="144">
        <v>42919.808703703704</v>
      </c>
      <c r="F10" s="89">
        <f t="shared" si="5"/>
        <v>42919.808703703704</v>
      </c>
      <c r="G10" s="90" t="str">
        <f t="shared" si="6"/>
        <v>19:24</v>
      </c>
      <c r="H10" s="91" t="str">
        <f t="shared" si="7"/>
        <v>-</v>
      </c>
      <c r="I10" s="92" t="str">
        <f t="shared" si="8"/>
        <v>-</v>
      </c>
      <c r="J10" s="92" t="str">
        <f t="shared" si="9"/>
        <v>-</v>
      </c>
      <c r="K10" s="93">
        <f t="shared" si="10"/>
        <v>0</v>
      </c>
      <c r="L10" s="93"/>
      <c r="M10" s="94">
        <f t="shared" si="11"/>
        <v>0</v>
      </c>
      <c r="N10" s="94">
        <f t="shared" si="12"/>
        <v>0</v>
      </c>
      <c r="O10" s="95"/>
      <c r="P10" s="137"/>
      <c r="Q10" s="137"/>
      <c r="R10" s="137"/>
      <c r="S10" s="137"/>
    </row>
    <row r="11" spans="1:21" s="16" customFormat="1">
      <c r="A11" s="140">
        <v>4190</v>
      </c>
      <c r="B11" s="140" t="s">
        <v>48</v>
      </c>
      <c r="C11" s="140" t="s">
        <v>48</v>
      </c>
      <c r="D11" s="141" t="s">
        <v>6</v>
      </c>
      <c r="E11" s="142">
        <v>42920.355694444443</v>
      </c>
      <c r="F11" s="89">
        <f t="shared" si="5"/>
        <v>42920.355694444443</v>
      </c>
      <c r="G11" s="90" t="str">
        <f t="shared" si="6"/>
        <v>8:32</v>
      </c>
      <c r="H11" s="91">
        <f t="shared" si="7"/>
        <v>9.7333333333333325</v>
      </c>
      <c r="I11" s="92">
        <f t="shared" si="8"/>
        <v>8</v>
      </c>
      <c r="J11" s="92" t="str">
        <f t="shared" si="9"/>
        <v>-</v>
      </c>
      <c r="K11" s="93">
        <f t="shared" si="10"/>
        <v>0</v>
      </c>
      <c r="L11" s="93"/>
      <c r="M11" s="94">
        <f t="shared" si="11"/>
        <v>0</v>
      </c>
      <c r="N11" s="94">
        <f t="shared" si="12"/>
        <v>0</v>
      </c>
      <c r="O11" s="95"/>
      <c r="P11" s="137"/>
      <c r="Q11" s="137"/>
      <c r="R11" s="137"/>
      <c r="S11" s="137"/>
    </row>
    <row r="12" spans="1:21" s="16" customFormat="1">
      <c r="A12" s="140">
        <v>4197</v>
      </c>
      <c r="B12" s="140" t="s">
        <v>48</v>
      </c>
      <c r="C12" s="140" t="s">
        <v>48</v>
      </c>
      <c r="D12" s="143" t="s">
        <v>5</v>
      </c>
      <c r="E12" s="144">
        <v>42920.761238425926</v>
      </c>
      <c r="F12" s="89">
        <f t="shared" si="5"/>
        <v>42920.761238425926</v>
      </c>
      <c r="G12" s="90" t="str">
        <f t="shared" si="6"/>
        <v>18:16</v>
      </c>
      <c r="H12" s="91" t="str">
        <f t="shared" si="7"/>
        <v>-</v>
      </c>
      <c r="I12" s="92" t="str">
        <f t="shared" si="8"/>
        <v>-</v>
      </c>
      <c r="J12" s="92" t="str">
        <f t="shared" si="9"/>
        <v>-</v>
      </c>
      <c r="K12" s="93">
        <f t="shared" si="10"/>
        <v>0</v>
      </c>
      <c r="L12" s="93"/>
      <c r="M12" s="94">
        <f t="shared" si="11"/>
        <v>0</v>
      </c>
      <c r="N12" s="94">
        <f t="shared" si="12"/>
        <v>0</v>
      </c>
      <c r="O12" s="95"/>
      <c r="P12" s="137"/>
      <c r="Q12" s="137"/>
      <c r="R12" s="137"/>
      <c r="S12" s="137"/>
    </row>
    <row r="13" spans="1:21" s="16" customFormat="1">
      <c r="A13" s="140">
        <v>4203</v>
      </c>
      <c r="B13" s="140" t="s">
        <v>48</v>
      </c>
      <c r="C13" s="140" t="s">
        <v>48</v>
      </c>
      <c r="D13" s="141" t="s">
        <v>7</v>
      </c>
      <c r="E13" s="142">
        <v>42920.784594907411</v>
      </c>
      <c r="F13" s="89">
        <f t="shared" si="5"/>
        <v>42920.784594907411</v>
      </c>
      <c r="G13" s="90" t="str">
        <f t="shared" si="6"/>
        <v>18:49</v>
      </c>
      <c r="H13" s="91" t="str">
        <f t="shared" si="7"/>
        <v>-</v>
      </c>
      <c r="I13" s="92" t="str">
        <f t="shared" si="8"/>
        <v>-</v>
      </c>
      <c r="J13" s="92" t="str">
        <f t="shared" si="9"/>
        <v>-</v>
      </c>
      <c r="K13" s="93">
        <f t="shared" si="10"/>
        <v>1.6666666666666687</v>
      </c>
      <c r="L13" s="93"/>
      <c r="M13" s="94">
        <f t="shared" si="11"/>
        <v>1.6666666666666687</v>
      </c>
      <c r="N13" s="94">
        <f t="shared" si="12"/>
        <v>0</v>
      </c>
      <c r="O13" s="95"/>
      <c r="P13" s="137"/>
      <c r="Q13" s="137"/>
      <c r="R13" s="137"/>
      <c r="S13" s="137"/>
    </row>
    <row r="14" spans="1:21" s="16" customFormat="1">
      <c r="A14" s="140">
        <v>4209</v>
      </c>
      <c r="B14" s="140" t="s">
        <v>48</v>
      </c>
      <c r="C14" s="140" t="s">
        <v>48</v>
      </c>
      <c r="D14" s="143" t="s">
        <v>8</v>
      </c>
      <c r="E14" s="144">
        <v>42920.853530092594</v>
      </c>
      <c r="F14" s="89">
        <f t="shared" si="5"/>
        <v>42920.853530092594</v>
      </c>
      <c r="G14" s="90" t="str">
        <f t="shared" si="6"/>
        <v>20:29</v>
      </c>
      <c r="H14" s="91" t="str">
        <f t="shared" si="7"/>
        <v>-</v>
      </c>
      <c r="I14" s="92" t="str">
        <f t="shared" si="8"/>
        <v>-</v>
      </c>
      <c r="J14" s="92" t="str">
        <f t="shared" si="9"/>
        <v>-</v>
      </c>
      <c r="K14" s="93">
        <f t="shared" si="10"/>
        <v>0</v>
      </c>
      <c r="L14" s="93"/>
      <c r="M14" s="94">
        <f t="shared" si="11"/>
        <v>0</v>
      </c>
      <c r="N14" s="94">
        <f t="shared" si="12"/>
        <v>0</v>
      </c>
      <c r="O14" s="95"/>
      <c r="P14" s="137"/>
      <c r="Q14" s="137"/>
      <c r="R14" s="137"/>
      <c r="S14" s="137"/>
    </row>
    <row r="15" spans="1:21" s="16" customFormat="1">
      <c r="A15" s="140">
        <v>4211</v>
      </c>
      <c r="B15" s="140" t="s">
        <v>48</v>
      </c>
      <c r="C15" s="140" t="s">
        <v>48</v>
      </c>
      <c r="D15" s="141" t="s">
        <v>6</v>
      </c>
      <c r="E15" s="142">
        <v>42921.354641203703</v>
      </c>
      <c r="F15" s="89">
        <f t="shared" si="5"/>
        <v>42921.354641203703</v>
      </c>
      <c r="G15" s="90" t="str">
        <f t="shared" si="6"/>
        <v>8:30</v>
      </c>
      <c r="H15" s="91">
        <f t="shared" si="7"/>
        <v>10.08333333333333</v>
      </c>
      <c r="I15" s="92">
        <f t="shared" si="8"/>
        <v>8</v>
      </c>
      <c r="J15" s="92" t="str">
        <f t="shared" si="9"/>
        <v>-</v>
      </c>
      <c r="K15" s="93">
        <f t="shared" si="10"/>
        <v>0</v>
      </c>
      <c r="L15" s="93"/>
      <c r="M15" s="94">
        <f t="shared" si="11"/>
        <v>0</v>
      </c>
      <c r="N15" s="94">
        <f t="shared" si="12"/>
        <v>0</v>
      </c>
      <c r="O15" s="95"/>
      <c r="P15" s="137"/>
      <c r="Q15" s="137"/>
      <c r="R15" s="137"/>
      <c r="S15" s="137"/>
    </row>
    <row r="16" spans="1:21" s="16" customFormat="1">
      <c r="A16" s="140">
        <v>4224</v>
      </c>
      <c r="B16" s="140" t="s">
        <v>48</v>
      </c>
      <c r="C16" s="140" t="s">
        <v>48</v>
      </c>
      <c r="D16" s="143" t="s">
        <v>5</v>
      </c>
      <c r="E16" s="144">
        <v>42921.774687500001</v>
      </c>
      <c r="F16" s="89">
        <f t="shared" si="5"/>
        <v>42921.774687500001</v>
      </c>
      <c r="G16" s="90" t="str">
        <f t="shared" si="6"/>
        <v>18:35</v>
      </c>
      <c r="H16" s="91" t="str">
        <f t="shared" si="7"/>
        <v>-</v>
      </c>
      <c r="I16" s="92" t="str">
        <f t="shared" si="8"/>
        <v>-</v>
      </c>
      <c r="J16" s="92" t="str">
        <f t="shared" si="9"/>
        <v>-</v>
      </c>
      <c r="K16" s="93">
        <f t="shared" si="10"/>
        <v>0</v>
      </c>
      <c r="L16" s="93"/>
      <c r="M16" s="94">
        <f t="shared" si="11"/>
        <v>0</v>
      </c>
      <c r="N16" s="94">
        <f t="shared" si="12"/>
        <v>0</v>
      </c>
      <c r="O16" s="95"/>
      <c r="P16" s="137"/>
      <c r="Q16" s="137"/>
      <c r="R16" s="137"/>
      <c r="S16" s="137"/>
    </row>
    <row r="17" spans="1:19" s="16" customFormat="1">
      <c r="A17" s="140">
        <v>4225</v>
      </c>
      <c r="B17" s="140" t="s">
        <v>48</v>
      </c>
      <c r="C17" s="140" t="s">
        <v>48</v>
      </c>
      <c r="D17" s="141" t="s">
        <v>7</v>
      </c>
      <c r="E17" s="142">
        <v>42921.774722222224</v>
      </c>
      <c r="F17" s="89">
        <f t="shared" si="5"/>
        <v>42921.774722222224</v>
      </c>
      <c r="G17" s="90" t="str">
        <f t="shared" si="6"/>
        <v>18:35</v>
      </c>
      <c r="H17" s="91" t="str">
        <f t="shared" si="7"/>
        <v>-</v>
      </c>
      <c r="I17" s="92" t="str">
        <f t="shared" si="8"/>
        <v>-</v>
      </c>
      <c r="J17" s="92" t="str">
        <f t="shared" si="9"/>
        <v>-</v>
      </c>
      <c r="K17" s="93">
        <f t="shared" si="10"/>
        <v>1.5666666666666664</v>
      </c>
      <c r="L17" s="93"/>
      <c r="M17" s="94">
        <f t="shared" si="11"/>
        <v>1.5666666666666664</v>
      </c>
      <c r="N17" s="94">
        <f t="shared" si="12"/>
        <v>0</v>
      </c>
      <c r="O17" s="95"/>
      <c r="P17" s="137"/>
      <c r="Q17" s="137"/>
      <c r="R17" s="137"/>
      <c r="S17" s="137"/>
    </row>
    <row r="18" spans="1:19" s="16" customFormat="1">
      <c r="A18" s="140">
        <v>4230</v>
      </c>
      <c r="B18" s="140" t="s">
        <v>48</v>
      </c>
      <c r="C18" s="140" t="s">
        <v>48</v>
      </c>
      <c r="D18" s="143" t="s">
        <v>8</v>
      </c>
      <c r="E18" s="144">
        <v>42921.83965277778</v>
      </c>
      <c r="F18" s="89">
        <f t="shared" si="5"/>
        <v>42921.83965277778</v>
      </c>
      <c r="G18" s="90" t="str">
        <f t="shared" si="6"/>
        <v>20:9</v>
      </c>
      <c r="H18" s="91" t="str">
        <f t="shared" si="7"/>
        <v>-</v>
      </c>
      <c r="I18" s="92" t="str">
        <f t="shared" si="8"/>
        <v>-</v>
      </c>
      <c r="J18" s="92" t="str">
        <f t="shared" si="9"/>
        <v>-</v>
      </c>
      <c r="K18" s="93">
        <f t="shared" si="10"/>
        <v>0</v>
      </c>
      <c r="L18" s="93"/>
      <c r="M18" s="94">
        <f t="shared" si="11"/>
        <v>0</v>
      </c>
      <c r="N18" s="94">
        <f t="shared" si="12"/>
        <v>0</v>
      </c>
      <c r="O18" s="95"/>
      <c r="P18" s="137"/>
      <c r="Q18" s="137"/>
      <c r="R18" s="137"/>
      <c r="S18" s="137"/>
    </row>
    <row r="19" spans="1:19" s="16" customFormat="1">
      <c r="A19" s="140">
        <v>4233</v>
      </c>
      <c r="B19" s="140" t="s">
        <v>48</v>
      </c>
      <c r="C19" s="140" t="s">
        <v>48</v>
      </c>
      <c r="D19" s="141" t="s">
        <v>6</v>
      </c>
      <c r="E19" s="142">
        <v>42922.356909722221</v>
      </c>
      <c r="F19" s="89">
        <f t="shared" si="5"/>
        <v>42922.356909722221</v>
      </c>
      <c r="G19" s="90" t="str">
        <f t="shared" si="6"/>
        <v>8:33</v>
      </c>
      <c r="H19" s="91">
        <f t="shared" si="7"/>
        <v>9.7333333333333343</v>
      </c>
      <c r="I19" s="92">
        <f t="shared" si="8"/>
        <v>8</v>
      </c>
      <c r="J19" s="92" t="str">
        <f t="shared" si="9"/>
        <v>-</v>
      </c>
      <c r="K19" s="93">
        <f t="shared" si="10"/>
        <v>0</v>
      </c>
      <c r="L19" s="93"/>
      <c r="M19" s="94">
        <f t="shared" si="11"/>
        <v>0</v>
      </c>
      <c r="N19" s="94">
        <f t="shared" si="12"/>
        <v>0</v>
      </c>
      <c r="O19" s="95"/>
      <c r="P19" s="137"/>
      <c r="Q19" s="137"/>
      <c r="R19" s="137"/>
      <c r="S19" s="137"/>
    </row>
    <row r="20" spans="1:19" s="16" customFormat="1">
      <c r="A20" s="140">
        <v>4239</v>
      </c>
      <c r="B20" s="140" t="s">
        <v>48</v>
      </c>
      <c r="C20" s="140" t="s">
        <v>48</v>
      </c>
      <c r="D20" s="143" t="s">
        <v>5</v>
      </c>
      <c r="E20" s="144">
        <v>42922.76185185185</v>
      </c>
      <c r="F20" s="89">
        <f t="shared" si="5"/>
        <v>42922.76185185185</v>
      </c>
      <c r="G20" s="90" t="str">
        <f t="shared" si="6"/>
        <v>18:17</v>
      </c>
      <c r="H20" s="91" t="str">
        <f t="shared" si="7"/>
        <v>-</v>
      </c>
      <c r="I20" s="92" t="str">
        <f t="shared" si="8"/>
        <v>-</v>
      </c>
      <c r="J20" s="92" t="str">
        <f t="shared" si="9"/>
        <v>-</v>
      </c>
      <c r="K20" s="93">
        <f t="shared" si="10"/>
        <v>0</v>
      </c>
      <c r="L20" s="93"/>
      <c r="M20" s="94">
        <f t="shared" si="11"/>
        <v>0</v>
      </c>
      <c r="N20" s="94">
        <f t="shared" si="12"/>
        <v>0</v>
      </c>
      <c r="O20" s="95"/>
      <c r="P20" s="137"/>
      <c r="Q20" s="137"/>
      <c r="R20" s="137"/>
      <c r="S20" s="137"/>
    </row>
    <row r="21" spans="1:19" s="2" customFormat="1">
      <c r="A21" s="140">
        <v>4249</v>
      </c>
      <c r="B21" s="140" t="s">
        <v>48</v>
      </c>
      <c r="C21" s="140" t="s">
        <v>48</v>
      </c>
      <c r="D21" s="141" t="s">
        <v>6</v>
      </c>
      <c r="E21" s="142">
        <v>42923.356550925928</v>
      </c>
      <c r="F21" s="89">
        <f t="shared" si="5"/>
        <v>42923.356550925928</v>
      </c>
      <c r="G21" s="90" t="str">
        <f t="shared" si="6"/>
        <v>8:33</v>
      </c>
      <c r="H21" s="91">
        <f t="shared" si="7"/>
        <v>10.016666666666667</v>
      </c>
      <c r="I21" s="92">
        <f t="shared" si="8"/>
        <v>8</v>
      </c>
      <c r="J21" s="92" t="str">
        <f t="shared" si="9"/>
        <v>-</v>
      </c>
      <c r="K21" s="93">
        <f t="shared" si="10"/>
        <v>0</v>
      </c>
      <c r="L21" s="93"/>
      <c r="M21" s="94">
        <f t="shared" si="11"/>
        <v>0</v>
      </c>
      <c r="N21" s="94">
        <f t="shared" si="12"/>
        <v>0</v>
      </c>
      <c r="O21" s="95"/>
      <c r="P21" s="8"/>
      <c r="Q21" s="8"/>
      <c r="R21" s="8"/>
      <c r="S21" s="8"/>
    </row>
    <row r="22" spans="1:19">
      <c r="A22" s="140">
        <v>4265</v>
      </c>
      <c r="B22" s="140" t="s">
        <v>48</v>
      </c>
      <c r="C22" s="140" t="s">
        <v>48</v>
      </c>
      <c r="D22" s="143" t="s">
        <v>5</v>
      </c>
      <c r="E22" s="144">
        <v>42923.773715277777</v>
      </c>
      <c r="F22" s="89">
        <f t="shared" si="5"/>
        <v>42923.773715277777</v>
      </c>
      <c r="G22" s="90" t="str">
        <f t="shared" si="6"/>
        <v>18:34</v>
      </c>
      <c r="H22" s="91" t="str">
        <f t="shared" si="7"/>
        <v>-</v>
      </c>
      <c r="I22" s="92" t="str">
        <f t="shared" si="8"/>
        <v>-</v>
      </c>
      <c r="J22" s="92" t="str">
        <f t="shared" si="9"/>
        <v>-</v>
      </c>
      <c r="K22" s="93">
        <f t="shared" si="10"/>
        <v>0</v>
      </c>
      <c r="L22" s="93"/>
      <c r="M22" s="94">
        <f t="shared" si="11"/>
        <v>0</v>
      </c>
      <c r="N22" s="94">
        <f t="shared" si="12"/>
        <v>0</v>
      </c>
      <c r="O22" s="95"/>
    </row>
    <row r="23" spans="1:19" s="2" customFormat="1">
      <c r="A23" s="140">
        <v>4266</v>
      </c>
      <c r="B23" s="140" t="s">
        <v>48</v>
      </c>
      <c r="C23" s="140" t="s">
        <v>48</v>
      </c>
      <c r="D23" s="141" t="s">
        <v>7</v>
      </c>
      <c r="E23" s="142">
        <v>42923.77375</v>
      </c>
      <c r="F23" s="89">
        <f t="shared" si="5"/>
        <v>42923.77375</v>
      </c>
      <c r="G23" s="90" t="str">
        <f t="shared" si="6"/>
        <v>18:34</v>
      </c>
      <c r="H23" s="91" t="str">
        <f t="shared" si="7"/>
        <v>-</v>
      </c>
      <c r="I23" s="92" t="str">
        <f t="shared" si="8"/>
        <v>-</v>
      </c>
      <c r="J23" s="92" t="str">
        <f t="shared" si="9"/>
        <v>-</v>
      </c>
      <c r="K23" s="93">
        <f t="shared" si="10"/>
        <v>2.4666666666666686</v>
      </c>
      <c r="L23" s="93"/>
      <c r="M23" s="94">
        <f t="shared" si="11"/>
        <v>2</v>
      </c>
      <c r="N23" s="94">
        <f t="shared" si="12"/>
        <v>0.46666666666666856</v>
      </c>
      <c r="O23" s="95"/>
      <c r="P23" s="8"/>
      <c r="Q23" s="8"/>
      <c r="R23" s="8"/>
      <c r="S23" s="8"/>
    </row>
    <row r="24" spans="1:19">
      <c r="A24" s="140">
        <v>4271</v>
      </c>
      <c r="B24" s="140" t="s">
        <v>48</v>
      </c>
      <c r="C24" s="140" t="s">
        <v>48</v>
      </c>
      <c r="D24" s="143" t="s">
        <v>8</v>
      </c>
      <c r="E24" s="144">
        <v>42923.876851851855</v>
      </c>
      <c r="F24" s="89">
        <f t="shared" si="5"/>
        <v>42923.876851851855</v>
      </c>
      <c r="G24" s="90" t="str">
        <f t="shared" si="6"/>
        <v>21:2</v>
      </c>
      <c r="H24" s="91" t="str">
        <f t="shared" si="7"/>
        <v>-</v>
      </c>
      <c r="I24" s="92" t="str">
        <f t="shared" si="8"/>
        <v>-</v>
      </c>
      <c r="J24" s="92" t="str">
        <f t="shared" si="9"/>
        <v>-</v>
      </c>
      <c r="K24" s="93">
        <f t="shared" si="10"/>
        <v>0</v>
      </c>
      <c r="L24" s="93"/>
      <c r="M24" s="94">
        <f t="shared" si="11"/>
        <v>0</v>
      </c>
      <c r="N24" s="94">
        <f t="shared" si="12"/>
        <v>0</v>
      </c>
      <c r="O24" s="95"/>
    </row>
    <row r="25" spans="1:19" s="2" customFormat="1">
      <c r="A25" s="140">
        <v>4274</v>
      </c>
      <c r="B25" s="140" t="s">
        <v>48</v>
      </c>
      <c r="C25" s="140" t="s">
        <v>48</v>
      </c>
      <c r="D25" s="141" t="s">
        <v>6</v>
      </c>
      <c r="E25" s="142">
        <v>42926.359293981484</v>
      </c>
      <c r="F25" s="89">
        <f t="shared" si="5"/>
        <v>42926.359293981484</v>
      </c>
      <c r="G25" s="90" t="str">
        <f t="shared" si="6"/>
        <v>8:37</v>
      </c>
      <c r="H25" s="91">
        <f t="shared" si="7"/>
        <v>9.9500000000000011</v>
      </c>
      <c r="I25" s="92">
        <f t="shared" si="8"/>
        <v>8</v>
      </c>
      <c r="J25" s="92" t="str">
        <f t="shared" si="9"/>
        <v>-</v>
      </c>
      <c r="K25" s="93">
        <f t="shared" si="10"/>
        <v>0</v>
      </c>
      <c r="L25" s="93"/>
      <c r="M25" s="94">
        <f t="shared" si="11"/>
        <v>0</v>
      </c>
      <c r="N25" s="94">
        <f t="shared" si="12"/>
        <v>0</v>
      </c>
      <c r="O25" s="95"/>
      <c r="P25" s="8"/>
      <c r="Q25" s="8"/>
      <c r="R25" s="8"/>
      <c r="S25" s="8"/>
    </row>
    <row r="26" spans="1:19" s="63" customFormat="1">
      <c r="A26" s="140">
        <v>4290</v>
      </c>
      <c r="B26" s="140" t="s">
        <v>48</v>
      </c>
      <c r="C26" s="140" t="s">
        <v>48</v>
      </c>
      <c r="D26" s="143" t="s">
        <v>5</v>
      </c>
      <c r="E26" s="144">
        <v>42926.774224537039</v>
      </c>
      <c r="F26" s="89">
        <f t="shared" si="5"/>
        <v>42926.774224537039</v>
      </c>
      <c r="G26" s="90" t="str">
        <f t="shared" si="6"/>
        <v>18:34</v>
      </c>
      <c r="H26" s="91" t="str">
        <f t="shared" si="7"/>
        <v>-</v>
      </c>
      <c r="I26" s="92" t="str">
        <f t="shared" si="8"/>
        <v>-</v>
      </c>
      <c r="J26" s="92" t="str">
        <f t="shared" si="9"/>
        <v>-</v>
      </c>
      <c r="K26" s="93">
        <f t="shared" si="10"/>
        <v>0</v>
      </c>
      <c r="L26" s="93"/>
      <c r="M26" s="94">
        <f t="shared" si="11"/>
        <v>0</v>
      </c>
      <c r="N26" s="94">
        <f t="shared" si="12"/>
        <v>0</v>
      </c>
      <c r="O26" s="95"/>
      <c r="P26" s="18"/>
      <c r="Q26" s="18"/>
      <c r="R26" s="18"/>
      <c r="S26" s="18"/>
    </row>
    <row r="27" spans="1:19" s="9" customFormat="1">
      <c r="A27" s="140">
        <v>4291</v>
      </c>
      <c r="B27" s="140" t="s">
        <v>48</v>
      </c>
      <c r="C27" s="140" t="s">
        <v>48</v>
      </c>
      <c r="D27" s="143" t="s">
        <v>7</v>
      </c>
      <c r="E27" s="144">
        <v>42926.774259259262</v>
      </c>
      <c r="F27" s="89">
        <f t="shared" si="5"/>
        <v>42926.774259259262</v>
      </c>
      <c r="G27" s="90" t="str">
        <f t="shared" si="6"/>
        <v>18:34</v>
      </c>
      <c r="H27" s="91" t="str">
        <f t="shared" si="7"/>
        <v>-</v>
      </c>
      <c r="I27" s="92" t="str">
        <f t="shared" si="8"/>
        <v>-</v>
      </c>
      <c r="J27" s="92" t="str">
        <f t="shared" si="9"/>
        <v>-</v>
      </c>
      <c r="K27" s="93">
        <f t="shared" si="10"/>
        <v>2.2666666666666639</v>
      </c>
      <c r="L27" s="93"/>
      <c r="M27" s="94">
        <f t="shared" si="11"/>
        <v>2</v>
      </c>
      <c r="N27" s="94">
        <f t="shared" si="12"/>
        <v>0.26666666666666394</v>
      </c>
      <c r="O27" s="95"/>
    </row>
    <row r="28" spans="1:19" s="9" customFormat="1">
      <c r="A28" s="140">
        <v>4296</v>
      </c>
      <c r="B28" s="140" t="s">
        <v>48</v>
      </c>
      <c r="C28" s="140" t="s">
        <v>48</v>
      </c>
      <c r="D28" s="143" t="s">
        <v>8</v>
      </c>
      <c r="E28" s="144">
        <v>42926.868495370371</v>
      </c>
      <c r="F28" s="89">
        <f t="shared" si="5"/>
        <v>42926.868495370371</v>
      </c>
      <c r="G28" s="90" t="str">
        <f t="shared" si="6"/>
        <v>20:50</v>
      </c>
      <c r="H28" s="91" t="str">
        <f t="shared" si="7"/>
        <v>-</v>
      </c>
      <c r="I28" s="92" t="str">
        <f t="shared" si="8"/>
        <v>-</v>
      </c>
      <c r="J28" s="92" t="str">
        <f t="shared" si="9"/>
        <v>-</v>
      </c>
      <c r="K28" s="93">
        <f t="shared" si="10"/>
        <v>0</v>
      </c>
      <c r="L28" s="93"/>
      <c r="M28" s="94">
        <f t="shared" si="11"/>
        <v>0</v>
      </c>
      <c r="N28" s="94">
        <f t="shared" si="12"/>
        <v>0</v>
      </c>
      <c r="O28" s="95"/>
    </row>
    <row r="29" spans="1:19" s="2" customFormat="1">
      <c r="A29" s="140">
        <v>4301</v>
      </c>
      <c r="B29" s="140" t="s">
        <v>48</v>
      </c>
      <c r="C29" s="140" t="s">
        <v>48</v>
      </c>
      <c r="D29" s="141" t="s">
        <v>6</v>
      </c>
      <c r="E29" s="142">
        <v>42927.357557870368</v>
      </c>
      <c r="F29" s="89">
        <f t="shared" si="5"/>
        <v>42927.357557870368</v>
      </c>
      <c r="G29" s="90" t="str">
        <f t="shared" si="6"/>
        <v>8:34</v>
      </c>
      <c r="H29" s="91">
        <f t="shared" si="7"/>
        <v>10.149999999999997</v>
      </c>
      <c r="I29" s="92">
        <f t="shared" si="8"/>
        <v>8</v>
      </c>
      <c r="J29" s="92" t="str">
        <f t="shared" si="9"/>
        <v>-</v>
      </c>
      <c r="K29" s="93">
        <f t="shared" si="10"/>
        <v>0</v>
      </c>
      <c r="L29" s="93"/>
      <c r="M29" s="94">
        <f t="shared" si="11"/>
        <v>0</v>
      </c>
      <c r="N29" s="94">
        <f t="shared" si="12"/>
        <v>0</v>
      </c>
      <c r="O29" s="95"/>
      <c r="P29" s="8"/>
      <c r="Q29" s="8"/>
      <c r="R29" s="8"/>
      <c r="S29" s="8"/>
    </row>
    <row r="30" spans="1:19">
      <c r="A30" s="140">
        <v>4314</v>
      </c>
      <c r="B30" s="140" t="s">
        <v>48</v>
      </c>
      <c r="C30" s="140" t="s">
        <v>48</v>
      </c>
      <c r="D30" s="143" t="s">
        <v>5</v>
      </c>
      <c r="E30" s="144">
        <v>42927.779930555553</v>
      </c>
      <c r="F30" s="89">
        <f t="shared" si="5"/>
        <v>42927.779930555553</v>
      </c>
      <c r="G30" s="90" t="str">
        <f t="shared" si="6"/>
        <v>18:43</v>
      </c>
      <c r="H30" s="91" t="str">
        <f t="shared" si="7"/>
        <v>-</v>
      </c>
      <c r="I30" s="92" t="str">
        <f t="shared" si="8"/>
        <v>-</v>
      </c>
      <c r="J30" s="92" t="str">
        <f t="shared" si="9"/>
        <v>-</v>
      </c>
      <c r="K30" s="93">
        <f t="shared" si="10"/>
        <v>0</v>
      </c>
      <c r="L30" s="93"/>
      <c r="M30" s="94">
        <f t="shared" si="11"/>
        <v>0</v>
      </c>
      <c r="N30" s="94">
        <f t="shared" si="12"/>
        <v>0</v>
      </c>
      <c r="O30" s="95"/>
    </row>
    <row r="31" spans="1:19" s="137" customFormat="1">
      <c r="A31" s="140">
        <v>4324</v>
      </c>
      <c r="B31" s="140" t="s">
        <v>48</v>
      </c>
      <c r="C31" s="140" t="s">
        <v>48</v>
      </c>
      <c r="D31" s="143" t="s">
        <v>6</v>
      </c>
      <c r="E31" s="144">
        <v>42928.356631944444</v>
      </c>
      <c r="F31" s="89">
        <f t="shared" si="5"/>
        <v>42928.356631944444</v>
      </c>
      <c r="G31" s="90" t="str">
        <f t="shared" si="6"/>
        <v>8:33</v>
      </c>
      <c r="H31" s="91">
        <f t="shared" si="7"/>
        <v>10.116666666666667</v>
      </c>
      <c r="I31" s="92">
        <f t="shared" si="8"/>
        <v>8</v>
      </c>
      <c r="J31" s="92" t="str">
        <f t="shared" si="9"/>
        <v>-</v>
      </c>
      <c r="K31" s="93">
        <f t="shared" si="10"/>
        <v>0</v>
      </c>
      <c r="L31" s="93"/>
      <c r="M31" s="94">
        <f t="shared" si="11"/>
        <v>0</v>
      </c>
      <c r="N31" s="94">
        <f t="shared" si="12"/>
        <v>0</v>
      </c>
      <c r="O31" s="95"/>
    </row>
    <row r="32" spans="1:19" s="137" customFormat="1" ht="17.25" customHeight="1">
      <c r="A32" s="140">
        <v>4334</v>
      </c>
      <c r="B32" s="140" t="s">
        <v>48</v>
      </c>
      <c r="C32" s="140" t="s">
        <v>48</v>
      </c>
      <c r="D32" s="143" t="s">
        <v>5</v>
      </c>
      <c r="E32" s="144">
        <v>42928.77815972222</v>
      </c>
      <c r="F32" s="89">
        <f t="shared" si="5"/>
        <v>42928.77815972222</v>
      </c>
      <c r="G32" s="90" t="str">
        <f t="shared" si="6"/>
        <v>18:40</v>
      </c>
      <c r="H32" s="91" t="str">
        <f t="shared" si="7"/>
        <v>-</v>
      </c>
      <c r="I32" s="92" t="str">
        <f t="shared" si="8"/>
        <v>-</v>
      </c>
      <c r="J32" s="92" t="str">
        <f t="shared" si="9"/>
        <v>-</v>
      </c>
      <c r="K32" s="93">
        <f t="shared" si="10"/>
        <v>0</v>
      </c>
      <c r="L32" s="93"/>
      <c r="M32" s="94">
        <f t="shared" si="11"/>
        <v>0</v>
      </c>
      <c r="N32" s="94">
        <f t="shared" si="12"/>
        <v>0</v>
      </c>
      <c r="O32" s="95"/>
    </row>
    <row r="33" spans="1:19" s="2" customFormat="1">
      <c r="A33" s="140">
        <v>4336</v>
      </c>
      <c r="B33" s="140" t="s">
        <v>48</v>
      </c>
      <c r="C33" s="140" t="s">
        <v>48</v>
      </c>
      <c r="D33" s="143" t="s">
        <v>7</v>
      </c>
      <c r="E33" s="144">
        <v>42928.778194444443</v>
      </c>
      <c r="F33" s="89">
        <f t="shared" si="5"/>
        <v>42928.778194444443</v>
      </c>
      <c r="G33" s="90" t="str">
        <f t="shared" si="6"/>
        <v>18:40</v>
      </c>
      <c r="H33" s="91" t="str">
        <f t="shared" si="7"/>
        <v>-</v>
      </c>
      <c r="I33" s="92" t="str">
        <f t="shared" si="8"/>
        <v>-</v>
      </c>
      <c r="J33" s="92" t="str">
        <f t="shared" si="9"/>
        <v>-</v>
      </c>
      <c r="K33" s="93">
        <f t="shared" si="10"/>
        <v>3.2500000000000018</v>
      </c>
      <c r="L33" s="93"/>
      <c r="M33" s="94">
        <f t="shared" si="11"/>
        <v>2</v>
      </c>
      <c r="N33" s="94">
        <f t="shared" si="12"/>
        <v>1.2500000000000018</v>
      </c>
      <c r="O33" s="95"/>
      <c r="P33" s="8"/>
      <c r="Q33" s="8"/>
      <c r="R33" s="8"/>
      <c r="S33" s="8"/>
    </row>
    <row r="34" spans="1:19" s="63" customFormat="1">
      <c r="A34" s="140">
        <v>4347</v>
      </c>
      <c r="B34" s="140" t="s">
        <v>48</v>
      </c>
      <c r="C34" s="140" t="s">
        <v>48</v>
      </c>
      <c r="D34" s="143" t="s">
        <v>8</v>
      </c>
      <c r="E34" s="144">
        <v>42928.913506944446</v>
      </c>
      <c r="F34" s="89">
        <f t="shared" si="5"/>
        <v>42928.913506944446</v>
      </c>
      <c r="G34" s="90" t="str">
        <f t="shared" si="6"/>
        <v>21:55</v>
      </c>
      <c r="H34" s="91" t="str">
        <f t="shared" si="7"/>
        <v>-</v>
      </c>
      <c r="I34" s="92" t="str">
        <f t="shared" si="8"/>
        <v>-</v>
      </c>
      <c r="J34" s="92" t="str">
        <f t="shared" si="9"/>
        <v>-</v>
      </c>
      <c r="K34" s="93">
        <f t="shared" si="10"/>
        <v>0</v>
      </c>
      <c r="L34" s="93"/>
      <c r="M34" s="94">
        <f t="shared" si="11"/>
        <v>0</v>
      </c>
      <c r="N34" s="94">
        <f t="shared" si="12"/>
        <v>0</v>
      </c>
      <c r="O34" s="95"/>
      <c r="P34" s="18"/>
      <c r="Q34" s="18"/>
      <c r="R34" s="18"/>
      <c r="S34" s="18"/>
    </row>
    <row r="35" spans="1:19" s="9" customFormat="1">
      <c r="A35" s="140">
        <v>4352</v>
      </c>
      <c r="B35" s="140" t="s">
        <v>48</v>
      </c>
      <c r="C35" s="140" t="s">
        <v>48</v>
      </c>
      <c r="D35" s="143" t="s">
        <v>6</v>
      </c>
      <c r="E35" s="144">
        <v>42929.360590277778</v>
      </c>
      <c r="F35" s="89">
        <f t="shared" si="5"/>
        <v>42929.360590277778</v>
      </c>
      <c r="G35" s="90" t="str">
        <f t="shared" si="6"/>
        <v>8:39</v>
      </c>
      <c r="H35" s="91">
        <f t="shared" si="7"/>
        <v>9.9</v>
      </c>
      <c r="I35" s="92">
        <f t="shared" si="8"/>
        <v>8</v>
      </c>
      <c r="J35" s="92" t="str">
        <f t="shared" si="9"/>
        <v>-</v>
      </c>
      <c r="K35" s="93">
        <f t="shared" si="10"/>
        <v>0</v>
      </c>
      <c r="L35" s="93"/>
      <c r="M35" s="94">
        <f t="shared" si="11"/>
        <v>0</v>
      </c>
      <c r="N35" s="94">
        <f t="shared" si="12"/>
        <v>0</v>
      </c>
      <c r="O35" s="95"/>
    </row>
    <row r="36" spans="1:19" s="9" customFormat="1">
      <c r="A36" s="140">
        <v>4361</v>
      </c>
      <c r="B36" s="140" t="s">
        <v>48</v>
      </c>
      <c r="C36" s="140" t="s">
        <v>48</v>
      </c>
      <c r="D36" s="143" t="s">
        <v>5</v>
      </c>
      <c r="E36" s="144">
        <v>42929.773414351854</v>
      </c>
      <c r="F36" s="89">
        <f t="shared" si="5"/>
        <v>42929.773414351854</v>
      </c>
      <c r="G36" s="90" t="str">
        <f t="shared" si="6"/>
        <v>18:33</v>
      </c>
      <c r="H36" s="91" t="str">
        <f t="shared" si="7"/>
        <v>-</v>
      </c>
      <c r="I36" s="92" t="str">
        <f t="shared" si="8"/>
        <v>-</v>
      </c>
      <c r="J36" s="92" t="str">
        <f t="shared" si="9"/>
        <v>-</v>
      </c>
      <c r="K36" s="93">
        <f t="shared" si="10"/>
        <v>0</v>
      </c>
      <c r="L36" s="93"/>
      <c r="M36" s="94">
        <f t="shared" si="11"/>
        <v>0</v>
      </c>
      <c r="N36" s="94">
        <f t="shared" si="12"/>
        <v>0</v>
      </c>
      <c r="O36" s="95"/>
    </row>
    <row r="37" spans="1:19" s="130" customFormat="1">
      <c r="A37" s="140">
        <v>4362</v>
      </c>
      <c r="B37" s="140" t="s">
        <v>48</v>
      </c>
      <c r="C37" s="140" t="s">
        <v>48</v>
      </c>
      <c r="D37" s="143" t="s">
        <v>7</v>
      </c>
      <c r="E37" s="144">
        <v>42929.773449074077</v>
      </c>
      <c r="F37" s="89">
        <f t="shared" si="5"/>
        <v>42929.773449074077</v>
      </c>
      <c r="G37" s="90" t="str">
        <f t="shared" si="6"/>
        <v>18:33</v>
      </c>
      <c r="H37" s="91" t="str">
        <f t="shared" si="7"/>
        <v>-</v>
      </c>
      <c r="I37" s="92" t="str">
        <f t="shared" si="8"/>
        <v>-</v>
      </c>
      <c r="J37" s="92" t="str">
        <f t="shared" si="9"/>
        <v>-</v>
      </c>
      <c r="K37" s="93">
        <f t="shared" si="10"/>
        <v>4.0999999999999988</v>
      </c>
      <c r="L37" s="93"/>
      <c r="M37" s="94">
        <f t="shared" si="11"/>
        <v>2</v>
      </c>
      <c r="N37" s="94">
        <f t="shared" si="12"/>
        <v>2.0999999999999988</v>
      </c>
      <c r="O37" s="95"/>
      <c r="P37" s="149"/>
      <c r="Q37" s="149"/>
      <c r="R37" s="149"/>
      <c r="S37" s="149"/>
    </row>
    <row r="38" spans="1:19">
      <c r="A38" s="140">
        <v>4371</v>
      </c>
      <c r="B38" s="140" t="s">
        <v>48</v>
      </c>
      <c r="C38" s="140" t="s">
        <v>48</v>
      </c>
      <c r="D38" s="143" t="s">
        <v>8</v>
      </c>
      <c r="E38" s="144">
        <v>42929.944062499999</v>
      </c>
      <c r="F38" s="89">
        <f t="shared" si="5"/>
        <v>42929.944062499999</v>
      </c>
      <c r="G38" s="90" t="str">
        <f t="shared" si="6"/>
        <v>22:39</v>
      </c>
      <c r="H38" s="91" t="str">
        <f t="shared" si="7"/>
        <v>-</v>
      </c>
      <c r="I38" s="92" t="str">
        <f t="shared" si="8"/>
        <v>-</v>
      </c>
      <c r="J38" s="92" t="str">
        <f t="shared" si="9"/>
        <v>-</v>
      </c>
      <c r="K38" s="93">
        <f t="shared" si="10"/>
        <v>0</v>
      </c>
      <c r="L38" s="93"/>
      <c r="M38" s="94">
        <f t="shared" si="11"/>
        <v>0</v>
      </c>
      <c r="N38" s="94">
        <f t="shared" si="12"/>
        <v>0</v>
      </c>
      <c r="O38" s="95"/>
    </row>
    <row r="39" spans="1:19">
      <c r="A39" s="140">
        <v>4374</v>
      </c>
      <c r="B39" s="140" t="s">
        <v>48</v>
      </c>
      <c r="C39" s="140" t="s">
        <v>48</v>
      </c>
      <c r="D39" s="143" t="s">
        <v>6</v>
      </c>
      <c r="E39" s="144">
        <v>42930.356689814813</v>
      </c>
      <c r="F39" s="89">
        <f t="shared" si="5"/>
        <v>42930.356689814813</v>
      </c>
      <c r="G39" s="90" t="str">
        <f t="shared" si="6"/>
        <v>8:33</v>
      </c>
      <c r="H39" s="91">
        <f t="shared" si="7"/>
        <v>10.216666666666667</v>
      </c>
      <c r="I39" s="92">
        <f t="shared" si="8"/>
        <v>8</v>
      </c>
      <c r="J39" s="92" t="str">
        <f t="shared" si="9"/>
        <v>-</v>
      </c>
      <c r="K39" s="93">
        <f t="shared" si="10"/>
        <v>0</v>
      </c>
      <c r="L39" s="93"/>
      <c r="M39" s="94">
        <f t="shared" si="11"/>
        <v>0</v>
      </c>
      <c r="N39" s="94">
        <f t="shared" si="12"/>
        <v>0</v>
      </c>
      <c r="O39" s="95"/>
    </row>
    <row r="40" spans="1:19" s="2" customFormat="1">
      <c r="A40" s="140">
        <v>4389</v>
      </c>
      <c r="B40" s="140" t="s">
        <v>48</v>
      </c>
      <c r="C40" s="140" t="s">
        <v>48</v>
      </c>
      <c r="D40" s="143" t="s">
        <v>5</v>
      </c>
      <c r="E40" s="144">
        <v>42930.782141203701</v>
      </c>
      <c r="F40" s="89">
        <f t="shared" si="5"/>
        <v>42930.782141203701</v>
      </c>
      <c r="G40" s="90" t="str">
        <f t="shared" si="6"/>
        <v>18:46</v>
      </c>
      <c r="H40" s="91" t="str">
        <f t="shared" si="7"/>
        <v>-</v>
      </c>
      <c r="I40" s="92" t="str">
        <f t="shared" si="8"/>
        <v>-</v>
      </c>
      <c r="J40" s="92" t="str">
        <f t="shared" si="9"/>
        <v>-</v>
      </c>
      <c r="K40" s="93">
        <f t="shared" si="10"/>
        <v>0</v>
      </c>
      <c r="L40" s="93"/>
      <c r="M40" s="94">
        <f t="shared" si="11"/>
        <v>0</v>
      </c>
      <c r="N40" s="94">
        <f t="shared" si="12"/>
        <v>0</v>
      </c>
      <c r="O40" s="95"/>
      <c r="P40" s="8"/>
      <c r="Q40" s="8"/>
      <c r="R40" s="8"/>
      <c r="S40" s="8"/>
    </row>
    <row r="41" spans="1:19">
      <c r="A41" s="140">
        <v>4397</v>
      </c>
      <c r="B41" s="140" t="s">
        <v>48</v>
      </c>
      <c r="C41" s="140" t="s">
        <v>48</v>
      </c>
      <c r="D41" s="143" t="s">
        <v>6</v>
      </c>
      <c r="E41" s="144">
        <v>42933.357407407406</v>
      </c>
      <c r="F41" s="89">
        <f t="shared" si="5"/>
        <v>42933.357407407406</v>
      </c>
      <c r="G41" s="90" t="str">
        <f t="shared" si="6"/>
        <v>8:34</v>
      </c>
      <c r="H41" s="91">
        <f t="shared" si="7"/>
        <v>9.8666666666666671</v>
      </c>
      <c r="I41" s="92">
        <f t="shared" si="8"/>
        <v>8</v>
      </c>
      <c r="J41" s="92" t="str">
        <f t="shared" si="9"/>
        <v>-</v>
      </c>
      <c r="K41" s="93">
        <f t="shared" si="10"/>
        <v>0</v>
      </c>
      <c r="L41" s="93"/>
      <c r="M41" s="94">
        <f t="shared" si="11"/>
        <v>0</v>
      </c>
      <c r="N41" s="94">
        <f t="shared" si="12"/>
        <v>0</v>
      </c>
      <c r="O41" s="95"/>
    </row>
    <row r="42" spans="1:19">
      <c r="A42" s="140">
        <v>4409</v>
      </c>
      <c r="B42" s="140" t="s">
        <v>48</v>
      </c>
      <c r="C42" s="140" t="s">
        <v>48</v>
      </c>
      <c r="D42" s="143" t="s">
        <v>5</v>
      </c>
      <c r="E42" s="144">
        <v>42933.768125000002</v>
      </c>
      <c r="F42" s="89">
        <f t="shared" si="5"/>
        <v>42933.768125000002</v>
      </c>
      <c r="G42" s="90" t="str">
        <f t="shared" si="6"/>
        <v>18:26</v>
      </c>
      <c r="H42" s="91" t="str">
        <f t="shared" si="7"/>
        <v>-</v>
      </c>
      <c r="I42" s="92" t="str">
        <f t="shared" si="8"/>
        <v>-</v>
      </c>
      <c r="J42" s="92" t="str">
        <f t="shared" si="9"/>
        <v>-</v>
      </c>
      <c r="K42" s="93">
        <f t="shared" si="10"/>
        <v>0</v>
      </c>
      <c r="L42" s="93"/>
      <c r="M42" s="94">
        <f t="shared" si="11"/>
        <v>0</v>
      </c>
      <c r="N42" s="94">
        <f t="shared" si="12"/>
        <v>0</v>
      </c>
      <c r="O42" s="95"/>
    </row>
    <row r="43" spans="1:19" s="16" customFormat="1">
      <c r="A43" s="140">
        <v>4418</v>
      </c>
      <c r="B43" s="140" t="s">
        <v>48</v>
      </c>
      <c r="C43" s="140" t="s">
        <v>48</v>
      </c>
      <c r="D43" s="143" t="s">
        <v>6</v>
      </c>
      <c r="E43" s="144">
        <v>42934.356585648151</v>
      </c>
      <c r="F43" s="89">
        <f t="shared" si="5"/>
        <v>42934.356585648151</v>
      </c>
      <c r="G43" s="90" t="str">
        <f t="shared" si="6"/>
        <v>8:33</v>
      </c>
      <c r="H43" s="91">
        <f t="shared" si="7"/>
        <v>9.8333333333333321</v>
      </c>
      <c r="I43" s="92">
        <f t="shared" si="8"/>
        <v>8</v>
      </c>
      <c r="J43" s="92" t="str">
        <f t="shared" si="9"/>
        <v>-</v>
      </c>
      <c r="K43" s="93">
        <f t="shared" si="10"/>
        <v>0</v>
      </c>
      <c r="L43" s="93"/>
      <c r="M43" s="94">
        <f t="shared" si="11"/>
        <v>0</v>
      </c>
      <c r="N43" s="94">
        <f t="shared" si="12"/>
        <v>0</v>
      </c>
      <c r="O43" s="95"/>
      <c r="P43" s="137"/>
      <c r="Q43" s="137"/>
      <c r="R43" s="137"/>
      <c r="S43" s="137"/>
    </row>
    <row r="44" spans="1:19" s="16" customFormat="1">
      <c r="A44" s="140">
        <v>4426</v>
      </c>
      <c r="B44" s="140" t="s">
        <v>48</v>
      </c>
      <c r="C44" s="140" t="s">
        <v>48</v>
      </c>
      <c r="D44" s="143" t="s">
        <v>5</v>
      </c>
      <c r="E44" s="144">
        <v>42934.766550925924</v>
      </c>
      <c r="F44" s="89">
        <f t="shared" si="5"/>
        <v>42934.766550925924</v>
      </c>
      <c r="G44" s="90" t="str">
        <f t="shared" si="6"/>
        <v>18:23</v>
      </c>
      <c r="H44" s="91" t="str">
        <f t="shared" si="7"/>
        <v>-</v>
      </c>
      <c r="I44" s="92" t="str">
        <f t="shared" si="8"/>
        <v>-</v>
      </c>
      <c r="J44" s="92" t="str">
        <f t="shared" si="9"/>
        <v>-</v>
      </c>
      <c r="K44" s="93">
        <f t="shared" si="10"/>
        <v>0</v>
      </c>
      <c r="L44" s="93"/>
      <c r="M44" s="94">
        <f t="shared" si="11"/>
        <v>0</v>
      </c>
      <c r="N44" s="94">
        <f t="shared" si="12"/>
        <v>0</v>
      </c>
      <c r="O44" s="95"/>
      <c r="P44" s="137"/>
      <c r="Q44" s="137"/>
      <c r="R44" s="137"/>
      <c r="S44" s="137"/>
    </row>
    <row r="45" spans="1:19">
      <c r="A45" s="140">
        <v>4431</v>
      </c>
      <c r="B45" s="140" t="s">
        <v>48</v>
      </c>
      <c r="C45" s="140" t="s">
        <v>48</v>
      </c>
      <c r="D45" s="143" t="s">
        <v>7</v>
      </c>
      <c r="E45" s="144">
        <v>42934.795358796298</v>
      </c>
      <c r="F45" s="89">
        <f t="shared" si="5"/>
        <v>42934.795358796298</v>
      </c>
      <c r="G45" s="90" t="str">
        <f t="shared" si="6"/>
        <v>19:5</v>
      </c>
      <c r="H45" s="91" t="str">
        <f t="shared" si="7"/>
        <v>-</v>
      </c>
      <c r="I45" s="92" t="str">
        <f t="shared" si="8"/>
        <v>-</v>
      </c>
      <c r="J45" s="92" t="str">
        <f t="shared" si="9"/>
        <v>-</v>
      </c>
      <c r="K45" s="93">
        <f t="shared" si="10"/>
        <v>1.883333333333332</v>
      </c>
      <c r="L45" s="93"/>
      <c r="M45" s="94">
        <f t="shared" si="11"/>
        <v>1.883333333333332</v>
      </c>
      <c r="N45" s="94">
        <f t="shared" si="12"/>
        <v>0</v>
      </c>
      <c r="O45" s="95"/>
    </row>
    <row r="46" spans="1:19">
      <c r="A46" s="140">
        <v>4439</v>
      </c>
      <c r="B46" s="140" t="s">
        <v>48</v>
      </c>
      <c r="C46" s="140" t="s">
        <v>48</v>
      </c>
      <c r="D46" s="143" t="s">
        <v>8</v>
      </c>
      <c r="E46" s="144">
        <v>42934.874201388891</v>
      </c>
      <c r="F46" s="89">
        <f t="shared" si="5"/>
        <v>42934.874201388891</v>
      </c>
      <c r="G46" s="90" t="str">
        <f t="shared" si="6"/>
        <v>20:58</v>
      </c>
      <c r="H46" s="91" t="str">
        <f t="shared" si="7"/>
        <v>-</v>
      </c>
      <c r="I46" s="92" t="str">
        <f t="shared" si="8"/>
        <v>-</v>
      </c>
      <c r="J46" s="92" t="str">
        <f t="shared" si="9"/>
        <v>-</v>
      </c>
      <c r="K46" s="93">
        <f t="shared" si="10"/>
        <v>0</v>
      </c>
      <c r="L46" s="93"/>
      <c r="M46" s="94">
        <f t="shared" si="11"/>
        <v>0</v>
      </c>
      <c r="N46" s="94">
        <f t="shared" si="12"/>
        <v>0</v>
      </c>
      <c r="O46" s="95"/>
    </row>
    <row r="47" spans="1:19">
      <c r="A47" s="140">
        <v>4443</v>
      </c>
      <c r="B47" s="140" t="s">
        <v>48</v>
      </c>
      <c r="C47" s="140" t="s">
        <v>48</v>
      </c>
      <c r="D47" s="143" t="s">
        <v>6</v>
      </c>
      <c r="E47" s="144">
        <v>42935.358611111114</v>
      </c>
      <c r="F47" s="89">
        <f t="shared" si="5"/>
        <v>42935.358611111114</v>
      </c>
      <c r="G47" s="90" t="str">
        <f t="shared" si="6"/>
        <v>8:36</v>
      </c>
      <c r="H47" s="91">
        <f t="shared" si="7"/>
        <v>9.9833333333333307</v>
      </c>
      <c r="I47" s="92">
        <f t="shared" si="8"/>
        <v>8</v>
      </c>
      <c r="J47" s="92" t="str">
        <f t="shared" si="9"/>
        <v>-</v>
      </c>
      <c r="K47" s="93">
        <f t="shared" si="10"/>
        <v>0</v>
      </c>
      <c r="L47" s="93"/>
      <c r="M47" s="94">
        <f t="shared" si="11"/>
        <v>0</v>
      </c>
      <c r="N47" s="94">
        <f t="shared" si="12"/>
        <v>0</v>
      </c>
      <c r="O47" s="95"/>
    </row>
    <row r="48" spans="1:19">
      <c r="A48" s="140">
        <v>4455</v>
      </c>
      <c r="B48" s="140" t="s">
        <v>48</v>
      </c>
      <c r="C48" s="140" t="s">
        <v>48</v>
      </c>
      <c r="D48" s="143" t="s">
        <v>5</v>
      </c>
      <c r="E48" s="144">
        <v>42935.77480324074</v>
      </c>
      <c r="F48" s="89">
        <f t="shared" si="5"/>
        <v>42935.77480324074</v>
      </c>
      <c r="G48" s="90" t="str">
        <f t="shared" si="6"/>
        <v>18:35</v>
      </c>
      <c r="H48" s="91" t="str">
        <f t="shared" si="7"/>
        <v>-</v>
      </c>
      <c r="I48" s="92" t="str">
        <f t="shared" si="8"/>
        <v>-</v>
      </c>
      <c r="J48" s="92" t="str">
        <f t="shared" si="9"/>
        <v>-</v>
      </c>
      <c r="K48" s="93">
        <f t="shared" si="10"/>
        <v>0</v>
      </c>
      <c r="L48" s="93"/>
      <c r="M48" s="94">
        <f t="shared" si="11"/>
        <v>0</v>
      </c>
      <c r="N48" s="94">
        <f t="shared" si="12"/>
        <v>0</v>
      </c>
      <c r="O48" s="95"/>
    </row>
    <row r="49" spans="1:19">
      <c r="A49" s="140">
        <v>4456</v>
      </c>
      <c r="B49" s="140" t="s">
        <v>48</v>
      </c>
      <c r="C49" s="140" t="s">
        <v>48</v>
      </c>
      <c r="D49" s="143" t="s">
        <v>7</v>
      </c>
      <c r="E49" s="144">
        <v>42935.77484953704</v>
      </c>
      <c r="F49" s="89">
        <f t="shared" si="5"/>
        <v>42935.77484953704</v>
      </c>
      <c r="G49" s="90" t="str">
        <f t="shared" si="6"/>
        <v>18:35</v>
      </c>
      <c r="H49" s="91" t="str">
        <f t="shared" si="7"/>
        <v>-</v>
      </c>
      <c r="I49" s="92" t="str">
        <f t="shared" si="8"/>
        <v>-</v>
      </c>
      <c r="J49" s="92" t="str">
        <f t="shared" si="9"/>
        <v>-</v>
      </c>
      <c r="K49" s="93">
        <f t="shared" si="10"/>
        <v>2.1833333333333336</v>
      </c>
      <c r="L49" s="93"/>
      <c r="M49" s="94">
        <f t="shared" si="11"/>
        <v>2</v>
      </c>
      <c r="N49" s="94">
        <f t="shared" si="12"/>
        <v>0.18333333333333357</v>
      </c>
      <c r="O49" s="95"/>
    </row>
    <row r="50" spans="1:19">
      <c r="A50" s="140">
        <v>4464</v>
      </c>
      <c r="B50" s="140" t="s">
        <v>48</v>
      </c>
      <c r="C50" s="140" t="s">
        <v>48</v>
      </c>
      <c r="D50" s="143" t="s">
        <v>8</v>
      </c>
      <c r="E50" s="144">
        <v>42935.865590277775</v>
      </c>
      <c r="F50" s="89">
        <f t="shared" si="5"/>
        <v>42935.865590277775</v>
      </c>
      <c r="G50" s="90" t="str">
        <f t="shared" si="6"/>
        <v>20:46</v>
      </c>
      <c r="H50" s="91" t="str">
        <f t="shared" si="7"/>
        <v>-</v>
      </c>
      <c r="I50" s="92" t="str">
        <f t="shared" si="8"/>
        <v>-</v>
      </c>
      <c r="J50" s="92" t="str">
        <f t="shared" si="9"/>
        <v>-</v>
      </c>
      <c r="K50" s="93">
        <f t="shared" si="10"/>
        <v>0</v>
      </c>
      <c r="L50" s="93"/>
      <c r="M50" s="94">
        <f t="shared" si="11"/>
        <v>0</v>
      </c>
      <c r="N50" s="94">
        <f t="shared" si="12"/>
        <v>0</v>
      </c>
      <c r="O50" s="95"/>
      <c r="P50" s="9" t="s">
        <v>19</v>
      </c>
    </row>
    <row r="51" spans="1:19">
      <c r="A51" s="140">
        <v>4466</v>
      </c>
      <c r="B51" s="140" t="s">
        <v>50</v>
      </c>
      <c r="C51" s="140" t="s">
        <v>48</v>
      </c>
      <c r="D51" s="143" t="s">
        <v>6</v>
      </c>
      <c r="E51" s="144">
        <v>42936.356134259258</v>
      </c>
      <c r="F51" s="89">
        <f t="shared" si="5"/>
        <v>42936.356134259258</v>
      </c>
      <c r="G51" s="90" t="str">
        <f t="shared" si="6"/>
        <v>8:32</v>
      </c>
      <c r="H51" s="91">
        <f t="shared" si="7"/>
        <v>9.6666666666666661</v>
      </c>
      <c r="I51" s="92">
        <f t="shared" si="8"/>
        <v>8</v>
      </c>
      <c r="J51" s="92" t="str">
        <f t="shared" si="9"/>
        <v>-</v>
      </c>
      <c r="K51" s="93">
        <f t="shared" si="10"/>
        <v>0</v>
      </c>
      <c r="L51" s="93"/>
      <c r="M51" s="94">
        <f t="shared" si="11"/>
        <v>0</v>
      </c>
      <c r="N51" s="94">
        <f t="shared" si="12"/>
        <v>0</v>
      </c>
      <c r="O51" s="95"/>
    </row>
    <row r="52" spans="1:19">
      <c r="A52" s="140">
        <v>4475</v>
      </c>
      <c r="B52" s="140" t="s">
        <v>50</v>
      </c>
      <c r="C52" s="140" t="s">
        <v>48</v>
      </c>
      <c r="D52" s="143" t="s">
        <v>5</v>
      </c>
      <c r="E52" s="144">
        <v>42936.758622685185</v>
      </c>
      <c r="F52" s="89">
        <f t="shared" si="5"/>
        <v>42936.758622685185</v>
      </c>
      <c r="G52" s="90" t="str">
        <f t="shared" si="6"/>
        <v>18:12</v>
      </c>
      <c r="H52" s="91" t="str">
        <f t="shared" si="7"/>
        <v>-</v>
      </c>
      <c r="I52" s="92" t="str">
        <f t="shared" si="8"/>
        <v>-</v>
      </c>
      <c r="J52" s="92" t="str">
        <f t="shared" si="9"/>
        <v>-</v>
      </c>
      <c r="K52" s="93">
        <f t="shared" si="10"/>
        <v>0</v>
      </c>
      <c r="L52" s="93"/>
      <c r="M52" s="94">
        <f t="shared" si="11"/>
        <v>0</v>
      </c>
      <c r="N52" s="94">
        <f t="shared" si="12"/>
        <v>0</v>
      </c>
      <c r="O52" s="95"/>
    </row>
    <row r="53" spans="1:19">
      <c r="A53" s="140">
        <v>4493</v>
      </c>
      <c r="B53" s="140" t="s">
        <v>48</v>
      </c>
      <c r="C53" s="140" t="s">
        <v>48</v>
      </c>
      <c r="D53" s="143" t="s">
        <v>6</v>
      </c>
      <c r="E53" s="144">
        <v>42937.359791666669</v>
      </c>
      <c r="F53" s="89">
        <f t="shared" si="5"/>
        <v>42937.359791666669</v>
      </c>
      <c r="G53" s="90" t="str">
        <f t="shared" si="6"/>
        <v>8:38</v>
      </c>
      <c r="H53" s="91">
        <f t="shared" si="7"/>
        <v>10.25</v>
      </c>
      <c r="I53" s="92">
        <f t="shared" si="8"/>
        <v>8</v>
      </c>
      <c r="J53" s="92" t="str">
        <f t="shared" si="9"/>
        <v>-</v>
      </c>
      <c r="K53" s="93">
        <f t="shared" si="10"/>
        <v>0</v>
      </c>
      <c r="L53" s="93"/>
      <c r="M53" s="94">
        <f t="shared" si="11"/>
        <v>0</v>
      </c>
      <c r="N53" s="94">
        <f t="shared" si="12"/>
        <v>0</v>
      </c>
      <c r="O53" s="95"/>
      <c r="P53"/>
      <c r="Q53"/>
      <c r="R53"/>
      <c r="S53"/>
    </row>
    <row r="54" spans="1:19">
      <c r="A54" s="140">
        <v>4503</v>
      </c>
      <c r="B54" s="140" t="s">
        <v>48</v>
      </c>
      <c r="C54" s="140" t="s">
        <v>48</v>
      </c>
      <c r="D54" s="143" t="s">
        <v>5</v>
      </c>
      <c r="E54" s="144">
        <v>42937.786932870367</v>
      </c>
      <c r="F54" s="89">
        <f t="shared" si="5"/>
        <v>42937.786932870367</v>
      </c>
      <c r="G54" s="90" t="str">
        <f t="shared" si="6"/>
        <v>18:53</v>
      </c>
      <c r="H54" s="91" t="str">
        <f t="shared" si="7"/>
        <v>-</v>
      </c>
      <c r="I54" s="92" t="str">
        <f t="shared" si="8"/>
        <v>-</v>
      </c>
      <c r="J54" s="92" t="str">
        <f t="shared" si="9"/>
        <v>-</v>
      </c>
      <c r="K54" s="93">
        <f t="shared" si="10"/>
        <v>0</v>
      </c>
      <c r="L54" s="93"/>
      <c r="M54" s="94">
        <f t="shared" si="11"/>
        <v>0</v>
      </c>
      <c r="N54" s="94">
        <f t="shared" si="12"/>
        <v>0</v>
      </c>
      <c r="O54" s="95"/>
      <c r="P54"/>
      <c r="Q54"/>
      <c r="R54"/>
      <c r="S54"/>
    </row>
    <row r="55" spans="1:19" s="2" customFormat="1">
      <c r="A55" s="140">
        <v>4508</v>
      </c>
      <c r="B55" s="140" t="s">
        <v>48</v>
      </c>
      <c r="C55" s="140" t="s">
        <v>48</v>
      </c>
      <c r="D55" s="143" t="s">
        <v>6</v>
      </c>
      <c r="E55" s="144">
        <v>42940.356087962966</v>
      </c>
      <c r="F55" s="89">
        <f t="shared" si="5"/>
        <v>42940.356087962966</v>
      </c>
      <c r="G55" s="90" t="str">
        <f t="shared" si="6"/>
        <v>8:32</v>
      </c>
      <c r="H55" s="91">
        <f t="shared" si="7"/>
        <v>10.216666666666667</v>
      </c>
      <c r="I55" s="92">
        <f t="shared" si="8"/>
        <v>8</v>
      </c>
      <c r="J55" s="92" t="str">
        <f t="shared" si="9"/>
        <v>-</v>
      </c>
      <c r="K55" s="93">
        <f t="shared" si="10"/>
        <v>0</v>
      </c>
      <c r="L55" s="93"/>
      <c r="M55" s="94">
        <f t="shared" si="11"/>
        <v>0</v>
      </c>
      <c r="N55" s="94">
        <f t="shared" si="12"/>
        <v>0</v>
      </c>
      <c r="O55" s="95"/>
    </row>
    <row r="56" spans="1:19" s="2" customFormat="1">
      <c r="A56" s="140">
        <v>4524</v>
      </c>
      <c r="B56" s="140" t="s">
        <v>48</v>
      </c>
      <c r="C56" s="140" t="s">
        <v>48</v>
      </c>
      <c r="D56" s="143" t="s">
        <v>5</v>
      </c>
      <c r="E56" s="144">
        <v>42940.781458333331</v>
      </c>
      <c r="F56" s="89">
        <f t="shared" si="5"/>
        <v>42940.781458333331</v>
      </c>
      <c r="G56" s="90" t="str">
        <f t="shared" si="6"/>
        <v>18:45</v>
      </c>
      <c r="H56" s="91" t="str">
        <f t="shared" si="7"/>
        <v>-</v>
      </c>
      <c r="I56" s="92" t="str">
        <f t="shared" si="8"/>
        <v>-</v>
      </c>
      <c r="J56" s="92" t="str">
        <f t="shared" si="9"/>
        <v>-</v>
      </c>
      <c r="K56" s="93">
        <f t="shared" si="10"/>
        <v>0</v>
      </c>
      <c r="L56" s="93"/>
      <c r="M56" s="94">
        <f t="shared" si="11"/>
        <v>0</v>
      </c>
      <c r="N56" s="94">
        <f t="shared" si="12"/>
        <v>0</v>
      </c>
      <c r="O56" s="95"/>
    </row>
    <row r="57" spans="1:19">
      <c r="A57" s="140">
        <v>4525</v>
      </c>
      <c r="B57" s="140" t="s">
        <v>48</v>
      </c>
      <c r="C57" s="140" t="s">
        <v>48</v>
      </c>
      <c r="D57" s="143" t="s">
        <v>7</v>
      </c>
      <c r="E57" s="144">
        <v>42940.781493055554</v>
      </c>
      <c r="F57" s="89">
        <f t="shared" si="5"/>
        <v>42940.781493055554</v>
      </c>
      <c r="G57" s="90" t="str">
        <f t="shared" si="6"/>
        <v>18:45</v>
      </c>
      <c r="H57" s="91" t="str">
        <f t="shared" si="7"/>
        <v>-</v>
      </c>
      <c r="I57" s="92" t="str">
        <f t="shared" si="8"/>
        <v>-</v>
      </c>
      <c r="J57" s="92" t="str">
        <f t="shared" si="9"/>
        <v>-</v>
      </c>
      <c r="K57" s="93">
        <f t="shared" si="10"/>
        <v>2.8833333333333337</v>
      </c>
      <c r="L57" s="93"/>
      <c r="M57" s="94">
        <f t="shared" si="11"/>
        <v>2</v>
      </c>
      <c r="N57" s="94">
        <f t="shared" si="12"/>
        <v>0.88333333333333375</v>
      </c>
      <c r="O57" s="95"/>
    </row>
    <row r="58" spans="1:19">
      <c r="A58" s="140">
        <v>4531</v>
      </c>
      <c r="B58" s="140" t="s">
        <v>48</v>
      </c>
      <c r="C58" s="140" t="s">
        <v>48</v>
      </c>
      <c r="D58" s="143" t="s">
        <v>8</v>
      </c>
      <c r="E58" s="144">
        <v>42940.901689814818</v>
      </c>
      <c r="F58" s="89">
        <f t="shared" si="5"/>
        <v>42940.901689814818</v>
      </c>
      <c r="G58" s="90" t="str">
        <f t="shared" si="6"/>
        <v>21:38</v>
      </c>
      <c r="H58" s="91" t="str">
        <f t="shared" si="7"/>
        <v>-</v>
      </c>
      <c r="I58" s="92" t="str">
        <f t="shared" si="8"/>
        <v>-</v>
      </c>
      <c r="J58" s="92" t="str">
        <f t="shared" si="9"/>
        <v>-</v>
      </c>
      <c r="K58" s="93">
        <f t="shared" si="10"/>
        <v>0</v>
      </c>
      <c r="L58" s="93"/>
      <c r="M58" s="94">
        <f t="shared" si="11"/>
        <v>0</v>
      </c>
      <c r="N58" s="94">
        <f t="shared" si="12"/>
        <v>0</v>
      </c>
      <c r="O58" s="95"/>
    </row>
    <row r="59" spans="1:19" s="63" customFormat="1">
      <c r="A59" s="140">
        <v>4538</v>
      </c>
      <c r="B59" s="140" t="s">
        <v>48</v>
      </c>
      <c r="C59" s="140" t="s">
        <v>48</v>
      </c>
      <c r="D59" s="143" t="s">
        <v>6</v>
      </c>
      <c r="E59" s="144">
        <v>42941.358611111114</v>
      </c>
      <c r="F59" s="89">
        <f t="shared" si="5"/>
        <v>42941.358611111114</v>
      </c>
      <c r="G59" s="90" t="str">
        <f t="shared" si="6"/>
        <v>8:36</v>
      </c>
      <c r="H59" s="91">
        <f t="shared" si="7"/>
        <v>10.533333333333331</v>
      </c>
      <c r="I59" s="92">
        <f t="shared" si="8"/>
        <v>8</v>
      </c>
      <c r="J59" s="92" t="str">
        <f t="shared" si="9"/>
        <v>-</v>
      </c>
      <c r="K59" s="93">
        <f t="shared" si="10"/>
        <v>0</v>
      </c>
      <c r="L59" s="93"/>
      <c r="M59" s="94">
        <f t="shared" si="11"/>
        <v>0</v>
      </c>
      <c r="N59" s="94">
        <f t="shared" si="12"/>
        <v>0</v>
      </c>
      <c r="O59" s="95"/>
      <c r="P59" s="18"/>
      <c r="Q59" s="18"/>
      <c r="R59" s="18"/>
      <c r="S59" s="18"/>
    </row>
    <row r="60" spans="1:19" s="63" customFormat="1">
      <c r="A60" s="140">
        <v>4551</v>
      </c>
      <c r="B60" s="140" t="s">
        <v>48</v>
      </c>
      <c r="C60" s="140" t="s">
        <v>48</v>
      </c>
      <c r="D60" s="143" t="s">
        <v>5</v>
      </c>
      <c r="E60" s="144">
        <v>42941.797615740739</v>
      </c>
      <c r="F60" s="89">
        <f t="shared" si="5"/>
        <v>42941.797615740739</v>
      </c>
      <c r="G60" s="90" t="str">
        <f t="shared" si="6"/>
        <v>19:8</v>
      </c>
      <c r="H60" s="91" t="str">
        <f t="shared" si="7"/>
        <v>-</v>
      </c>
      <c r="I60" s="92" t="str">
        <f t="shared" si="8"/>
        <v>-</v>
      </c>
      <c r="J60" s="92" t="str">
        <f t="shared" si="9"/>
        <v>-</v>
      </c>
      <c r="K60" s="93">
        <f t="shared" si="10"/>
        <v>0</v>
      </c>
      <c r="L60" s="93"/>
      <c r="M60" s="94">
        <f t="shared" si="11"/>
        <v>0</v>
      </c>
      <c r="N60" s="94">
        <f t="shared" si="12"/>
        <v>0</v>
      </c>
      <c r="O60" s="95"/>
      <c r="P60" s="18"/>
      <c r="Q60" s="18"/>
      <c r="R60" s="18"/>
      <c r="S60" s="18"/>
    </row>
    <row r="61" spans="1:19">
      <c r="A61" s="140">
        <v>4560</v>
      </c>
      <c r="B61" s="140" t="s">
        <v>48</v>
      </c>
      <c r="C61" s="140" t="s">
        <v>48</v>
      </c>
      <c r="D61" s="143" t="s">
        <v>6</v>
      </c>
      <c r="E61" s="144">
        <v>42942.358252314814</v>
      </c>
      <c r="F61" s="89">
        <f t="shared" si="5"/>
        <v>42942.358252314814</v>
      </c>
      <c r="G61" s="90" t="str">
        <f t="shared" si="6"/>
        <v>8:35</v>
      </c>
      <c r="H61" s="91">
        <f t="shared" si="7"/>
        <v>10.65</v>
      </c>
      <c r="I61" s="92">
        <f t="shared" si="8"/>
        <v>8</v>
      </c>
      <c r="J61" s="92" t="str">
        <f t="shared" si="9"/>
        <v>-</v>
      </c>
      <c r="K61" s="93">
        <f t="shared" si="10"/>
        <v>0</v>
      </c>
      <c r="L61" s="93"/>
      <c r="M61" s="94">
        <f t="shared" si="11"/>
        <v>0</v>
      </c>
      <c r="N61" s="94">
        <f t="shared" si="12"/>
        <v>0</v>
      </c>
      <c r="O61" s="95"/>
    </row>
    <row r="62" spans="1:19">
      <c r="A62" s="140">
        <v>4574</v>
      </c>
      <c r="B62" s="140" t="s">
        <v>48</v>
      </c>
      <c r="C62" s="140" t="s">
        <v>48</v>
      </c>
      <c r="D62" s="143" t="s">
        <v>5</v>
      </c>
      <c r="E62" s="144">
        <v>42942.801655092589</v>
      </c>
      <c r="F62" s="89">
        <f t="shared" si="5"/>
        <v>42942.801655092589</v>
      </c>
      <c r="G62" s="90" t="str">
        <f t="shared" si="6"/>
        <v>19:14</v>
      </c>
      <c r="H62" s="91" t="str">
        <f t="shared" si="7"/>
        <v>-</v>
      </c>
      <c r="I62" s="92" t="str">
        <f t="shared" si="8"/>
        <v>-</v>
      </c>
      <c r="J62" s="92" t="str">
        <f t="shared" si="9"/>
        <v>-</v>
      </c>
      <c r="K62" s="93">
        <f t="shared" si="10"/>
        <v>0</v>
      </c>
      <c r="L62" s="93"/>
      <c r="M62" s="94">
        <f t="shared" si="11"/>
        <v>0</v>
      </c>
      <c r="N62" s="94">
        <f t="shared" si="12"/>
        <v>0</v>
      </c>
      <c r="O62" s="95"/>
    </row>
    <row r="63" spans="1:19">
      <c r="A63">
        <v>4575</v>
      </c>
      <c r="B63" t="s">
        <v>48</v>
      </c>
      <c r="C63" t="s">
        <v>48</v>
      </c>
      <c r="D63" s="143" t="s">
        <v>7</v>
      </c>
      <c r="E63" s="144">
        <v>42942.801701388889</v>
      </c>
      <c r="F63" s="89">
        <f t="shared" si="5"/>
        <v>42942.801701388889</v>
      </c>
      <c r="G63" s="90" t="str">
        <f t="shared" si="6"/>
        <v>19:14</v>
      </c>
      <c r="H63" s="91" t="str">
        <f t="shared" si="7"/>
        <v>-</v>
      </c>
      <c r="I63" s="92" t="str">
        <f t="shared" si="8"/>
        <v>-</v>
      </c>
      <c r="J63" s="92" t="str">
        <f t="shared" si="9"/>
        <v>-</v>
      </c>
      <c r="K63" s="93">
        <f t="shared" si="10"/>
        <v>0.19999999999999929</v>
      </c>
      <c r="L63" s="93"/>
      <c r="M63" s="94">
        <f t="shared" si="11"/>
        <v>0.19999999999999929</v>
      </c>
      <c r="N63" s="94">
        <f t="shared" si="12"/>
        <v>0</v>
      </c>
      <c r="O63" s="95"/>
    </row>
    <row r="64" spans="1:19" s="63" customFormat="1">
      <c r="A64">
        <v>4576</v>
      </c>
      <c r="B64" t="s">
        <v>50</v>
      </c>
      <c r="C64" t="s">
        <v>48</v>
      </c>
      <c r="D64" s="143" t="s">
        <v>8</v>
      </c>
      <c r="E64" s="144">
        <v>42942.810173611113</v>
      </c>
      <c r="F64" s="89">
        <f t="shared" si="5"/>
        <v>42942.810173611113</v>
      </c>
      <c r="G64" s="90" t="str">
        <f t="shared" si="6"/>
        <v>19:26</v>
      </c>
      <c r="H64" s="91" t="str">
        <f t="shared" si="7"/>
        <v>-</v>
      </c>
      <c r="I64" s="92" t="str">
        <f t="shared" si="8"/>
        <v>-</v>
      </c>
      <c r="J64" s="92" t="str">
        <f t="shared" si="9"/>
        <v>-</v>
      </c>
      <c r="K64" s="93">
        <f t="shared" si="10"/>
        <v>0</v>
      </c>
      <c r="L64" s="93"/>
      <c r="M64" s="94">
        <f t="shared" si="11"/>
        <v>0</v>
      </c>
      <c r="N64" s="94">
        <f t="shared" si="12"/>
        <v>0</v>
      </c>
      <c r="O64" s="95"/>
      <c r="P64" s="18"/>
      <c r="Q64" s="18"/>
      <c r="R64" s="18"/>
      <c r="S64" s="18"/>
    </row>
    <row r="65" spans="1:19">
      <c r="A65">
        <v>4584</v>
      </c>
      <c r="B65" t="s">
        <v>50</v>
      </c>
      <c r="C65" t="s">
        <v>48</v>
      </c>
      <c r="D65" s="143" t="s">
        <v>6</v>
      </c>
      <c r="E65" s="144">
        <v>42943.359733796293</v>
      </c>
      <c r="F65" s="89">
        <f t="shared" si="5"/>
        <v>42943.359733796293</v>
      </c>
      <c r="G65" s="90" t="str">
        <f t="shared" si="6"/>
        <v>8:38</v>
      </c>
      <c r="H65" s="91">
        <f t="shared" si="7"/>
        <v>9.7666666666666657</v>
      </c>
      <c r="I65" s="92">
        <f t="shared" si="8"/>
        <v>8</v>
      </c>
      <c r="J65" s="92" t="str">
        <f t="shared" si="9"/>
        <v>-</v>
      </c>
      <c r="K65" s="93">
        <f t="shared" si="10"/>
        <v>0</v>
      </c>
      <c r="L65" s="93"/>
      <c r="M65" s="94">
        <f t="shared" si="11"/>
        <v>0</v>
      </c>
      <c r="N65" s="94">
        <f t="shared" si="12"/>
        <v>0</v>
      </c>
      <c r="O65" s="95"/>
    </row>
    <row r="66" spans="1:19">
      <c r="A66">
        <v>4594</v>
      </c>
      <c r="B66" t="s">
        <v>48</v>
      </c>
      <c r="C66" t="s">
        <v>48</v>
      </c>
      <c r="D66" s="143" t="s">
        <v>5</v>
      </c>
      <c r="E66" s="144">
        <v>42943.767094907409</v>
      </c>
      <c r="F66" s="89">
        <f t="shared" si="5"/>
        <v>42943.767094907409</v>
      </c>
      <c r="G66" s="90" t="str">
        <f t="shared" si="6"/>
        <v>18:24</v>
      </c>
      <c r="H66" s="91" t="str">
        <f t="shared" si="7"/>
        <v>-</v>
      </c>
      <c r="I66" s="92" t="str">
        <f t="shared" si="8"/>
        <v>-</v>
      </c>
      <c r="J66" s="92" t="str">
        <f t="shared" si="9"/>
        <v>-</v>
      </c>
      <c r="K66" s="93">
        <f t="shared" si="10"/>
        <v>0</v>
      </c>
      <c r="L66" s="93"/>
      <c r="M66" s="94">
        <f t="shared" si="11"/>
        <v>0</v>
      </c>
      <c r="N66" s="94">
        <f t="shared" si="12"/>
        <v>0</v>
      </c>
      <c r="O66" s="95"/>
    </row>
    <row r="67" spans="1:19">
      <c r="A67">
        <v>4603</v>
      </c>
      <c r="B67" t="s">
        <v>48</v>
      </c>
      <c r="C67" t="s">
        <v>48</v>
      </c>
      <c r="D67" s="143" t="s">
        <v>6</v>
      </c>
      <c r="E67" s="144">
        <v>42944.356435185182</v>
      </c>
      <c r="F67" s="89">
        <f t="shared" si="5"/>
        <v>42944.356435185182</v>
      </c>
      <c r="G67" s="90" t="str">
        <f t="shared" si="6"/>
        <v>8:33</v>
      </c>
      <c r="H67" s="91">
        <f t="shared" si="7"/>
        <v>10.316666666666666</v>
      </c>
      <c r="I67" s="92">
        <f t="shared" si="8"/>
        <v>8</v>
      </c>
      <c r="J67" s="92" t="str">
        <f t="shared" si="9"/>
        <v>-</v>
      </c>
      <c r="K67" s="93">
        <f t="shared" si="10"/>
        <v>0</v>
      </c>
      <c r="L67" s="93"/>
      <c r="M67" s="94">
        <f t="shared" si="11"/>
        <v>0</v>
      </c>
      <c r="N67" s="94">
        <f t="shared" si="12"/>
        <v>0</v>
      </c>
      <c r="O67" s="95"/>
    </row>
    <row r="68" spans="1:19">
      <c r="A68">
        <v>4618</v>
      </c>
      <c r="B68" t="s">
        <v>48</v>
      </c>
      <c r="C68" t="s">
        <v>48</v>
      </c>
      <c r="D68" s="143" t="s">
        <v>5</v>
      </c>
      <c r="E68" s="144">
        <v>42944.786377314813</v>
      </c>
      <c r="F68" s="89">
        <f t="shared" si="5"/>
        <v>42944.786377314813</v>
      </c>
      <c r="G68" s="90" t="str">
        <f t="shared" si="6"/>
        <v>18:52</v>
      </c>
      <c r="H68" s="91" t="str">
        <f t="shared" si="7"/>
        <v>-</v>
      </c>
      <c r="I68" s="92" t="str">
        <f t="shared" si="8"/>
        <v>-</v>
      </c>
      <c r="J68" s="92" t="str">
        <f t="shared" si="9"/>
        <v>-</v>
      </c>
      <c r="K68" s="93">
        <f t="shared" si="10"/>
        <v>0</v>
      </c>
      <c r="L68" s="93"/>
      <c r="M68" s="94">
        <f t="shared" si="11"/>
        <v>0</v>
      </c>
      <c r="N68" s="94">
        <f t="shared" si="12"/>
        <v>0</v>
      </c>
      <c r="O68" s="95"/>
    </row>
    <row r="69" spans="1:19" s="63" customFormat="1">
      <c r="A69" s="63">
        <v>4603</v>
      </c>
      <c r="B69" s="63" t="s">
        <v>48</v>
      </c>
      <c r="C69" s="63" t="s">
        <v>48</v>
      </c>
      <c r="D69" s="181" t="s">
        <v>6</v>
      </c>
      <c r="E69" s="180">
        <v>42947.354351851849</v>
      </c>
      <c r="F69" s="135">
        <f t="shared" si="5"/>
        <v>42947.354351851849</v>
      </c>
      <c r="G69" s="67" t="str">
        <f t="shared" si="6"/>
        <v>8:30</v>
      </c>
      <c r="H69" s="64">
        <f t="shared" si="7"/>
        <v>9.5</v>
      </c>
      <c r="I69" s="66">
        <f t="shared" si="8"/>
        <v>8</v>
      </c>
      <c r="J69" s="66" t="str">
        <f t="shared" si="9"/>
        <v>-</v>
      </c>
      <c r="K69" s="68">
        <f t="shared" si="10"/>
        <v>0</v>
      </c>
      <c r="L69" s="68"/>
      <c r="M69" s="65">
        <f t="shared" si="11"/>
        <v>0</v>
      </c>
      <c r="N69" s="65">
        <f t="shared" si="12"/>
        <v>0</v>
      </c>
      <c r="O69" s="147" t="s">
        <v>80</v>
      </c>
      <c r="P69" s="18"/>
      <c r="Q69" s="18"/>
      <c r="R69" s="18"/>
      <c r="S69" s="18"/>
    </row>
    <row r="70" spans="1:19" s="63" customFormat="1">
      <c r="A70" s="63">
        <v>4618</v>
      </c>
      <c r="B70" s="63" t="s">
        <v>48</v>
      </c>
      <c r="C70" s="63" t="s">
        <v>48</v>
      </c>
      <c r="D70" s="181" t="s">
        <v>5</v>
      </c>
      <c r="E70" s="180">
        <v>42947.7502662037</v>
      </c>
      <c r="F70" s="135">
        <f t="shared" si="5"/>
        <v>42947.7502662037</v>
      </c>
      <c r="G70" s="67" t="str">
        <f t="shared" si="6"/>
        <v>18:0</v>
      </c>
      <c r="H70" s="64" t="str">
        <f>IF(D70="上班",(#REF!-G70)*24,"-")</f>
        <v>-</v>
      </c>
      <c r="I70" s="66" t="str">
        <f t="shared" si="8"/>
        <v>-</v>
      </c>
      <c r="J70" s="66" t="str">
        <f t="shared" si="9"/>
        <v>-</v>
      </c>
      <c r="K70" s="68">
        <f>IF(D70="加班",(#REF!-G70)*24,0)</f>
        <v>0</v>
      </c>
      <c r="L70" s="68"/>
      <c r="M70" s="65">
        <f t="shared" si="11"/>
        <v>0</v>
      </c>
      <c r="N70" s="65">
        <f t="shared" si="12"/>
        <v>0</v>
      </c>
      <c r="O70" s="147"/>
      <c r="P70" s="18"/>
      <c r="Q70" s="18"/>
      <c r="R70" s="18"/>
      <c r="S70" s="18"/>
    </row>
    <row r="71" spans="1:19">
      <c r="D71"/>
    </row>
    <row r="72" spans="1:19">
      <c r="D72"/>
    </row>
    <row r="73" spans="1:19">
      <c r="D73" s="9" t="s">
        <v>49</v>
      </c>
      <c r="E73" s="9"/>
      <c r="F73" s="55"/>
      <c r="G73" s="55"/>
      <c r="H73" s="9"/>
      <c r="I73" s="60"/>
      <c r="J73" s="61"/>
      <c r="K73" s="61"/>
      <c r="L73" s="59"/>
    </row>
    <row r="74" spans="1:19">
      <c r="D74" s="9" t="s">
        <v>39</v>
      </c>
      <c r="E74"/>
      <c r="F74" s="3"/>
      <c r="G74"/>
      <c r="H74"/>
      <c r="I74" s="62"/>
      <c r="J74" s="62"/>
      <c r="K74" s="62"/>
      <c r="L74" s="59"/>
    </row>
    <row r="75" spans="1:19">
      <c r="D75" s="172" t="s">
        <v>63</v>
      </c>
      <c r="E75" s="173"/>
      <c r="F75" s="130"/>
      <c r="G75" s="174"/>
      <c r="H75" s="175"/>
      <c r="I75" s="176"/>
      <c r="J75" s="176"/>
      <c r="K75" s="177"/>
      <c r="L75" s="177"/>
      <c r="M75" s="177"/>
    </row>
    <row r="76" spans="1:19">
      <c r="D76" t="s">
        <v>66</v>
      </c>
    </row>
    <row r="77" spans="1:19">
      <c r="D77" t="s">
        <v>64</v>
      </c>
    </row>
    <row r="78" spans="1:19">
      <c r="D78" t="s">
        <v>68</v>
      </c>
    </row>
    <row r="79" spans="1:19">
      <c r="D79" t="s">
        <v>69</v>
      </c>
    </row>
    <row r="80" spans="1:19">
      <c r="D80" t="s">
        <v>65</v>
      </c>
    </row>
    <row r="81" spans="4:4">
      <c r="D81" t="s">
        <v>67</v>
      </c>
    </row>
  </sheetData>
  <phoneticPr fontId="18" type="noConversion"/>
  <pageMargins left="0.23622047244094491" right="0.23622047244094491" top="0.15748031496062992" bottom="0.15748031496062992" header="0.31496062992125984" footer="0.31496062992125984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工作表34"/>
  <dimension ref="A1:U39"/>
  <sheetViews>
    <sheetView topLeftCell="D13" workbookViewId="0">
      <selection sqref="A1:E467"/>
    </sheetView>
  </sheetViews>
  <sheetFormatPr defaultRowHeight="16.5" outlineLevelCol="1"/>
  <cols>
    <col min="1" max="1" width="5.375" hidden="1" customWidth="1" outlineLevel="1"/>
    <col min="2" max="2" width="6.875" hidden="1" customWidth="1" outlineLevel="1"/>
    <col min="3" max="3" width="6.5" style="3" hidden="1" customWidth="1" outlineLevel="1"/>
    <col min="4" max="4" width="10.5" style="3" customWidth="1" collapsed="1"/>
    <col min="5" max="5" width="15.25" style="3" customWidth="1"/>
    <col min="6" max="6" width="6.25" style="16" customWidth="1"/>
    <col min="7" max="7" width="8.625" style="17" hidden="1" customWidth="1" outlineLevel="1"/>
    <col min="8" max="8" width="11.125" style="51" hidden="1" customWidth="1" outlineLevel="1"/>
    <col min="9" max="9" width="10.25" style="21" customWidth="1" collapsed="1"/>
    <col min="10" max="10" width="10" style="21" customWidth="1"/>
    <col min="11" max="11" width="8.375" style="22" hidden="1" customWidth="1" outlineLevel="1"/>
    <col min="12" max="12" width="8.375" style="22" customWidth="1" collapsed="1"/>
    <col min="13" max="13" width="10.5" style="22" customWidth="1"/>
    <col min="14" max="14" width="8.75" style="22" customWidth="1"/>
    <col min="15" max="15" width="18.125" style="28" customWidth="1"/>
    <col min="16" max="17" width="9" style="9"/>
    <col min="18" max="18" width="2.5" style="9" bestFit="1" customWidth="1"/>
    <col min="19" max="19" width="9" style="9"/>
    <col min="20" max="20" width="3" customWidth="1"/>
    <col min="21" max="21" width="7.5" customWidth="1"/>
  </cols>
  <sheetData>
    <row r="1" spans="1:21" s="4" customFormat="1" ht="28.5" thickBot="1">
      <c r="C1" s="5"/>
      <c r="D1" s="6"/>
      <c r="E1" s="6"/>
      <c r="F1" s="10"/>
      <c r="G1" s="11"/>
      <c r="H1" s="12"/>
      <c r="I1" s="13" t="str">
        <f>B7</f>
        <v>LZ</v>
      </c>
      <c r="J1" s="46" t="s">
        <v>29</v>
      </c>
      <c r="K1" s="14"/>
      <c r="L1" s="14"/>
      <c r="M1" s="14"/>
      <c r="N1" s="14"/>
      <c r="O1" s="27"/>
      <c r="P1" s="19"/>
      <c r="Q1" s="19"/>
      <c r="R1" s="19"/>
      <c r="S1" s="19"/>
    </row>
    <row r="2" spans="1:21">
      <c r="D2" s="133" t="s">
        <v>28</v>
      </c>
      <c r="E2" s="29"/>
      <c r="F2" s="79"/>
      <c r="G2" s="80"/>
      <c r="H2" s="80"/>
      <c r="I2" s="81"/>
      <c r="J2" s="81" t="s">
        <v>34</v>
      </c>
      <c r="K2" s="82"/>
      <c r="L2" s="83" t="s">
        <v>20</v>
      </c>
      <c r="M2" s="84" t="s">
        <v>17</v>
      </c>
      <c r="N2" s="84" t="s">
        <v>18</v>
      </c>
      <c r="O2" s="85" t="s">
        <v>27</v>
      </c>
    </row>
    <row r="3" spans="1:21" ht="17.25" thickBot="1">
      <c r="D3" s="24"/>
      <c r="E3" s="30"/>
      <c r="F3" s="25"/>
      <c r="G3" s="26"/>
      <c r="H3" s="26"/>
      <c r="I3" s="88"/>
      <c r="J3" s="54">
        <f>D5+E5</f>
        <v>5.0000000000000711E-2</v>
      </c>
      <c r="K3" s="53">
        <f>SUM(K15:K41)</f>
        <v>4.1333333333333346</v>
      </c>
      <c r="L3" s="53">
        <v>0.05</v>
      </c>
      <c r="M3" s="53">
        <f>M6-L3</f>
        <v>4.8500000000000014</v>
      </c>
      <c r="N3" s="53">
        <f>N6</f>
        <v>0</v>
      </c>
      <c r="O3" s="50"/>
    </row>
    <row r="4" spans="1:21">
      <c r="D4" s="134" t="s">
        <v>45</v>
      </c>
      <c r="E4" s="69" t="s">
        <v>44</v>
      </c>
      <c r="F4" s="69" t="s">
        <v>46</v>
      </c>
      <c r="G4" s="70"/>
      <c r="H4" s="70"/>
      <c r="I4" s="71" t="s">
        <v>33</v>
      </c>
      <c r="J4" s="71" t="s">
        <v>25</v>
      </c>
      <c r="K4" s="71"/>
      <c r="L4" s="71" t="s">
        <v>12</v>
      </c>
      <c r="M4" s="71" t="s">
        <v>12</v>
      </c>
      <c r="N4" s="71" t="s">
        <v>12</v>
      </c>
      <c r="O4" s="39"/>
      <c r="Q4" s="15" t="s">
        <v>23</v>
      </c>
      <c r="R4" s="9" t="s">
        <v>30</v>
      </c>
      <c r="S4" s="15" t="s">
        <v>25</v>
      </c>
      <c r="T4" s="48" t="s">
        <v>31</v>
      </c>
      <c r="U4" s="49">
        <f>I6+J6</f>
        <v>59</v>
      </c>
    </row>
    <row r="5" spans="1:21">
      <c r="D5" s="162">
        <f>J27</f>
        <v>5.0000000000000711E-2</v>
      </c>
      <c r="E5" s="150">
        <v>0</v>
      </c>
      <c r="F5" s="86">
        <v>0</v>
      </c>
      <c r="G5" s="72"/>
      <c r="H5" s="72"/>
      <c r="I5" s="73" t="s">
        <v>47</v>
      </c>
      <c r="J5" s="73" t="s">
        <v>47</v>
      </c>
      <c r="K5" s="73" t="s">
        <v>16</v>
      </c>
      <c r="L5" s="73" t="s">
        <v>20</v>
      </c>
      <c r="M5" s="73" t="s">
        <v>17</v>
      </c>
      <c r="N5" s="73" t="s">
        <v>18</v>
      </c>
      <c r="O5" s="41"/>
      <c r="Q5" s="9" t="s">
        <v>40</v>
      </c>
      <c r="S5" s="57">
        <f>(L6+M6+N6)/160</f>
        <v>3.0625000000000006E-2</v>
      </c>
    </row>
    <row r="6" spans="1:21" ht="17.25" thickBot="1">
      <c r="A6" t="s">
        <v>0</v>
      </c>
      <c r="B6" t="s">
        <v>1</v>
      </c>
      <c r="C6" s="3" t="s">
        <v>2</v>
      </c>
      <c r="D6" s="74" t="s">
        <v>3</v>
      </c>
      <c r="E6" s="75" t="s">
        <v>4</v>
      </c>
      <c r="F6" s="76"/>
      <c r="G6" s="77"/>
      <c r="H6" s="75" t="s">
        <v>22</v>
      </c>
      <c r="I6" s="78">
        <f>SUM(I7:I36)</f>
        <v>58.95</v>
      </c>
      <c r="J6" s="78">
        <f t="shared" ref="J6:N6" si="0">SUM(J7:J36)</f>
        <v>5.0000000000000711E-2</v>
      </c>
      <c r="K6" s="78">
        <f t="shared" si="0"/>
        <v>4.9000000000000012</v>
      </c>
      <c r="L6" s="78">
        <f t="shared" si="0"/>
        <v>0</v>
      </c>
      <c r="M6" s="78">
        <f t="shared" si="0"/>
        <v>4.9000000000000012</v>
      </c>
      <c r="N6" s="78">
        <f t="shared" si="0"/>
        <v>0</v>
      </c>
      <c r="O6" s="45"/>
      <c r="Q6" s="47"/>
    </row>
    <row r="7" spans="1:21" s="137" customFormat="1">
      <c r="A7" s="152">
        <v>2100</v>
      </c>
      <c r="B7" s="152" t="s">
        <v>59</v>
      </c>
      <c r="C7" s="152" t="s">
        <v>13</v>
      </c>
      <c r="D7" s="153" t="s">
        <v>6</v>
      </c>
      <c r="E7" s="154">
        <v>42738.365381944444</v>
      </c>
      <c r="F7" s="89">
        <f t="shared" ref="F7:F36" si="1">E7</f>
        <v>42738.365381944444</v>
      </c>
      <c r="G7" s="32" t="str">
        <f t="shared" ref="G7" si="2">HOUR(E7)&amp;":"&amp;MINUTE(E7)</f>
        <v>8:46</v>
      </c>
      <c r="H7" s="33">
        <f t="shared" ref="H7" si="3">IF(D7="上班",(G8-G7)*24,"-")</f>
        <v>9.8666666666666671</v>
      </c>
      <c r="I7" s="92">
        <f t="shared" ref="I7:I8" si="4">IF(D7="上班",IF(H7-1.5&gt;8,8,H7-1.5),"-")</f>
        <v>8</v>
      </c>
      <c r="J7" s="92" t="str">
        <f t="shared" ref="J7:J8" si="5">IF(I7&lt;8,8-I7,"-")</f>
        <v>-</v>
      </c>
      <c r="K7" s="93">
        <f t="shared" ref="K7:K8" si="6">IF(D7="加班",(G8-G7)*24,0)</f>
        <v>0</v>
      </c>
      <c r="L7" s="93"/>
      <c r="M7" s="94">
        <f t="shared" ref="M7:M8" si="7">IF(K7&gt;2,2,K7)</f>
        <v>0</v>
      </c>
      <c r="N7" s="94">
        <f t="shared" ref="N7:N8" si="8">IF(K7&gt;2,K7-2,0)</f>
        <v>0</v>
      </c>
      <c r="O7" s="20"/>
    </row>
    <row r="8" spans="1:21" s="137" customFormat="1">
      <c r="A8" s="152">
        <v>2108</v>
      </c>
      <c r="B8" s="152" t="s">
        <v>13</v>
      </c>
      <c r="C8" s="152" t="s">
        <v>13</v>
      </c>
      <c r="D8" s="155" t="s">
        <v>5</v>
      </c>
      <c r="E8" s="156">
        <v>42738.776435185187</v>
      </c>
      <c r="F8" s="89">
        <f t="shared" si="1"/>
        <v>42738.776435185187</v>
      </c>
      <c r="G8" s="90" t="str">
        <f t="shared" ref="G8:G34" si="9">HOUR(E8)&amp;":"&amp;MINUTE(E8)</f>
        <v>18:38</v>
      </c>
      <c r="H8" s="91" t="str">
        <f t="shared" ref="H8:H33" si="10">IF(D8="上班",(G9-G8)*24,"-")</f>
        <v>-</v>
      </c>
      <c r="I8" s="92" t="str">
        <f t="shared" si="4"/>
        <v>-</v>
      </c>
      <c r="J8" s="92" t="str">
        <f t="shared" si="5"/>
        <v>-</v>
      </c>
      <c r="K8" s="93">
        <f t="shared" si="6"/>
        <v>0</v>
      </c>
      <c r="L8" s="93"/>
      <c r="M8" s="94">
        <f t="shared" si="7"/>
        <v>0</v>
      </c>
      <c r="N8" s="94">
        <f t="shared" si="8"/>
        <v>0</v>
      </c>
      <c r="O8" s="20"/>
    </row>
    <row r="9" spans="1:21">
      <c r="A9" s="152">
        <v>2112</v>
      </c>
      <c r="B9" s="152" t="s">
        <v>13</v>
      </c>
      <c r="C9" s="152" t="s">
        <v>13</v>
      </c>
      <c r="D9" s="155" t="s">
        <v>6</v>
      </c>
      <c r="E9" s="156">
        <v>42739.358425925922</v>
      </c>
      <c r="F9" s="89">
        <f t="shared" si="1"/>
        <v>42739.358425925922</v>
      </c>
      <c r="G9" s="90" t="str">
        <f t="shared" si="9"/>
        <v>8:36</v>
      </c>
      <c r="H9" s="91">
        <f t="shared" si="10"/>
        <v>10.066666666666666</v>
      </c>
      <c r="I9" s="92">
        <f t="shared" ref="I9:I10" si="11">IF(D9="上班",IF(H9-1.5&gt;8,8,H9-1.5),"-")</f>
        <v>8</v>
      </c>
      <c r="J9" s="92" t="str">
        <f t="shared" ref="J9:J10" si="12">IF(I9&lt;8,8-I9,"-")</f>
        <v>-</v>
      </c>
      <c r="K9" s="93">
        <f t="shared" ref="K9:K10" si="13">IF(D9="加班",(G10-G9)*24,0)</f>
        <v>0</v>
      </c>
      <c r="L9" s="93"/>
      <c r="M9" s="94">
        <f t="shared" ref="M9:M10" si="14">IF(K9&gt;2,2,K9)</f>
        <v>0</v>
      </c>
      <c r="N9" s="94">
        <f t="shared" ref="N9:N10" si="15">IF(K9&gt;2,K9-2,0)</f>
        <v>0</v>
      </c>
      <c r="O9" s="20"/>
    </row>
    <row r="10" spans="1:21">
      <c r="A10" s="152">
        <v>2122</v>
      </c>
      <c r="B10" s="152" t="s">
        <v>13</v>
      </c>
      <c r="C10" s="152" t="s">
        <v>13</v>
      </c>
      <c r="D10" s="155" t="s">
        <v>5</v>
      </c>
      <c r="E10" s="156">
        <v>42739.777812499997</v>
      </c>
      <c r="F10" s="89">
        <f t="shared" si="1"/>
        <v>42739.777812499997</v>
      </c>
      <c r="G10" s="90" t="str">
        <f t="shared" si="9"/>
        <v>18:40</v>
      </c>
      <c r="H10" s="91" t="str">
        <f t="shared" si="10"/>
        <v>-</v>
      </c>
      <c r="I10" s="92" t="str">
        <f t="shared" si="11"/>
        <v>-</v>
      </c>
      <c r="J10" s="92" t="str">
        <f t="shared" si="12"/>
        <v>-</v>
      </c>
      <c r="K10" s="93">
        <f t="shared" si="13"/>
        <v>0</v>
      </c>
      <c r="L10" s="93"/>
      <c r="M10" s="94">
        <f t="shared" si="14"/>
        <v>0</v>
      </c>
      <c r="N10" s="94">
        <f t="shared" si="15"/>
        <v>0</v>
      </c>
      <c r="O10" s="20"/>
    </row>
    <row r="11" spans="1:21" s="16" customFormat="1">
      <c r="A11" s="152">
        <v>2123</v>
      </c>
      <c r="B11" s="152" t="s">
        <v>13</v>
      </c>
      <c r="C11" s="152" t="s">
        <v>13</v>
      </c>
      <c r="D11" s="155" t="s">
        <v>7</v>
      </c>
      <c r="E11" s="156">
        <v>42739.77784722222</v>
      </c>
      <c r="F11" s="89">
        <f t="shared" si="1"/>
        <v>42739.77784722222</v>
      </c>
      <c r="G11" s="32" t="str">
        <f t="shared" si="9"/>
        <v>18:40</v>
      </c>
      <c r="H11" s="33" t="str">
        <f t="shared" si="10"/>
        <v>-</v>
      </c>
      <c r="I11" s="92" t="str">
        <f t="shared" ref="I11:I36" si="16">IF(D11="上班",IF(H11-1.5&gt;8,8,H11-1.5),"-")</f>
        <v>-</v>
      </c>
      <c r="J11" s="92" t="str">
        <f t="shared" ref="J11:J36" si="17">IF(I11&lt;8,8-I11,"-")</f>
        <v>-</v>
      </c>
      <c r="K11" s="93">
        <f t="shared" ref="K11:K36" si="18">IF(D11="加班",(G12-G11)*24,0)</f>
        <v>0.76666666666666661</v>
      </c>
      <c r="L11" s="93"/>
      <c r="M11" s="94">
        <f t="shared" ref="M11:M36" si="19">IF(K11&gt;2,2,K11)</f>
        <v>0.76666666666666661</v>
      </c>
      <c r="N11" s="94">
        <f t="shared" ref="N11:N36" si="20">IF(K11&gt;2,K11-2,0)</f>
        <v>0</v>
      </c>
      <c r="O11" s="20"/>
      <c r="P11" s="137"/>
      <c r="Q11" s="137"/>
      <c r="R11" s="137"/>
      <c r="S11" s="137"/>
    </row>
    <row r="12" spans="1:21" s="16" customFormat="1">
      <c r="A12" s="152">
        <v>2124</v>
      </c>
      <c r="B12" s="152" t="s">
        <v>13</v>
      </c>
      <c r="C12" s="152" t="s">
        <v>13</v>
      </c>
      <c r="D12" s="155" t="s">
        <v>8</v>
      </c>
      <c r="E12" s="156">
        <v>42739.809872685182</v>
      </c>
      <c r="F12" s="89">
        <f t="shared" si="1"/>
        <v>42739.809872685182</v>
      </c>
      <c r="G12" s="32" t="str">
        <f t="shared" si="9"/>
        <v>19:26</v>
      </c>
      <c r="H12" s="33" t="str">
        <f t="shared" si="10"/>
        <v>-</v>
      </c>
      <c r="I12" s="92" t="str">
        <f t="shared" si="16"/>
        <v>-</v>
      </c>
      <c r="J12" s="92" t="str">
        <f t="shared" si="17"/>
        <v>-</v>
      </c>
      <c r="K12" s="93">
        <f t="shared" si="18"/>
        <v>0</v>
      </c>
      <c r="L12" s="93"/>
      <c r="M12" s="94">
        <f t="shared" si="19"/>
        <v>0</v>
      </c>
      <c r="N12" s="94">
        <f t="shared" si="20"/>
        <v>0</v>
      </c>
      <c r="O12" s="20"/>
      <c r="P12" s="137"/>
      <c r="Q12" s="137"/>
      <c r="R12" s="137"/>
      <c r="S12" s="137"/>
    </row>
    <row r="13" spans="1:21">
      <c r="A13" s="152">
        <v>2131</v>
      </c>
      <c r="B13" s="152" t="s">
        <v>13</v>
      </c>
      <c r="C13" s="152" t="s">
        <v>13</v>
      </c>
      <c r="D13" s="155" t="s">
        <v>6</v>
      </c>
      <c r="E13" s="156">
        <v>42740.368576388886</v>
      </c>
      <c r="F13" s="89">
        <f t="shared" si="1"/>
        <v>42740.368576388886</v>
      </c>
      <c r="G13" s="90" t="str">
        <f t="shared" si="9"/>
        <v>8:50</v>
      </c>
      <c r="H13" s="91">
        <f t="shared" si="10"/>
        <v>9.6666666666666679</v>
      </c>
      <c r="I13" s="92">
        <f t="shared" si="16"/>
        <v>8</v>
      </c>
      <c r="J13" s="92" t="str">
        <f t="shared" si="17"/>
        <v>-</v>
      </c>
      <c r="K13" s="93">
        <f t="shared" si="18"/>
        <v>0</v>
      </c>
      <c r="L13" s="93"/>
      <c r="M13" s="94">
        <f t="shared" si="19"/>
        <v>0</v>
      </c>
      <c r="N13" s="94">
        <f t="shared" si="20"/>
        <v>0</v>
      </c>
      <c r="O13" s="20"/>
    </row>
    <row r="14" spans="1:21">
      <c r="A14" s="152">
        <v>2136</v>
      </c>
      <c r="B14" s="152" t="s">
        <v>13</v>
      </c>
      <c r="C14" s="152" t="s">
        <v>13</v>
      </c>
      <c r="D14" s="155" t="s">
        <v>5</v>
      </c>
      <c r="E14" s="156">
        <v>42740.770972222221</v>
      </c>
      <c r="F14" s="89">
        <f t="shared" si="1"/>
        <v>42740.770972222221</v>
      </c>
      <c r="G14" s="90" t="str">
        <f t="shared" si="9"/>
        <v>18:30</v>
      </c>
      <c r="H14" s="91" t="str">
        <f t="shared" si="10"/>
        <v>-</v>
      </c>
      <c r="I14" s="92" t="str">
        <f t="shared" si="16"/>
        <v>-</v>
      </c>
      <c r="J14" s="92" t="str">
        <f t="shared" si="17"/>
        <v>-</v>
      </c>
      <c r="K14" s="93">
        <f t="shared" si="18"/>
        <v>0</v>
      </c>
      <c r="L14" s="93"/>
      <c r="M14" s="94">
        <f t="shared" si="19"/>
        <v>0</v>
      </c>
      <c r="N14" s="94">
        <f t="shared" si="20"/>
        <v>0</v>
      </c>
      <c r="O14" s="20"/>
    </row>
    <row r="15" spans="1:21" s="2" customFormat="1">
      <c r="A15" s="152">
        <v>2137</v>
      </c>
      <c r="B15" s="152" t="s">
        <v>13</v>
      </c>
      <c r="C15" s="152" t="s">
        <v>13</v>
      </c>
      <c r="D15" s="155" t="s">
        <v>7</v>
      </c>
      <c r="E15" s="156">
        <v>42740.771006944444</v>
      </c>
      <c r="F15" s="89">
        <f t="shared" si="1"/>
        <v>42740.771006944444</v>
      </c>
      <c r="G15" s="90" t="str">
        <f t="shared" si="9"/>
        <v>18:30</v>
      </c>
      <c r="H15" s="91" t="str">
        <f t="shared" si="10"/>
        <v>-</v>
      </c>
      <c r="I15" s="92" t="str">
        <f t="shared" si="16"/>
        <v>-</v>
      </c>
      <c r="J15" s="92" t="str">
        <f t="shared" si="17"/>
        <v>-</v>
      </c>
      <c r="K15" s="93">
        <f t="shared" si="18"/>
        <v>0.16666666666666607</v>
      </c>
      <c r="L15" s="93"/>
      <c r="M15" s="94">
        <f t="shared" si="19"/>
        <v>0.16666666666666607</v>
      </c>
      <c r="N15" s="94">
        <f t="shared" si="20"/>
        <v>0</v>
      </c>
      <c r="O15" s="20"/>
      <c r="P15" s="8"/>
      <c r="Q15" s="8"/>
      <c r="R15" s="8"/>
      <c r="S15" s="8"/>
    </row>
    <row r="16" spans="1:21">
      <c r="A16" s="152">
        <v>2143</v>
      </c>
      <c r="B16" s="152" t="s">
        <v>13</v>
      </c>
      <c r="C16" s="152" t="s">
        <v>13</v>
      </c>
      <c r="D16" s="155" t="s">
        <v>8</v>
      </c>
      <c r="E16" s="156">
        <v>42740.777824074074</v>
      </c>
      <c r="F16" s="89">
        <f t="shared" si="1"/>
        <v>42740.777824074074</v>
      </c>
      <c r="G16" s="90" t="str">
        <f t="shared" si="9"/>
        <v>18:40</v>
      </c>
      <c r="H16" s="91" t="str">
        <f t="shared" si="10"/>
        <v>-</v>
      </c>
      <c r="I16" s="92" t="str">
        <f t="shared" si="16"/>
        <v>-</v>
      </c>
      <c r="J16" s="92" t="str">
        <f t="shared" si="17"/>
        <v>-</v>
      </c>
      <c r="K16" s="93">
        <f t="shared" si="18"/>
        <v>0</v>
      </c>
      <c r="L16" s="93"/>
      <c r="M16" s="94">
        <f t="shared" si="19"/>
        <v>0</v>
      </c>
      <c r="N16" s="94">
        <f t="shared" si="20"/>
        <v>0</v>
      </c>
      <c r="O16" s="20"/>
    </row>
    <row r="17" spans="1:19">
      <c r="A17" s="152">
        <v>2150</v>
      </c>
      <c r="B17" s="152" t="s">
        <v>13</v>
      </c>
      <c r="C17" s="152" t="s">
        <v>13</v>
      </c>
      <c r="D17" s="155" t="s">
        <v>6</v>
      </c>
      <c r="E17" s="156">
        <v>42741.36550925926</v>
      </c>
      <c r="F17" s="89">
        <f t="shared" si="1"/>
        <v>42741.36550925926</v>
      </c>
      <c r="G17" s="90" t="str">
        <f t="shared" si="9"/>
        <v>8:46</v>
      </c>
      <c r="H17" s="91">
        <f t="shared" si="10"/>
        <v>9.7333333333333343</v>
      </c>
      <c r="I17" s="92">
        <f t="shared" si="16"/>
        <v>8</v>
      </c>
      <c r="J17" s="92" t="str">
        <f t="shared" si="17"/>
        <v>-</v>
      </c>
      <c r="K17" s="93">
        <f t="shared" si="18"/>
        <v>0</v>
      </c>
      <c r="L17" s="93"/>
      <c r="M17" s="94">
        <f t="shared" si="19"/>
        <v>0</v>
      </c>
      <c r="N17" s="94">
        <f t="shared" si="20"/>
        <v>0</v>
      </c>
      <c r="O17" s="20"/>
    </row>
    <row r="18" spans="1:19" s="16" customFormat="1">
      <c r="A18" s="157">
        <v>2136</v>
      </c>
      <c r="B18" s="157" t="s">
        <v>13</v>
      </c>
      <c r="C18" s="157" t="s">
        <v>13</v>
      </c>
      <c r="D18" s="160" t="s">
        <v>5</v>
      </c>
      <c r="E18" s="158">
        <v>42741.770833333336</v>
      </c>
      <c r="F18" s="31">
        <f t="shared" si="1"/>
        <v>42741.770833333336</v>
      </c>
      <c r="G18" s="32" t="str">
        <f t="shared" si="9"/>
        <v>18:30</v>
      </c>
      <c r="H18" s="33" t="str">
        <f t="shared" si="10"/>
        <v>-</v>
      </c>
      <c r="I18" s="58" t="str">
        <f t="shared" si="16"/>
        <v>-</v>
      </c>
      <c r="J18" s="58" t="str">
        <f t="shared" si="17"/>
        <v>-</v>
      </c>
      <c r="K18" s="34">
        <f t="shared" si="18"/>
        <v>0</v>
      </c>
      <c r="L18" s="34"/>
      <c r="M18" s="35">
        <f t="shared" si="19"/>
        <v>0</v>
      </c>
      <c r="N18" s="35">
        <f t="shared" si="20"/>
        <v>0</v>
      </c>
      <c r="O18" s="20"/>
      <c r="P18" s="137"/>
      <c r="Q18" s="137"/>
      <c r="R18" s="137"/>
      <c r="S18" s="137"/>
    </row>
    <row r="19" spans="1:19" s="16" customFormat="1">
      <c r="A19" s="157">
        <v>2137</v>
      </c>
      <c r="B19" s="157" t="s">
        <v>13</v>
      </c>
      <c r="C19" s="159" t="s">
        <v>13</v>
      </c>
      <c r="D19" s="160" t="s">
        <v>7</v>
      </c>
      <c r="E19" s="158">
        <v>42741.771006944444</v>
      </c>
      <c r="F19" s="31">
        <f t="shared" si="1"/>
        <v>42741.771006944444</v>
      </c>
      <c r="G19" s="32" t="str">
        <f t="shared" si="9"/>
        <v>18:30</v>
      </c>
      <c r="H19" s="33" t="str">
        <f t="shared" si="10"/>
        <v>-</v>
      </c>
      <c r="I19" s="58" t="str">
        <f t="shared" si="16"/>
        <v>-</v>
      </c>
      <c r="J19" s="58" t="str">
        <f t="shared" si="17"/>
        <v>-</v>
      </c>
      <c r="K19" s="34">
        <f t="shared" si="18"/>
        <v>0.5333333333333341</v>
      </c>
      <c r="L19" s="34"/>
      <c r="M19" s="35">
        <f t="shared" si="19"/>
        <v>0.5333333333333341</v>
      </c>
      <c r="N19" s="35">
        <f t="shared" si="20"/>
        <v>0</v>
      </c>
      <c r="O19" s="20"/>
      <c r="P19" s="137"/>
      <c r="Q19" s="137"/>
      <c r="R19" s="137"/>
      <c r="S19" s="137"/>
    </row>
    <row r="20" spans="1:19">
      <c r="A20" s="152">
        <v>2158</v>
      </c>
      <c r="B20" s="152" t="s">
        <v>13</v>
      </c>
      <c r="C20" s="152" t="s">
        <v>13</v>
      </c>
      <c r="D20" s="155" t="s">
        <v>8</v>
      </c>
      <c r="E20" s="156">
        <v>42741.793240740742</v>
      </c>
      <c r="F20" s="89">
        <f t="shared" si="1"/>
        <v>42741.793240740742</v>
      </c>
      <c r="G20" s="90" t="str">
        <f t="shared" si="9"/>
        <v>19:2</v>
      </c>
      <c r="H20" s="91" t="str">
        <f t="shared" si="10"/>
        <v>-</v>
      </c>
      <c r="I20" s="92" t="str">
        <f t="shared" si="16"/>
        <v>-</v>
      </c>
      <c r="J20" s="92" t="str">
        <f t="shared" si="17"/>
        <v>-</v>
      </c>
      <c r="K20" s="93">
        <f t="shared" si="18"/>
        <v>0</v>
      </c>
      <c r="L20" s="93"/>
      <c r="M20" s="94">
        <f t="shared" si="19"/>
        <v>0</v>
      </c>
      <c r="N20" s="94">
        <f t="shared" si="20"/>
        <v>0</v>
      </c>
      <c r="O20" s="20"/>
    </row>
    <row r="21" spans="1:19">
      <c r="A21" s="152">
        <v>2164</v>
      </c>
      <c r="B21" s="152" t="s">
        <v>13</v>
      </c>
      <c r="C21" s="152" t="s">
        <v>13</v>
      </c>
      <c r="D21" s="155" t="s">
        <v>6</v>
      </c>
      <c r="E21" s="156">
        <v>42744.361875000002</v>
      </c>
      <c r="F21" s="89">
        <f t="shared" si="1"/>
        <v>42744.361875000002</v>
      </c>
      <c r="G21" s="90" t="str">
        <f t="shared" si="9"/>
        <v>8:41</v>
      </c>
      <c r="H21" s="91">
        <f t="shared" si="10"/>
        <v>9.8333333333333321</v>
      </c>
      <c r="I21" s="92">
        <f t="shared" si="16"/>
        <v>8</v>
      </c>
      <c r="J21" s="92" t="str">
        <f t="shared" si="17"/>
        <v>-</v>
      </c>
      <c r="K21" s="93">
        <f t="shared" si="18"/>
        <v>0</v>
      </c>
      <c r="L21" s="93"/>
      <c r="M21" s="94">
        <f t="shared" si="19"/>
        <v>0</v>
      </c>
      <c r="N21" s="94">
        <f t="shared" si="20"/>
        <v>0</v>
      </c>
      <c r="O21" s="20"/>
    </row>
    <row r="22" spans="1:19">
      <c r="A22" s="152">
        <v>2171</v>
      </c>
      <c r="B22" s="152" t="s">
        <v>13</v>
      </c>
      <c r="C22" s="152" t="s">
        <v>13</v>
      </c>
      <c r="D22" s="155" t="s">
        <v>5</v>
      </c>
      <c r="E22" s="156">
        <v>42744.771631944444</v>
      </c>
      <c r="F22" s="89">
        <f t="shared" si="1"/>
        <v>42744.771631944444</v>
      </c>
      <c r="G22" s="90" t="str">
        <f t="shared" si="9"/>
        <v>18:31</v>
      </c>
      <c r="H22" s="91" t="str">
        <f t="shared" si="10"/>
        <v>-</v>
      </c>
      <c r="I22" s="92" t="str">
        <f t="shared" si="16"/>
        <v>-</v>
      </c>
      <c r="J22" s="92" t="str">
        <f t="shared" si="17"/>
        <v>-</v>
      </c>
      <c r="K22" s="93">
        <f t="shared" si="18"/>
        <v>0</v>
      </c>
      <c r="L22" s="93"/>
      <c r="M22" s="94">
        <f t="shared" si="19"/>
        <v>0</v>
      </c>
      <c r="N22" s="94">
        <f t="shared" si="20"/>
        <v>0</v>
      </c>
      <c r="O22" s="20"/>
    </row>
    <row r="23" spans="1:19" s="16" customFormat="1">
      <c r="A23" s="152">
        <v>2172</v>
      </c>
      <c r="B23" s="152" t="s">
        <v>13</v>
      </c>
      <c r="C23" s="152" t="s">
        <v>13</v>
      </c>
      <c r="D23" s="155" t="s">
        <v>7</v>
      </c>
      <c r="E23" s="156">
        <v>42744.771666666667</v>
      </c>
      <c r="F23" s="89">
        <f t="shared" si="1"/>
        <v>42744.771666666667</v>
      </c>
      <c r="G23" s="32" t="str">
        <f t="shared" si="9"/>
        <v>18:31</v>
      </c>
      <c r="H23" s="33" t="str">
        <f t="shared" si="10"/>
        <v>-</v>
      </c>
      <c r="I23" s="92" t="str">
        <f t="shared" si="16"/>
        <v>-</v>
      </c>
      <c r="J23" s="92" t="str">
        <f t="shared" si="17"/>
        <v>-</v>
      </c>
      <c r="K23" s="93">
        <f t="shared" si="18"/>
        <v>0.50000000000000089</v>
      </c>
      <c r="L23" s="93"/>
      <c r="M23" s="94">
        <f t="shared" si="19"/>
        <v>0.50000000000000089</v>
      </c>
      <c r="N23" s="94">
        <f t="shared" si="20"/>
        <v>0</v>
      </c>
      <c r="O23" s="20"/>
      <c r="P23" s="137"/>
      <c r="Q23" s="137"/>
      <c r="R23" s="137"/>
      <c r="S23" s="137"/>
    </row>
    <row r="24" spans="1:19" s="16" customFormat="1">
      <c r="A24" s="152">
        <v>2176</v>
      </c>
      <c r="B24" s="152" t="s">
        <v>13</v>
      </c>
      <c r="C24" s="152" t="s">
        <v>13</v>
      </c>
      <c r="D24" s="155" t="s">
        <v>8</v>
      </c>
      <c r="E24" s="161">
        <v>42744.792847222219</v>
      </c>
      <c r="F24" s="89">
        <f t="shared" si="1"/>
        <v>42744.792847222219</v>
      </c>
      <c r="G24" s="32" t="str">
        <f t="shared" si="9"/>
        <v>19:1</v>
      </c>
      <c r="H24" s="33" t="str">
        <f t="shared" si="10"/>
        <v>-</v>
      </c>
      <c r="I24" s="92" t="str">
        <f t="shared" si="16"/>
        <v>-</v>
      </c>
      <c r="J24" s="92" t="str">
        <f t="shared" si="17"/>
        <v>-</v>
      </c>
      <c r="K24" s="93">
        <f t="shared" si="18"/>
        <v>0</v>
      </c>
      <c r="L24" s="93"/>
      <c r="M24" s="94">
        <f t="shared" si="19"/>
        <v>0</v>
      </c>
      <c r="N24" s="94">
        <f t="shared" si="20"/>
        <v>0</v>
      </c>
      <c r="O24" s="20"/>
      <c r="P24" s="137"/>
      <c r="Q24" s="137"/>
      <c r="R24" s="137"/>
      <c r="S24" s="137"/>
    </row>
    <row r="25" spans="1:19">
      <c r="A25" s="152">
        <v>2181</v>
      </c>
      <c r="B25" s="152" t="s">
        <v>13</v>
      </c>
      <c r="C25" s="152" t="s">
        <v>13</v>
      </c>
      <c r="D25" s="155" t="s">
        <v>6</v>
      </c>
      <c r="E25" s="156">
        <v>42745.364907407406</v>
      </c>
      <c r="F25" s="89">
        <f t="shared" si="1"/>
        <v>42745.364907407406</v>
      </c>
      <c r="G25" s="90" t="str">
        <f t="shared" si="9"/>
        <v>8:45</v>
      </c>
      <c r="H25" s="91">
        <f t="shared" si="10"/>
        <v>3.2500000000000004</v>
      </c>
      <c r="I25" s="92">
        <f>IF(D25="上班",IF(H25-1.5&gt;8,8,H25-1.5),"-")+1.5</f>
        <v>3.2500000000000004</v>
      </c>
      <c r="J25" s="92"/>
      <c r="K25" s="93">
        <f t="shared" si="18"/>
        <v>0</v>
      </c>
      <c r="L25" s="93"/>
      <c r="M25" s="94">
        <f t="shared" si="19"/>
        <v>0</v>
      </c>
      <c r="N25" s="94">
        <f t="shared" si="20"/>
        <v>0</v>
      </c>
      <c r="O25" s="20"/>
    </row>
    <row r="26" spans="1:19" s="16" customFormat="1">
      <c r="A26" s="157">
        <v>2171</v>
      </c>
      <c r="B26" s="157" t="s">
        <v>13</v>
      </c>
      <c r="C26" s="157" t="s">
        <v>13</v>
      </c>
      <c r="D26" s="160" t="s">
        <v>5</v>
      </c>
      <c r="E26" s="158">
        <v>42745.5</v>
      </c>
      <c r="F26" s="31">
        <f t="shared" si="1"/>
        <v>42745.5</v>
      </c>
      <c r="G26" s="32" t="str">
        <f t="shared" si="9"/>
        <v>12:0</v>
      </c>
      <c r="H26" s="33" t="str">
        <f t="shared" si="10"/>
        <v>-</v>
      </c>
      <c r="I26" s="58" t="str">
        <f t="shared" si="16"/>
        <v>-</v>
      </c>
      <c r="J26" s="58" t="str">
        <f t="shared" si="17"/>
        <v>-</v>
      </c>
      <c r="K26" s="34">
        <f t="shared" si="18"/>
        <v>0</v>
      </c>
      <c r="L26" s="34"/>
      <c r="M26" s="35">
        <f t="shared" si="19"/>
        <v>0</v>
      </c>
      <c r="N26" s="35">
        <f t="shared" si="20"/>
        <v>0</v>
      </c>
      <c r="O26" s="20"/>
      <c r="P26" s="137"/>
      <c r="Q26" s="137"/>
      <c r="R26" s="137"/>
      <c r="S26" s="137"/>
    </row>
    <row r="27" spans="1:19" s="16" customFormat="1">
      <c r="A27" s="157">
        <v>2189</v>
      </c>
      <c r="B27" s="157" t="s">
        <v>13</v>
      </c>
      <c r="C27" s="157" t="s">
        <v>13</v>
      </c>
      <c r="D27" s="160" t="s">
        <v>51</v>
      </c>
      <c r="E27" s="158">
        <v>42745.574999999997</v>
      </c>
      <c r="F27" s="31">
        <f t="shared" si="1"/>
        <v>42745.574999999997</v>
      </c>
      <c r="G27" s="32" t="str">
        <f t="shared" si="9"/>
        <v>13:48</v>
      </c>
      <c r="H27" s="33">
        <f t="shared" si="10"/>
        <v>4.6999999999999993</v>
      </c>
      <c r="I27" s="58">
        <f>IF(D27="上班",IF(H27-1.5&gt;8,8,H27-1.5),"-")+1.5</f>
        <v>4.6999999999999993</v>
      </c>
      <c r="J27" s="58">
        <f>8-I25-I27</f>
        <v>5.0000000000000711E-2</v>
      </c>
      <c r="K27" s="34">
        <f t="shared" si="18"/>
        <v>0</v>
      </c>
      <c r="L27" s="34"/>
      <c r="M27" s="35">
        <f t="shared" si="19"/>
        <v>0</v>
      </c>
      <c r="N27" s="35">
        <f t="shared" si="20"/>
        <v>0</v>
      </c>
      <c r="O27" s="20" t="s">
        <v>61</v>
      </c>
      <c r="P27" s="137"/>
      <c r="Q27" s="137"/>
      <c r="R27" s="137"/>
      <c r="S27" s="137"/>
    </row>
    <row r="28" spans="1:19">
      <c r="A28" s="152">
        <v>2189</v>
      </c>
      <c r="B28" s="152" t="s">
        <v>13</v>
      </c>
      <c r="C28" s="152" t="s">
        <v>13</v>
      </c>
      <c r="D28" s="155" t="s">
        <v>5</v>
      </c>
      <c r="E28" s="156">
        <v>42745.771423611113</v>
      </c>
      <c r="F28" s="89">
        <f t="shared" si="1"/>
        <v>42745.771423611113</v>
      </c>
      <c r="G28" s="90" t="str">
        <f t="shared" si="9"/>
        <v>18:30</v>
      </c>
      <c r="H28" s="91" t="str">
        <f t="shared" si="10"/>
        <v>-</v>
      </c>
      <c r="I28" s="92" t="str">
        <f t="shared" si="16"/>
        <v>-</v>
      </c>
      <c r="J28" s="92" t="str">
        <f t="shared" si="17"/>
        <v>-</v>
      </c>
      <c r="K28" s="93">
        <f t="shared" si="18"/>
        <v>0</v>
      </c>
      <c r="L28" s="93"/>
      <c r="M28" s="94">
        <f t="shared" si="19"/>
        <v>0</v>
      </c>
      <c r="N28" s="94">
        <f t="shared" si="20"/>
        <v>0</v>
      </c>
      <c r="O28" s="20"/>
    </row>
    <row r="29" spans="1:19">
      <c r="A29" s="152">
        <v>2190</v>
      </c>
      <c r="B29" s="152" t="s">
        <v>13</v>
      </c>
      <c r="C29" s="152" t="s">
        <v>13</v>
      </c>
      <c r="D29" s="155" t="s">
        <v>7</v>
      </c>
      <c r="E29" s="156">
        <v>42745.771458333336</v>
      </c>
      <c r="F29" s="89">
        <f t="shared" si="1"/>
        <v>42745.771458333336</v>
      </c>
      <c r="G29" s="90" t="str">
        <f t="shared" si="9"/>
        <v>18:30</v>
      </c>
      <c r="H29" s="91" t="str">
        <f t="shared" si="10"/>
        <v>-</v>
      </c>
      <c r="I29" s="92" t="str">
        <f t="shared" si="16"/>
        <v>-</v>
      </c>
      <c r="J29" s="92" t="str">
        <f t="shared" si="17"/>
        <v>-</v>
      </c>
      <c r="K29" s="93">
        <f t="shared" si="18"/>
        <v>1.133333333333332</v>
      </c>
      <c r="L29" s="93"/>
      <c r="M29" s="94">
        <f t="shared" si="19"/>
        <v>1.133333333333332</v>
      </c>
      <c r="N29" s="94">
        <f t="shared" si="20"/>
        <v>0</v>
      </c>
      <c r="O29" s="20"/>
    </row>
    <row r="30" spans="1:19">
      <c r="A30" s="152">
        <v>2193</v>
      </c>
      <c r="B30" s="152" t="s">
        <v>13</v>
      </c>
      <c r="C30" s="152" t="s">
        <v>13</v>
      </c>
      <c r="D30" s="155" t="s">
        <v>8</v>
      </c>
      <c r="E30" s="156">
        <v>42745.818726851852</v>
      </c>
      <c r="F30" s="89">
        <f t="shared" si="1"/>
        <v>42745.818726851852</v>
      </c>
      <c r="G30" s="90" t="str">
        <f t="shared" si="9"/>
        <v>19:38</v>
      </c>
      <c r="H30" s="91" t="str">
        <f t="shared" si="10"/>
        <v>-</v>
      </c>
      <c r="I30" s="92" t="str">
        <f t="shared" si="16"/>
        <v>-</v>
      </c>
      <c r="J30" s="92" t="str">
        <f t="shared" si="17"/>
        <v>-</v>
      </c>
      <c r="K30" s="93">
        <f t="shared" si="18"/>
        <v>0</v>
      </c>
      <c r="L30" s="93"/>
      <c r="M30" s="94">
        <f t="shared" si="19"/>
        <v>0</v>
      </c>
      <c r="N30" s="94">
        <f t="shared" si="20"/>
        <v>0</v>
      </c>
      <c r="O30" s="20"/>
    </row>
    <row r="31" spans="1:19" s="137" customFormat="1">
      <c r="A31" s="152">
        <v>2199</v>
      </c>
      <c r="B31" s="152" t="s">
        <v>13</v>
      </c>
      <c r="C31" s="152" t="s">
        <v>13</v>
      </c>
      <c r="D31" s="155" t="s">
        <v>6</v>
      </c>
      <c r="E31" s="156">
        <v>42746.370474537034</v>
      </c>
      <c r="F31" s="89">
        <f t="shared" si="1"/>
        <v>42746.370474537034</v>
      </c>
      <c r="G31" s="32" t="str">
        <f t="shared" si="9"/>
        <v>8:53</v>
      </c>
      <c r="H31" s="33">
        <f t="shared" si="10"/>
        <v>9.6333333333333329</v>
      </c>
      <c r="I31" s="92">
        <f t="shared" si="16"/>
        <v>8</v>
      </c>
      <c r="J31" s="92" t="str">
        <f t="shared" si="17"/>
        <v>-</v>
      </c>
      <c r="K31" s="93">
        <f t="shared" si="18"/>
        <v>0</v>
      </c>
      <c r="L31" s="93"/>
      <c r="M31" s="94">
        <f t="shared" si="19"/>
        <v>0</v>
      </c>
      <c r="N31" s="94">
        <f t="shared" si="20"/>
        <v>0</v>
      </c>
      <c r="O31" s="20"/>
    </row>
    <row r="32" spans="1:19" s="137" customFormat="1">
      <c r="A32" s="152">
        <v>2206</v>
      </c>
      <c r="B32" s="152" t="s">
        <v>13</v>
      </c>
      <c r="C32" s="152" t="s">
        <v>13</v>
      </c>
      <c r="D32" s="155" t="s">
        <v>5</v>
      </c>
      <c r="E32" s="156">
        <v>42746.772118055553</v>
      </c>
      <c r="F32" s="89">
        <f t="shared" si="1"/>
        <v>42746.772118055553</v>
      </c>
      <c r="G32" s="32" t="str">
        <f t="shared" si="9"/>
        <v>18:31</v>
      </c>
      <c r="H32" s="33" t="str">
        <f t="shared" si="10"/>
        <v>-</v>
      </c>
      <c r="I32" s="92" t="str">
        <f t="shared" si="16"/>
        <v>-</v>
      </c>
      <c r="J32" s="92" t="str">
        <f t="shared" si="17"/>
        <v>-</v>
      </c>
      <c r="K32" s="93">
        <f t="shared" si="18"/>
        <v>0</v>
      </c>
      <c r="L32" s="93"/>
      <c r="M32" s="94">
        <f t="shared" si="19"/>
        <v>0</v>
      </c>
      <c r="N32" s="94">
        <f t="shared" si="20"/>
        <v>0</v>
      </c>
      <c r="O32" s="20"/>
    </row>
    <row r="33" spans="1:19" s="137" customFormat="1">
      <c r="A33" s="152">
        <v>2207</v>
      </c>
      <c r="B33" s="152" t="s">
        <v>13</v>
      </c>
      <c r="C33" s="152" t="s">
        <v>13</v>
      </c>
      <c r="D33" s="155" t="s">
        <v>7</v>
      </c>
      <c r="E33" s="156">
        <v>42746.772175925929</v>
      </c>
      <c r="F33" s="89">
        <f t="shared" si="1"/>
        <v>42746.772175925929</v>
      </c>
      <c r="G33" s="32" t="str">
        <f t="shared" si="9"/>
        <v>18:31</v>
      </c>
      <c r="H33" s="33" t="str">
        <f t="shared" si="10"/>
        <v>-</v>
      </c>
      <c r="I33" s="92" t="str">
        <f t="shared" si="16"/>
        <v>-</v>
      </c>
      <c r="J33" s="92" t="str">
        <f t="shared" si="17"/>
        <v>-</v>
      </c>
      <c r="K33" s="93">
        <f t="shared" si="18"/>
        <v>1.8000000000000016</v>
      </c>
      <c r="L33" s="93"/>
      <c r="M33" s="94">
        <f t="shared" si="19"/>
        <v>1.8000000000000016</v>
      </c>
      <c r="N33" s="94">
        <f t="shared" si="20"/>
        <v>0</v>
      </c>
      <c r="O33" s="20"/>
    </row>
    <row r="34" spans="1:19" s="137" customFormat="1">
      <c r="A34" s="152">
        <v>2211</v>
      </c>
      <c r="B34" s="152" t="s">
        <v>13</v>
      </c>
      <c r="C34" s="152" t="s">
        <v>13</v>
      </c>
      <c r="D34" s="155" t="s">
        <v>8</v>
      </c>
      <c r="E34" s="156">
        <v>42746.847118055557</v>
      </c>
      <c r="F34" s="89">
        <f t="shared" si="1"/>
        <v>42746.847118055557</v>
      </c>
      <c r="G34" s="32" t="str">
        <f t="shared" si="9"/>
        <v>20:19</v>
      </c>
      <c r="H34" s="33" t="str">
        <f>IF(D34="上班",(#REF!-G34)*24,"-")</f>
        <v>-</v>
      </c>
      <c r="I34" s="92" t="str">
        <f t="shared" si="16"/>
        <v>-</v>
      </c>
      <c r="J34" s="92" t="str">
        <f t="shared" si="17"/>
        <v>-</v>
      </c>
      <c r="K34" s="93">
        <f t="shared" si="18"/>
        <v>0</v>
      </c>
      <c r="L34" s="93"/>
      <c r="M34" s="94">
        <f t="shared" si="19"/>
        <v>0</v>
      </c>
      <c r="N34" s="94">
        <f t="shared" si="20"/>
        <v>0</v>
      </c>
      <c r="O34" s="20"/>
    </row>
    <row r="35" spans="1:19" s="137" customFormat="1">
      <c r="A35" s="152">
        <v>2199</v>
      </c>
      <c r="B35" s="152" t="s">
        <v>13</v>
      </c>
      <c r="C35" s="152" t="s">
        <v>13</v>
      </c>
      <c r="D35" s="163" t="s">
        <v>6</v>
      </c>
      <c r="E35" s="158">
        <v>42751.375</v>
      </c>
      <c r="F35" s="31">
        <f t="shared" si="1"/>
        <v>42751.375</v>
      </c>
      <c r="G35" s="32" t="str">
        <f t="shared" ref="G35:G36" si="21">HOUR(E35)&amp;":"&amp;MINUTE(E35)</f>
        <v>9:0</v>
      </c>
      <c r="H35" s="33">
        <f t="shared" ref="H35:H36" si="22">IF(D35="上班",(G36-G35)*24,"-")</f>
        <v>3</v>
      </c>
      <c r="I35" s="58">
        <f>IF(D35="上班",IF(H35-1.5&gt;8,8,H35-1.5),"-")+1.5</f>
        <v>3</v>
      </c>
      <c r="J35" s="58">
        <v>0</v>
      </c>
      <c r="K35" s="34">
        <f t="shared" si="18"/>
        <v>0</v>
      </c>
      <c r="L35" s="34"/>
      <c r="M35" s="35">
        <f t="shared" si="19"/>
        <v>0</v>
      </c>
      <c r="N35" s="35">
        <f t="shared" si="20"/>
        <v>0</v>
      </c>
      <c r="O35" s="20" t="s">
        <v>60</v>
      </c>
    </row>
    <row r="36" spans="1:19" s="137" customFormat="1">
      <c r="A36" s="152">
        <v>2206</v>
      </c>
      <c r="B36" s="152" t="s">
        <v>13</v>
      </c>
      <c r="C36" s="152" t="s">
        <v>13</v>
      </c>
      <c r="D36" s="163" t="s">
        <v>5</v>
      </c>
      <c r="E36" s="158">
        <v>42751.5</v>
      </c>
      <c r="F36" s="31">
        <f t="shared" si="1"/>
        <v>42751.5</v>
      </c>
      <c r="G36" s="32" t="str">
        <f t="shared" si="21"/>
        <v>12:0</v>
      </c>
      <c r="H36" s="33" t="str">
        <f t="shared" si="22"/>
        <v>-</v>
      </c>
      <c r="I36" s="58" t="str">
        <f t="shared" si="16"/>
        <v>-</v>
      </c>
      <c r="J36" s="58" t="str">
        <f t="shared" si="17"/>
        <v>-</v>
      </c>
      <c r="K36" s="34">
        <f t="shared" si="18"/>
        <v>0</v>
      </c>
      <c r="L36" s="34"/>
      <c r="M36" s="35">
        <f t="shared" si="19"/>
        <v>0</v>
      </c>
      <c r="N36" s="35">
        <f t="shared" si="20"/>
        <v>0</v>
      </c>
      <c r="O36" s="20"/>
    </row>
    <row r="37" spans="1:19">
      <c r="D37" s="9" t="s">
        <v>36</v>
      </c>
      <c r="E37" s="9"/>
      <c r="F37" s="55"/>
      <c r="G37" s="55"/>
      <c r="H37" s="9"/>
      <c r="I37" s="55"/>
      <c r="J37" s="9"/>
      <c r="K37" s="9"/>
      <c r="M37" s="56"/>
      <c r="N37" s="56"/>
    </row>
    <row r="38" spans="1:19">
      <c r="D38" s="9" t="s">
        <v>35</v>
      </c>
      <c r="E38"/>
      <c r="F38" s="3"/>
      <c r="G38"/>
      <c r="H38"/>
      <c r="I38"/>
      <c r="J38"/>
      <c r="K38"/>
    </row>
    <row r="39" spans="1:19" s="2" customFormat="1">
      <c r="C39" s="165"/>
      <c r="D39" s="8" t="s">
        <v>63</v>
      </c>
      <c r="E39" s="165"/>
      <c r="F39" s="63"/>
      <c r="G39" s="166"/>
      <c r="H39" s="167"/>
      <c r="I39" s="168"/>
      <c r="J39" s="168"/>
      <c r="K39" s="169"/>
      <c r="L39" s="169"/>
      <c r="M39" s="169"/>
      <c r="N39" s="169"/>
      <c r="O39" s="170"/>
      <c r="P39" s="8"/>
      <c r="Q39" s="8"/>
      <c r="R39" s="8"/>
      <c r="S39" s="8"/>
    </row>
  </sheetData>
  <phoneticPr fontId="18" type="noConversion"/>
  <pageMargins left="0.25" right="0.25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36</vt:i4>
      </vt:variant>
      <vt:variant>
        <vt:lpstr>具名範圍</vt:lpstr>
      </vt:variant>
      <vt:variant>
        <vt:i4>53</vt:i4>
      </vt:variant>
    </vt:vector>
  </HeadingPairs>
  <TitlesOfParts>
    <vt:vector size="89" baseType="lpstr">
      <vt:lpstr>Release Notes</vt:lpstr>
      <vt:lpstr>原始DATA</vt:lpstr>
      <vt:lpstr>修改後DATA</vt:lpstr>
      <vt:lpstr>VBA Output</vt:lpstr>
      <vt:lpstr>Jason</vt:lpstr>
      <vt:lpstr>Jessie</vt:lpstr>
      <vt:lpstr>Justin </vt:lpstr>
      <vt:lpstr>JW</vt:lpstr>
      <vt:lpstr>Kevin</vt:lpstr>
      <vt:lpstr>Lisa</vt:lpstr>
      <vt:lpstr>MY</vt:lpstr>
      <vt:lpstr>Nick</vt:lpstr>
      <vt:lpstr>Ruby</vt:lpstr>
      <vt:lpstr>WJ</vt:lpstr>
      <vt:lpstr>工作表1</vt:lpstr>
      <vt:lpstr>Paul </vt:lpstr>
      <vt:lpstr>Willy</vt:lpstr>
      <vt:lpstr>Scott</vt:lpstr>
      <vt:lpstr>未使用</vt:lpstr>
      <vt:lpstr>Danny</vt:lpstr>
      <vt:lpstr>Owen</vt:lpstr>
      <vt:lpstr>Lorah</vt:lpstr>
      <vt:lpstr>Amber</vt:lpstr>
      <vt:lpstr>An</vt:lpstr>
      <vt:lpstr>Leo</vt:lpstr>
      <vt:lpstr>Albert</vt:lpstr>
      <vt:lpstr>Denver</vt:lpstr>
      <vt:lpstr>Wilson</vt:lpstr>
      <vt:lpstr>統計</vt:lpstr>
      <vt:lpstr>Anne</vt:lpstr>
      <vt:lpstr>Yvonne</vt:lpstr>
      <vt:lpstr>B6</vt:lpstr>
      <vt:lpstr>TL</vt:lpstr>
      <vt:lpstr>吳悠 </vt:lpstr>
      <vt:lpstr>Sam</vt:lpstr>
      <vt:lpstr>LZ(done)</vt:lpstr>
      <vt:lpstr>Amber!Print_Area</vt:lpstr>
      <vt:lpstr>An!Print_Area</vt:lpstr>
      <vt:lpstr>Anne!Print_Area</vt:lpstr>
      <vt:lpstr>Danny!Print_Area</vt:lpstr>
      <vt:lpstr>Denver!Print_Area</vt:lpstr>
      <vt:lpstr>Jason!Print_Area</vt:lpstr>
      <vt:lpstr>Jessie!Print_Area</vt:lpstr>
      <vt:lpstr>'Justin '!Print_Area</vt:lpstr>
      <vt:lpstr>JW!Print_Area</vt:lpstr>
      <vt:lpstr>Kevin!Print_Area</vt:lpstr>
      <vt:lpstr>Leo!Print_Area</vt:lpstr>
      <vt:lpstr>Lisa!Print_Area</vt:lpstr>
      <vt:lpstr>Lorah!Print_Area</vt:lpstr>
      <vt:lpstr>MY!Print_Area</vt:lpstr>
      <vt:lpstr>Nick!Print_Area</vt:lpstr>
      <vt:lpstr>Owen!Print_Area</vt:lpstr>
      <vt:lpstr>'Paul '!Print_Area</vt:lpstr>
      <vt:lpstr>Ruby!Print_Area</vt:lpstr>
      <vt:lpstr>Sam!Print_Area</vt:lpstr>
      <vt:lpstr>Scott!Print_Area</vt:lpstr>
      <vt:lpstr>Willy!Print_Area</vt:lpstr>
      <vt:lpstr>Wilson!Print_Area</vt:lpstr>
      <vt:lpstr>WJ!Print_Area</vt:lpstr>
      <vt:lpstr>Yvonne!Print_Area</vt:lpstr>
      <vt:lpstr>Albert!Print_Titles</vt:lpstr>
      <vt:lpstr>Amber!Print_Titles</vt:lpstr>
      <vt:lpstr>An!Print_Titles</vt:lpstr>
      <vt:lpstr>Anne!Print_Titles</vt:lpstr>
      <vt:lpstr>B6!Print_Titles</vt:lpstr>
      <vt:lpstr>Danny!Print_Titles</vt:lpstr>
      <vt:lpstr>Denver!Print_Titles</vt:lpstr>
      <vt:lpstr>Jason!Print_Titles</vt:lpstr>
      <vt:lpstr>Jessie!Print_Titles</vt:lpstr>
      <vt:lpstr>'Justin '!Print_Titles</vt:lpstr>
      <vt:lpstr>JW!Print_Titles</vt:lpstr>
      <vt:lpstr>Kevin!Print_Titles</vt:lpstr>
      <vt:lpstr>Leo!Print_Titles</vt:lpstr>
      <vt:lpstr>Lisa!Print_Titles</vt:lpstr>
      <vt:lpstr>Lorah!Print_Titles</vt:lpstr>
      <vt:lpstr>'LZ(done)'!Print_Titles</vt:lpstr>
      <vt:lpstr>MY!Print_Titles</vt:lpstr>
      <vt:lpstr>Nick!Print_Titles</vt:lpstr>
      <vt:lpstr>Owen!Print_Titles</vt:lpstr>
      <vt:lpstr>'Paul '!Print_Titles</vt:lpstr>
      <vt:lpstr>Ruby!Print_Titles</vt:lpstr>
      <vt:lpstr>Sam!Print_Titles</vt:lpstr>
      <vt:lpstr>Scott!Print_Titles</vt:lpstr>
      <vt:lpstr>TL!Print_Titles</vt:lpstr>
      <vt:lpstr>Willy!Print_Titles</vt:lpstr>
      <vt:lpstr>Wilson!Print_Titles</vt:lpstr>
      <vt:lpstr>WJ!Print_Titles</vt:lpstr>
      <vt:lpstr>Yvonne!Print_Titles</vt:lpstr>
      <vt:lpstr>'吳悠 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MH</dc:creator>
  <cp:lastModifiedBy>ran</cp:lastModifiedBy>
  <cp:lastPrinted>2018-08-05T11:14:42Z</cp:lastPrinted>
  <dcterms:created xsi:type="dcterms:W3CDTF">2016-08-28T16:20:00Z</dcterms:created>
  <dcterms:modified xsi:type="dcterms:W3CDTF">2020-09-28T04:08:32Z</dcterms:modified>
</cp:coreProperties>
</file>