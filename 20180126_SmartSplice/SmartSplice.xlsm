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7C9DD1FD-DFF9-44AB-9A40-FB84E435BEF7}" xr6:coauthVersionLast="33" xr6:coauthVersionMax="33" xr10:uidLastSave="{00000000-0000-0000-0000-000000000000}"/>
  <bookViews>
    <workbookView xWindow="0" yWindow="465" windowWidth="28800" windowHeight="15945" tabRatio="500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Release Notes" sheetId="12" r:id="rId4"/>
    <sheet name="TEST" sheetId="11" r:id="rId5"/>
    <sheet name="Rebar Size" sheetId="7" r:id="rId6"/>
    <sheet name="基本伸展長度表 Ldb" sheetId="10" r:id="rId7"/>
  </sheets>
  <functionGroups builtInGroupCount="19"/>
  <calcPr calcId="179017" calcMode="manual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<sst xmlns="http://schemas.openxmlformats.org/spreadsheetml/2006/main" count="3812" uniqueCount="191">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</sst>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19"/>
  <sheetViews>
    <sheetView tabSelected="1" zoomScale="85" zoomScaleNormal="85" workbookViewId="0">
      <selection activeCell="K23" sqref="K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43284.608670486108</v>
      </c>
      <c r="C1" s="8"/>
      <c r="D1" s="9" t="s">
        <v>38</v>
      </c>
      <c r="E1" s="10" t="s">
        <v>39</v>
      </c>
      <c r="F1" s="10" t="s">
        <v>40</v>
      </c>
      <c r="G1" s="10" t="s">
        <v>41</v>
      </c>
      <c r="H1" s="32" t="s">
        <v>180</v>
      </c>
      <c r="J1" s="39" t="s">
        <v>42</v>
      </c>
      <c r="K1" s="40"/>
    </row>
    <row r="2" spans="1:13" ht="16.5" thickTop="1" x14ac:dyDescent="0.25">
      <c r="A2" s="7" t="s">
        <v>4</v>
      </c>
      <c r="D2" s="11" t="s">
        <v>91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43</v>
      </c>
    </row>
    <row r="3" spans="1:13" x14ac:dyDescent="0.25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5" t="s">
        <v>102</v>
      </c>
    </row>
    <row r="4" spans="1:13" x14ac:dyDescent="0.25">
      <c r="D4" s="11" t="s">
        <v>93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3" t="s">
        <v>181</v>
      </c>
    </row>
    <row r="5" spans="1:13" x14ac:dyDescent="0.25">
      <c r="D5" s="11" t="s">
        <v>94</v>
      </c>
      <c r="E5" s="12">
        <v>4200</v>
      </c>
      <c r="F5" s="12">
        <v>4200</v>
      </c>
      <c r="G5" s="12">
        <v>280</v>
      </c>
      <c r="H5" s="13">
        <v>4</v>
      </c>
      <c r="J5" s="17"/>
      <c r="K5" s="20"/>
      <c r="L5" s="17"/>
      <c r="M5" s="17"/>
    </row>
    <row r="6" spans="1:13" ht="16.5" thickBot="1" x14ac:dyDescent="0.3">
      <c r="D6" s="11" t="s">
        <v>95</v>
      </c>
      <c r="E6" s="12">
        <v>4200</v>
      </c>
      <c r="F6" s="12">
        <v>4200</v>
      </c>
      <c r="G6" s="12">
        <v>245</v>
      </c>
      <c r="H6" s="13">
        <v>4</v>
      </c>
      <c r="J6" s="41" t="s">
        <v>44</v>
      </c>
      <c r="K6" s="42"/>
    </row>
    <row r="7" spans="1:13" ht="16.5" thickTop="1" x14ac:dyDescent="0.25">
      <c r="D7" s="11" t="s">
        <v>96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45</v>
      </c>
    </row>
    <row r="8" spans="1:13" ht="16.5" x14ac:dyDescent="0.25">
      <c r="D8" s="11" t="s">
        <v>97</v>
      </c>
      <c r="E8" s="12">
        <v>4200</v>
      </c>
      <c r="F8" s="12">
        <v>4200</v>
      </c>
      <c r="G8" s="12">
        <v>280</v>
      </c>
      <c r="H8" s="13">
        <v>4</v>
      </c>
      <c r="J8" s="26"/>
      <c r="K8" s="19"/>
    </row>
    <row r="9" spans="1:13" x14ac:dyDescent="0.25">
      <c r="D9" s="11" t="s">
        <v>98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25">
      <c r="D10" s="11" t="s">
        <v>99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25">
      <c r="D11" s="11" t="s">
        <v>100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25">
      <c r="D12" s="11" t="s">
        <v>101</v>
      </c>
      <c r="E12" s="12">
        <v>4200</v>
      </c>
      <c r="F12" s="12">
        <v>4200</v>
      </c>
      <c r="G12" s="12">
        <v>350</v>
      </c>
      <c r="H12" s="13">
        <v>4</v>
      </c>
    </row>
    <row r="13" spans="1:13" x14ac:dyDescent="0.25">
      <c r="D13" s="11" t="s">
        <v>34</v>
      </c>
      <c r="E13" s="12">
        <v>4200</v>
      </c>
      <c r="F13" s="12">
        <v>4200</v>
      </c>
      <c r="G13" s="12">
        <v>350</v>
      </c>
      <c r="H13" s="13">
        <v>4</v>
      </c>
    </row>
    <row r="14" spans="1:13" x14ac:dyDescent="0.25">
      <c r="D14" s="11" t="s">
        <v>36</v>
      </c>
      <c r="E14" s="12">
        <v>4200</v>
      </c>
      <c r="F14" s="12">
        <v>4200</v>
      </c>
      <c r="G14" s="12">
        <v>350</v>
      </c>
      <c r="H14" s="13">
        <v>4</v>
      </c>
    </row>
    <row r="15" spans="1:13" x14ac:dyDescent="0.25">
      <c r="D15" s="11" t="s">
        <v>37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25">
      <c r="D16" s="11" t="s">
        <v>46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25">
      <c r="D17" s="11" t="s">
        <v>47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25">
      <c r="D18" s="11" t="s">
        <v>48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25">
      <c r="D19" s="11" t="s">
        <v>49</v>
      </c>
      <c r="E19" s="12">
        <v>4200</v>
      </c>
      <c r="F19" s="12">
        <v>4200</v>
      </c>
      <c r="G19" s="12">
        <v>280</v>
      </c>
      <c r="H19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634"/>
  <sheetViews>
    <sheetView workbookViewId="0">
      <selection activeCell="F6" sqref="F6"/>
    </sheetView>
  </sheetViews>
  <sheetFormatPr defaultColWidth="9" defaultRowHeight="15.75" x14ac:dyDescent="0.25"/>
  <cols>
    <col min="1" max="4" width="9" style="27" customWidth="1"/>
    <col min="5" max="5" width="13.5" style="27" bestFit="1" customWidth="1"/>
    <col min="6" max="15" width="9" style="27" customWidth="1"/>
    <col min="16" max="33" width="9" style="28"/>
    <col min="34" max="34" width="13.5" style="28" bestFit="1" customWidth="1"/>
    <col min="35" max="16384" width="9" style="28"/>
  </cols>
  <sheetData>
    <row r="1" spans="1:15" x14ac:dyDescent="0.25">
      <c r="A1" s="27" t="s">
        <v>6</v>
      </c>
      <c r="B1" s="27" t="s">
        <v>7</v>
      </c>
      <c r="C1" s="27" t="s">
        <v>8</v>
      </c>
      <c r="D1" s="27" t="s">
        <v>9</v>
      </c>
      <c r="E1" s="27" t="s">
        <v>10</v>
      </c>
      <c r="F1" s="27" t="s">
        <v>10</v>
      </c>
      <c r="I1" s="27" t="s">
        <v>11</v>
      </c>
      <c r="J1" s="27" t="s">
        <v>12</v>
      </c>
      <c r="M1" s="27" t="s">
        <v>13</v>
      </c>
      <c r="N1" s="27" t="s">
        <v>14</v>
      </c>
      <c r="O1" s="27" t="s">
        <v>15</v>
      </c>
    </row>
    <row r="2" spans="1:15" x14ac:dyDescent="0.25">
      <c r="F2" s="27" t="s">
        <v>16</v>
      </c>
      <c r="G2" s="27" t="s">
        <v>17</v>
      </c>
      <c r="H2" s="27" t="s">
        <v>18</v>
      </c>
      <c r="J2" s="27" t="s">
        <v>19</v>
      </c>
      <c r="K2" s="27" t="s">
        <v>17</v>
      </c>
      <c r="L2" s="27" t="s">
        <v>18</v>
      </c>
    </row>
    <row r="3" spans="1:15" ht="15.95" customHeight="1" x14ac:dyDescent="0.25">
      <c r="A3" s="27" t="s">
        <v>95</v>
      </c>
      <c r="B3" s="27" t="s">
        <v>103</v>
      </c>
      <c r="C3" s="27">
        <v>40</v>
      </c>
      <c r="D3" s="27">
        <v>70</v>
      </c>
      <c r="E3" s="27" t="s">
        <v>20</v>
      </c>
      <c r="F3" s="27" t="s">
        <v>26</v>
      </c>
      <c r="G3" s="27" t="s">
        <v>26</v>
      </c>
      <c r="H3" s="27" t="s">
        <v>26</v>
      </c>
      <c r="I3" s="27" t="s">
        <v>22</v>
      </c>
      <c r="J3" s="27" t="s">
        <v>104</v>
      </c>
      <c r="K3" s="27" t="s">
        <v>104</v>
      </c>
      <c r="L3" s="27" t="s">
        <v>104</v>
      </c>
      <c r="M3" s="27">
        <v>1100</v>
      </c>
      <c r="N3" s="27">
        <v>50</v>
      </c>
    </row>
    <row r="4" spans="1:15" x14ac:dyDescent="0.25">
      <c r="E4" s="27" t="s">
        <v>24</v>
      </c>
      <c r="F4" s="27">
        <v>0</v>
      </c>
      <c r="G4" s="27">
        <v>0</v>
      </c>
      <c r="H4" s="27">
        <v>0</v>
      </c>
    </row>
    <row r="5" spans="1:15" x14ac:dyDescent="0.25">
      <c r="E5" s="27" t="s">
        <v>20</v>
      </c>
      <c r="F5" s="27" t="s">
        <v>25</v>
      </c>
      <c r="G5" s="27" t="s">
        <v>31</v>
      </c>
      <c r="H5" s="27" t="s">
        <v>25</v>
      </c>
    </row>
    <row r="6" spans="1:15" x14ac:dyDescent="0.25">
      <c r="E6" s="27" t="s">
        <v>24</v>
      </c>
      <c r="F6" s="27" t="s">
        <v>25</v>
      </c>
      <c r="G6" s="27" t="s">
        <v>25</v>
      </c>
      <c r="H6" s="27" t="s">
        <v>25</v>
      </c>
    </row>
    <row r="7" spans="1:15" ht="15.6" customHeight="1" x14ac:dyDescent="0.25">
      <c r="A7" s="27" t="s">
        <v>95</v>
      </c>
      <c r="B7" s="27" t="s">
        <v>105</v>
      </c>
      <c r="C7" s="27">
        <v>40</v>
      </c>
      <c r="D7" s="27">
        <v>70</v>
      </c>
      <c r="E7" s="27" t="s">
        <v>20</v>
      </c>
      <c r="F7" s="27" t="s">
        <v>28</v>
      </c>
      <c r="G7" s="27" t="s">
        <v>26</v>
      </c>
      <c r="H7" s="27" t="s">
        <v>26</v>
      </c>
      <c r="I7" s="27" t="s">
        <v>22</v>
      </c>
      <c r="J7" s="27" t="s">
        <v>104</v>
      </c>
      <c r="K7" s="27" t="s">
        <v>104</v>
      </c>
      <c r="L7" s="27" t="s">
        <v>104</v>
      </c>
      <c r="M7" s="27">
        <v>830</v>
      </c>
      <c r="N7" s="27">
        <v>60</v>
      </c>
    </row>
    <row r="8" spans="1:15" x14ac:dyDescent="0.25">
      <c r="E8" s="27" t="s">
        <v>24</v>
      </c>
      <c r="F8" s="27">
        <v>0</v>
      </c>
      <c r="G8" s="27">
        <v>0</v>
      </c>
      <c r="H8" s="27">
        <v>0</v>
      </c>
    </row>
    <row r="9" spans="1:15" x14ac:dyDescent="0.25">
      <c r="E9" s="27" t="s">
        <v>20</v>
      </c>
      <c r="F9" s="27">
        <v>0</v>
      </c>
      <c r="G9" s="27">
        <v>0</v>
      </c>
      <c r="H9" s="27">
        <v>0</v>
      </c>
    </row>
    <row r="10" spans="1:15" x14ac:dyDescent="0.25">
      <c r="E10" s="27" t="s">
        <v>24</v>
      </c>
      <c r="F10" s="27" t="s">
        <v>21</v>
      </c>
      <c r="G10" s="27" t="s">
        <v>28</v>
      </c>
      <c r="H10" s="27" t="s">
        <v>28</v>
      </c>
    </row>
    <row r="11" spans="1:15" ht="15.6" customHeight="1" x14ac:dyDescent="0.25">
      <c r="A11" s="27" t="s">
        <v>95</v>
      </c>
      <c r="B11" s="27" t="s">
        <v>105</v>
      </c>
      <c r="C11" s="27">
        <v>40</v>
      </c>
      <c r="D11" s="27">
        <v>70</v>
      </c>
      <c r="E11" s="27" t="s">
        <v>20</v>
      </c>
      <c r="F11" s="27" t="s">
        <v>28</v>
      </c>
      <c r="G11" s="27" t="s">
        <v>26</v>
      </c>
      <c r="H11" s="27" t="s">
        <v>26</v>
      </c>
      <c r="I11" s="27" t="s">
        <v>22</v>
      </c>
      <c r="J11" s="27" t="s">
        <v>104</v>
      </c>
      <c r="K11" s="27" t="s">
        <v>104</v>
      </c>
      <c r="L11" s="27" t="s">
        <v>104</v>
      </c>
      <c r="M11" s="27">
        <v>830</v>
      </c>
      <c r="N11" s="27">
        <v>60</v>
      </c>
    </row>
    <row r="12" spans="1:15" x14ac:dyDescent="0.25">
      <c r="E12" s="27" t="s">
        <v>24</v>
      </c>
      <c r="F12" s="27">
        <v>0</v>
      </c>
      <c r="G12" s="27">
        <v>0</v>
      </c>
      <c r="H12" s="27">
        <v>0</v>
      </c>
    </row>
    <row r="13" spans="1:15" x14ac:dyDescent="0.25">
      <c r="E13" s="27" t="s">
        <v>20</v>
      </c>
      <c r="F13" s="27">
        <v>0</v>
      </c>
      <c r="G13" s="27">
        <v>0</v>
      </c>
      <c r="H13" s="27">
        <v>0</v>
      </c>
    </row>
    <row r="14" spans="1:15" x14ac:dyDescent="0.25">
      <c r="E14" s="27" t="s">
        <v>24</v>
      </c>
      <c r="F14" s="27" t="s">
        <v>21</v>
      </c>
      <c r="G14" s="27" t="s">
        <v>28</v>
      </c>
      <c r="H14" s="27" t="s">
        <v>28</v>
      </c>
    </row>
    <row r="15" spans="1:15" ht="15.6" customHeight="1" x14ac:dyDescent="0.25">
      <c r="A15" s="27" t="s">
        <v>95</v>
      </c>
      <c r="B15" s="27" t="s">
        <v>106</v>
      </c>
      <c r="C15" s="27">
        <v>40</v>
      </c>
      <c r="D15" s="27">
        <v>70</v>
      </c>
      <c r="E15" s="27" t="s">
        <v>20</v>
      </c>
      <c r="F15" s="27" t="s">
        <v>28</v>
      </c>
      <c r="G15" s="27" t="s">
        <v>26</v>
      </c>
      <c r="H15" s="27" t="s">
        <v>28</v>
      </c>
      <c r="I15" s="27" t="s">
        <v>22</v>
      </c>
      <c r="J15" s="27" t="s">
        <v>104</v>
      </c>
      <c r="K15" s="27" t="s">
        <v>104</v>
      </c>
      <c r="L15" s="27" t="s">
        <v>104</v>
      </c>
      <c r="M15" s="27">
        <v>830</v>
      </c>
      <c r="N15" s="27">
        <v>60</v>
      </c>
    </row>
    <row r="16" spans="1:15" x14ac:dyDescent="0.25">
      <c r="E16" s="27" t="s">
        <v>24</v>
      </c>
      <c r="F16" s="27">
        <v>0</v>
      </c>
      <c r="G16" s="27">
        <v>0</v>
      </c>
      <c r="H16" s="27">
        <v>0</v>
      </c>
    </row>
    <row r="17" spans="1:14" x14ac:dyDescent="0.25">
      <c r="E17" s="27" t="s">
        <v>20</v>
      </c>
      <c r="F17" s="27">
        <v>0</v>
      </c>
      <c r="G17" s="27">
        <v>0</v>
      </c>
      <c r="H17" s="27">
        <v>0</v>
      </c>
    </row>
    <row r="18" spans="1:14" x14ac:dyDescent="0.25">
      <c r="E18" s="27" t="s">
        <v>24</v>
      </c>
      <c r="F18" s="27" t="s">
        <v>21</v>
      </c>
      <c r="G18" s="27" t="s">
        <v>21</v>
      </c>
      <c r="H18" s="27" t="s">
        <v>21</v>
      </c>
    </row>
    <row r="19" spans="1:14" ht="15.6" customHeight="1" x14ac:dyDescent="0.25">
      <c r="A19" s="27" t="s">
        <v>95</v>
      </c>
      <c r="B19" s="27" t="s">
        <v>106</v>
      </c>
      <c r="C19" s="27">
        <v>40</v>
      </c>
      <c r="D19" s="27">
        <v>70</v>
      </c>
      <c r="E19" s="27" t="s">
        <v>20</v>
      </c>
      <c r="F19" s="27" t="s">
        <v>28</v>
      </c>
      <c r="G19" s="27" t="s">
        <v>26</v>
      </c>
      <c r="H19" s="27" t="s">
        <v>28</v>
      </c>
      <c r="I19" s="27" t="s">
        <v>22</v>
      </c>
      <c r="J19" s="27" t="s">
        <v>104</v>
      </c>
      <c r="K19" s="27" t="s">
        <v>104</v>
      </c>
      <c r="L19" s="27" t="s">
        <v>104</v>
      </c>
      <c r="M19" s="27">
        <v>830</v>
      </c>
      <c r="N19" s="27">
        <v>60</v>
      </c>
    </row>
    <row r="20" spans="1:14" x14ac:dyDescent="0.25">
      <c r="E20" s="27" t="s">
        <v>24</v>
      </c>
      <c r="F20" s="27">
        <v>0</v>
      </c>
      <c r="G20" s="27">
        <v>0</v>
      </c>
      <c r="H20" s="27">
        <v>0</v>
      </c>
    </row>
    <row r="21" spans="1:14" x14ac:dyDescent="0.25">
      <c r="E21" s="27" t="s">
        <v>20</v>
      </c>
      <c r="F21" s="27">
        <v>0</v>
      </c>
      <c r="G21" s="27">
        <v>0</v>
      </c>
      <c r="H21" s="27">
        <v>0</v>
      </c>
    </row>
    <row r="22" spans="1:14" x14ac:dyDescent="0.25">
      <c r="E22" s="27" t="s">
        <v>24</v>
      </c>
      <c r="F22" s="27" t="s">
        <v>21</v>
      </c>
      <c r="G22" s="27" t="s">
        <v>21</v>
      </c>
      <c r="H22" s="27" t="s">
        <v>21</v>
      </c>
    </row>
    <row r="23" spans="1:14" ht="15.6" customHeight="1" x14ac:dyDescent="0.25">
      <c r="A23" s="27" t="s">
        <v>95</v>
      </c>
      <c r="B23" s="27" t="s">
        <v>107</v>
      </c>
      <c r="C23" s="27">
        <v>40</v>
      </c>
      <c r="D23" s="27">
        <v>70</v>
      </c>
      <c r="E23" s="27" t="s">
        <v>20</v>
      </c>
      <c r="F23" s="27" t="s">
        <v>28</v>
      </c>
      <c r="G23" s="27" t="s">
        <v>26</v>
      </c>
      <c r="H23" s="27" t="s">
        <v>28</v>
      </c>
      <c r="I23" s="27" t="s">
        <v>22</v>
      </c>
      <c r="J23" s="27" t="s">
        <v>104</v>
      </c>
      <c r="K23" s="27" t="s">
        <v>104</v>
      </c>
      <c r="L23" s="27" t="s">
        <v>104</v>
      </c>
      <c r="M23" s="27">
        <v>830</v>
      </c>
      <c r="N23" s="27">
        <v>60</v>
      </c>
    </row>
    <row r="24" spans="1:14" x14ac:dyDescent="0.25">
      <c r="E24" s="27" t="s">
        <v>24</v>
      </c>
      <c r="F24" s="27">
        <v>0</v>
      </c>
      <c r="G24" s="27">
        <v>0</v>
      </c>
      <c r="H24" s="27">
        <v>0</v>
      </c>
    </row>
    <row r="25" spans="1:14" x14ac:dyDescent="0.25">
      <c r="E25" s="27" t="s">
        <v>20</v>
      </c>
      <c r="F25" s="27">
        <v>0</v>
      </c>
      <c r="G25" s="27">
        <v>0</v>
      </c>
      <c r="H25" s="27">
        <v>0</v>
      </c>
    </row>
    <row r="26" spans="1:14" x14ac:dyDescent="0.25">
      <c r="E26" s="27" t="s">
        <v>24</v>
      </c>
      <c r="F26" s="27" t="s">
        <v>21</v>
      </c>
      <c r="G26" s="27" t="s">
        <v>21</v>
      </c>
      <c r="H26" s="27" t="s">
        <v>21</v>
      </c>
    </row>
    <row r="27" spans="1:14" ht="15.6" customHeight="1" x14ac:dyDescent="0.25">
      <c r="A27" s="27" t="s">
        <v>95</v>
      </c>
      <c r="B27" s="27" t="s">
        <v>107</v>
      </c>
      <c r="C27" s="27">
        <v>40</v>
      </c>
      <c r="D27" s="27">
        <v>70</v>
      </c>
      <c r="E27" s="27" t="s">
        <v>20</v>
      </c>
      <c r="F27" s="27" t="s">
        <v>28</v>
      </c>
      <c r="G27" s="27" t="s">
        <v>26</v>
      </c>
      <c r="H27" s="27" t="s">
        <v>28</v>
      </c>
      <c r="I27" s="27" t="s">
        <v>22</v>
      </c>
      <c r="J27" s="27" t="s">
        <v>104</v>
      </c>
      <c r="K27" s="27" t="s">
        <v>104</v>
      </c>
      <c r="L27" s="27" t="s">
        <v>104</v>
      </c>
      <c r="M27" s="27">
        <v>830</v>
      </c>
      <c r="N27" s="27">
        <v>60</v>
      </c>
    </row>
    <row r="28" spans="1:14" x14ac:dyDescent="0.25">
      <c r="E28" s="27" t="s">
        <v>24</v>
      </c>
      <c r="F28" s="27">
        <v>0</v>
      </c>
      <c r="G28" s="27">
        <v>0</v>
      </c>
      <c r="H28" s="27">
        <v>0</v>
      </c>
    </row>
    <row r="29" spans="1:14" x14ac:dyDescent="0.25">
      <c r="E29" s="27" t="s">
        <v>20</v>
      </c>
      <c r="F29" s="27">
        <v>0</v>
      </c>
      <c r="G29" s="27">
        <v>0</v>
      </c>
      <c r="H29" s="27">
        <v>0</v>
      </c>
    </row>
    <row r="30" spans="1:14" x14ac:dyDescent="0.25">
      <c r="E30" s="27" t="s">
        <v>24</v>
      </c>
      <c r="F30" s="27" t="s">
        <v>21</v>
      </c>
      <c r="G30" s="27" t="s">
        <v>21</v>
      </c>
      <c r="H30" s="27" t="s">
        <v>21</v>
      </c>
    </row>
    <row r="31" spans="1:14" ht="15.6" customHeight="1" x14ac:dyDescent="0.25">
      <c r="A31" s="27" t="s">
        <v>95</v>
      </c>
      <c r="B31" s="27" t="s">
        <v>108</v>
      </c>
      <c r="C31" s="27">
        <v>40</v>
      </c>
      <c r="D31" s="27">
        <v>70</v>
      </c>
      <c r="E31" s="27" t="s">
        <v>20</v>
      </c>
      <c r="F31" s="27" t="s">
        <v>28</v>
      </c>
      <c r="G31" s="27" t="s">
        <v>26</v>
      </c>
      <c r="H31" s="27" t="s">
        <v>28</v>
      </c>
      <c r="I31" s="27" t="s">
        <v>22</v>
      </c>
      <c r="J31" s="27" t="s">
        <v>104</v>
      </c>
      <c r="K31" s="27" t="s">
        <v>104</v>
      </c>
      <c r="L31" s="27" t="s">
        <v>104</v>
      </c>
      <c r="M31" s="27">
        <v>830</v>
      </c>
      <c r="N31" s="27">
        <v>60</v>
      </c>
    </row>
    <row r="32" spans="1:14" x14ac:dyDescent="0.25">
      <c r="E32" s="27" t="s">
        <v>24</v>
      </c>
      <c r="F32" s="27">
        <v>0</v>
      </c>
      <c r="G32" s="27">
        <v>0</v>
      </c>
      <c r="H32" s="27">
        <v>0</v>
      </c>
    </row>
    <row r="33" spans="1:14" x14ac:dyDescent="0.25">
      <c r="E33" s="27" t="s">
        <v>20</v>
      </c>
      <c r="F33" s="27">
        <v>0</v>
      </c>
      <c r="G33" s="27">
        <v>0</v>
      </c>
      <c r="H33" s="27">
        <v>0</v>
      </c>
    </row>
    <row r="34" spans="1:14" x14ac:dyDescent="0.25">
      <c r="E34" s="27" t="s">
        <v>24</v>
      </c>
      <c r="F34" s="27" t="s">
        <v>21</v>
      </c>
      <c r="G34" s="27" t="s">
        <v>21</v>
      </c>
      <c r="H34" s="27" t="s">
        <v>21</v>
      </c>
    </row>
    <row r="35" spans="1:14" ht="15.6" customHeight="1" x14ac:dyDescent="0.25">
      <c r="A35" s="27" t="s">
        <v>95</v>
      </c>
      <c r="B35" s="27" t="s">
        <v>108</v>
      </c>
      <c r="C35" s="27">
        <v>40</v>
      </c>
      <c r="D35" s="27">
        <v>70</v>
      </c>
      <c r="E35" s="27" t="s">
        <v>20</v>
      </c>
      <c r="F35" s="27" t="s">
        <v>28</v>
      </c>
      <c r="G35" s="27" t="s">
        <v>26</v>
      </c>
      <c r="H35" s="27" t="s">
        <v>28</v>
      </c>
      <c r="I35" s="27" t="s">
        <v>22</v>
      </c>
      <c r="J35" s="27" t="s">
        <v>104</v>
      </c>
      <c r="K35" s="27" t="s">
        <v>104</v>
      </c>
      <c r="L35" s="27" t="s">
        <v>104</v>
      </c>
      <c r="M35" s="27">
        <v>830</v>
      </c>
      <c r="N35" s="27">
        <v>60</v>
      </c>
    </row>
    <row r="36" spans="1:14" x14ac:dyDescent="0.25">
      <c r="E36" s="27" t="s">
        <v>24</v>
      </c>
      <c r="F36" s="27">
        <v>0</v>
      </c>
      <c r="G36" s="27">
        <v>0</v>
      </c>
      <c r="H36" s="27">
        <v>0</v>
      </c>
    </row>
    <row r="37" spans="1:14" x14ac:dyDescent="0.25">
      <c r="E37" s="27" t="s">
        <v>20</v>
      </c>
      <c r="F37" s="27">
        <v>0</v>
      </c>
      <c r="G37" s="27">
        <v>0</v>
      </c>
      <c r="H37" s="27">
        <v>0</v>
      </c>
    </row>
    <row r="38" spans="1:14" x14ac:dyDescent="0.25">
      <c r="E38" s="27" t="s">
        <v>24</v>
      </c>
      <c r="F38" s="27" t="s">
        <v>21</v>
      </c>
      <c r="G38" s="27" t="s">
        <v>21</v>
      </c>
      <c r="H38" s="27" t="s">
        <v>21</v>
      </c>
    </row>
    <row r="39" spans="1:14" ht="15.6" customHeight="1" x14ac:dyDescent="0.25">
      <c r="A39" s="27" t="s">
        <v>95</v>
      </c>
      <c r="B39" s="27" t="s">
        <v>109</v>
      </c>
      <c r="C39" s="27">
        <v>40</v>
      </c>
      <c r="D39" s="27">
        <v>70</v>
      </c>
      <c r="E39" s="27" t="s">
        <v>20</v>
      </c>
      <c r="F39" s="27" t="s">
        <v>28</v>
      </c>
      <c r="G39" s="27" t="s">
        <v>26</v>
      </c>
      <c r="H39" s="27" t="s">
        <v>28</v>
      </c>
      <c r="I39" s="27" t="s">
        <v>22</v>
      </c>
      <c r="J39" s="27" t="s">
        <v>104</v>
      </c>
      <c r="K39" s="27" t="s">
        <v>104</v>
      </c>
      <c r="L39" s="27" t="s">
        <v>104</v>
      </c>
      <c r="M39" s="27">
        <v>830</v>
      </c>
      <c r="N39" s="27">
        <v>60</v>
      </c>
    </row>
    <row r="40" spans="1:14" x14ac:dyDescent="0.25">
      <c r="E40" s="27" t="s">
        <v>24</v>
      </c>
      <c r="F40" s="27">
        <v>0</v>
      </c>
      <c r="G40" s="27">
        <v>0</v>
      </c>
      <c r="H40" s="27">
        <v>0</v>
      </c>
    </row>
    <row r="41" spans="1:14" x14ac:dyDescent="0.25">
      <c r="E41" s="27" t="s">
        <v>20</v>
      </c>
      <c r="F41" s="27">
        <v>0</v>
      </c>
      <c r="G41" s="27">
        <v>0</v>
      </c>
      <c r="H41" s="27">
        <v>0</v>
      </c>
    </row>
    <row r="42" spans="1:14" x14ac:dyDescent="0.25">
      <c r="E42" s="27" t="s">
        <v>24</v>
      </c>
      <c r="F42" s="27" t="s">
        <v>21</v>
      </c>
      <c r="G42" s="27" t="s">
        <v>21</v>
      </c>
      <c r="H42" s="27" t="s">
        <v>21</v>
      </c>
    </row>
    <row r="43" spans="1:14" ht="15.6" customHeight="1" x14ac:dyDescent="0.25">
      <c r="A43" s="27" t="s">
        <v>95</v>
      </c>
      <c r="B43" s="27" t="s">
        <v>109</v>
      </c>
      <c r="C43" s="27">
        <v>40</v>
      </c>
      <c r="D43" s="27">
        <v>70</v>
      </c>
      <c r="E43" s="27" t="s">
        <v>20</v>
      </c>
      <c r="F43" s="27" t="s">
        <v>28</v>
      </c>
      <c r="G43" s="27" t="s">
        <v>26</v>
      </c>
      <c r="H43" s="27" t="s">
        <v>28</v>
      </c>
      <c r="I43" s="27" t="s">
        <v>22</v>
      </c>
      <c r="J43" s="27" t="s">
        <v>104</v>
      </c>
      <c r="K43" s="27" t="s">
        <v>104</v>
      </c>
      <c r="L43" s="27" t="s">
        <v>104</v>
      </c>
      <c r="M43" s="27">
        <v>830</v>
      </c>
      <c r="N43" s="27">
        <v>60</v>
      </c>
    </row>
    <row r="44" spans="1:14" x14ac:dyDescent="0.25">
      <c r="E44" s="27" t="s">
        <v>24</v>
      </c>
      <c r="F44" s="27">
        <v>0</v>
      </c>
      <c r="G44" s="27">
        <v>0</v>
      </c>
      <c r="H44" s="27">
        <v>0</v>
      </c>
    </row>
    <row r="45" spans="1:14" x14ac:dyDescent="0.25">
      <c r="E45" s="27" t="s">
        <v>20</v>
      </c>
      <c r="F45" s="27">
        <v>0</v>
      </c>
      <c r="G45" s="27">
        <v>0</v>
      </c>
      <c r="H45" s="27">
        <v>0</v>
      </c>
    </row>
    <row r="46" spans="1:14" x14ac:dyDescent="0.25">
      <c r="E46" s="27" t="s">
        <v>24</v>
      </c>
      <c r="F46" s="27" t="s">
        <v>21</v>
      </c>
      <c r="G46" s="27" t="s">
        <v>21</v>
      </c>
      <c r="H46" s="27" t="s">
        <v>21</v>
      </c>
    </row>
    <row r="47" spans="1:14" ht="15.6" customHeight="1" x14ac:dyDescent="0.25">
      <c r="A47" s="27" t="s">
        <v>95</v>
      </c>
      <c r="B47" s="27" t="s">
        <v>110</v>
      </c>
      <c r="C47" s="27">
        <v>40</v>
      </c>
      <c r="D47" s="27">
        <v>70</v>
      </c>
      <c r="E47" s="27" t="s">
        <v>20</v>
      </c>
      <c r="F47" s="27" t="s">
        <v>26</v>
      </c>
      <c r="G47" s="27" t="s">
        <v>26</v>
      </c>
      <c r="H47" s="27" t="s">
        <v>28</v>
      </c>
      <c r="I47" s="27" t="s">
        <v>22</v>
      </c>
      <c r="J47" s="27" t="s">
        <v>104</v>
      </c>
      <c r="K47" s="27" t="s">
        <v>104</v>
      </c>
      <c r="L47" s="27" t="s">
        <v>104</v>
      </c>
      <c r="M47" s="27">
        <v>830</v>
      </c>
      <c r="N47" s="27">
        <v>60</v>
      </c>
    </row>
    <row r="48" spans="1:14" x14ac:dyDescent="0.25">
      <c r="E48" s="27" t="s">
        <v>24</v>
      </c>
      <c r="F48" s="27">
        <v>0</v>
      </c>
      <c r="G48" s="27">
        <v>0</v>
      </c>
      <c r="H48" s="27">
        <v>0</v>
      </c>
    </row>
    <row r="49" spans="1:14" x14ac:dyDescent="0.25">
      <c r="E49" s="27" t="s">
        <v>20</v>
      </c>
      <c r="F49" s="27">
        <v>0</v>
      </c>
      <c r="G49" s="27">
        <v>0</v>
      </c>
      <c r="H49" s="27">
        <v>0</v>
      </c>
    </row>
    <row r="50" spans="1:14" x14ac:dyDescent="0.25">
      <c r="E50" s="27" t="s">
        <v>24</v>
      </c>
      <c r="F50" s="27" t="s">
        <v>21</v>
      </c>
      <c r="G50" s="27" t="s">
        <v>28</v>
      </c>
      <c r="H50" s="27" t="s">
        <v>21</v>
      </c>
    </row>
    <row r="51" spans="1:14" ht="15.6" customHeight="1" x14ac:dyDescent="0.25">
      <c r="A51" s="27" t="s">
        <v>95</v>
      </c>
      <c r="B51" s="27" t="s">
        <v>110</v>
      </c>
      <c r="C51" s="27">
        <v>40</v>
      </c>
      <c r="D51" s="27">
        <v>70</v>
      </c>
      <c r="E51" s="27" t="s">
        <v>20</v>
      </c>
      <c r="F51" s="27" t="s">
        <v>26</v>
      </c>
      <c r="G51" s="27" t="s">
        <v>26</v>
      </c>
      <c r="H51" s="27" t="s">
        <v>28</v>
      </c>
      <c r="I51" s="27" t="s">
        <v>22</v>
      </c>
      <c r="J51" s="27" t="s">
        <v>104</v>
      </c>
      <c r="K51" s="27" t="s">
        <v>104</v>
      </c>
      <c r="L51" s="27" t="s">
        <v>104</v>
      </c>
      <c r="M51" s="27">
        <v>830</v>
      </c>
      <c r="N51" s="27">
        <v>60</v>
      </c>
    </row>
    <row r="52" spans="1:14" x14ac:dyDescent="0.25">
      <c r="E52" s="27" t="s">
        <v>24</v>
      </c>
      <c r="F52" s="27">
        <v>0</v>
      </c>
      <c r="G52" s="27">
        <v>0</v>
      </c>
      <c r="H52" s="27">
        <v>0</v>
      </c>
    </row>
    <row r="53" spans="1:14" x14ac:dyDescent="0.25">
      <c r="E53" s="27" t="s">
        <v>20</v>
      </c>
      <c r="F53" s="27">
        <v>0</v>
      </c>
      <c r="G53" s="27">
        <v>0</v>
      </c>
      <c r="H53" s="27">
        <v>0</v>
      </c>
    </row>
    <row r="54" spans="1:14" x14ac:dyDescent="0.25">
      <c r="E54" s="27" t="s">
        <v>24</v>
      </c>
      <c r="F54" s="27" t="s">
        <v>21</v>
      </c>
      <c r="G54" s="27" t="s">
        <v>28</v>
      </c>
      <c r="H54" s="27" t="s">
        <v>21</v>
      </c>
    </row>
    <row r="55" spans="1:14" ht="15.6" customHeight="1" x14ac:dyDescent="0.25">
      <c r="A55" s="27" t="s">
        <v>95</v>
      </c>
      <c r="B55" s="27" t="s">
        <v>111</v>
      </c>
      <c r="C55" s="27">
        <v>40</v>
      </c>
      <c r="D55" s="27">
        <v>70</v>
      </c>
      <c r="E55" s="27" t="s">
        <v>20</v>
      </c>
      <c r="F55" s="27" t="s">
        <v>27</v>
      </c>
      <c r="G55" s="27" t="s">
        <v>26</v>
      </c>
      <c r="H55" s="27" t="s">
        <v>26</v>
      </c>
      <c r="I55" s="27" t="s">
        <v>22</v>
      </c>
      <c r="J55" s="27" t="s">
        <v>104</v>
      </c>
      <c r="K55" s="27" t="s">
        <v>104</v>
      </c>
      <c r="L55" s="27" t="s">
        <v>104</v>
      </c>
      <c r="M55" s="27">
        <v>830</v>
      </c>
      <c r="N55" s="27">
        <v>60</v>
      </c>
    </row>
    <row r="56" spans="1:14" x14ac:dyDescent="0.25">
      <c r="E56" s="27" t="s">
        <v>24</v>
      </c>
      <c r="F56" s="27">
        <v>0</v>
      </c>
      <c r="G56" s="27">
        <v>0</v>
      </c>
      <c r="H56" s="27">
        <v>0</v>
      </c>
    </row>
    <row r="57" spans="1:14" x14ac:dyDescent="0.25">
      <c r="E57" s="27" t="s">
        <v>20</v>
      </c>
      <c r="F57" s="27">
        <v>0</v>
      </c>
      <c r="G57" s="27">
        <v>0</v>
      </c>
      <c r="H57" s="27">
        <v>0</v>
      </c>
    </row>
    <row r="58" spans="1:14" x14ac:dyDescent="0.25">
      <c r="E58" s="27" t="s">
        <v>24</v>
      </c>
      <c r="F58" s="27" t="s">
        <v>21</v>
      </c>
      <c r="G58" s="27" t="s">
        <v>27</v>
      </c>
      <c r="H58" s="27" t="s">
        <v>28</v>
      </c>
    </row>
    <row r="59" spans="1:14" ht="15.6" customHeight="1" x14ac:dyDescent="0.25">
      <c r="A59" s="27" t="s">
        <v>95</v>
      </c>
      <c r="B59" s="27" t="s">
        <v>111</v>
      </c>
      <c r="C59" s="27">
        <v>40</v>
      </c>
      <c r="D59" s="27">
        <v>70</v>
      </c>
      <c r="E59" s="27" t="s">
        <v>20</v>
      </c>
      <c r="F59" s="27" t="s">
        <v>27</v>
      </c>
      <c r="G59" s="27" t="s">
        <v>26</v>
      </c>
      <c r="H59" s="27" t="s">
        <v>26</v>
      </c>
      <c r="I59" s="27" t="s">
        <v>22</v>
      </c>
      <c r="J59" s="27" t="s">
        <v>104</v>
      </c>
      <c r="K59" s="27" t="s">
        <v>104</v>
      </c>
      <c r="L59" s="27" t="s">
        <v>104</v>
      </c>
      <c r="M59" s="27">
        <v>830</v>
      </c>
      <c r="N59" s="27">
        <v>60</v>
      </c>
    </row>
    <row r="60" spans="1:14" x14ac:dyDescent="0.25">
      <c r="E60" s="27" t="s">
        <v>24</v>
      </c>
      <c r="F60" s="27">
        <v>0</v>
      </c>
      <c r="G60" s="27">
        <v>0</v>
      </c>
      <c r="H60" s="27">
        <v>0</v>
      </c>
    </row>
    <row r="61" spans="1:14" x14ac:dyDescent="0.25">
      <c r="E61" s="27" t="s">
        <v>20</v>
      </c>
      <c r="F61" s="27">
        <v>0</v>
      </c>
      <c r="G61" s="27">
        <v>0</v>
      </c>
      <c r="H61" s="27">
        <v>0</v>
      </c>
    </row>
    <row r="62" spans="1:14" x14ac:dyDescent="0.25">
      <c r="E62" s="27" t="s">
        <v>24</v>
      </c>
      <c r="F62" s="27" t="s">
        <v>21</v>
      </c>
      <c r="G62" s="27" t="s">
        <v>27</v>
      </c>
      <c r="H62" s="27" t="s">
        <v>28</v>
      </c>
    </row>
    <row r="63" spans="1:14" ht="15.6" customHeight="1" x14ac:dyDescent="0.25">
      <c r="A63" s="27" t="s">
        <v>95</v>
      </c>
      <c r="B63" s="27" t="s">
        <v>112</v>
      </c>
      <c r="C63" s="27">
        <v>40</v>
      </c>
      <c r="D63" s="27">
        <v>70</v>
      </c>
      <c r="E63" s="27" t="s">
        <v>20</v>
      </c>
      <c r="F63" s="27" t="s">
        <v>28</v>
      </c>
      <c r="G63" s="27" t="s">
        <v>26</v>
      </c>
      <c r="H63" s="27" t="s">
        <v>27</v>
      </c>
      <c r="I63" s="27" t="s">
        <v>22</v>
      </c>
      <c r="J63" s="27" t="s">
        <v>104</v>
      </c>
      <c r="K63" s="27" t="s">
        <v>104</v>
      </c>
      <c r="L63" s="27" t="s">
        <v>104</v>
      </c>
      <c r="M63" s="27">
        <v>830</v>
      </c>
      <c r="N63" s="27">
        <v>60</v>
      </c>
    </row>
    <row r="64" spans="1:14" x14ac:dyDescent="0.25">
      <c r="E64" s="27" t="s">
        <v>24</v>
      </c>
      <c r="F64" s="27">
        <v>0</v>
      </c>
      <c r="G64" s="27">
        <v>0</v>
      </c>
      <c r="H64" s="27">
        <v>0</v>
      </c>
    </row>
    <row r="65" spans="1:14" x14ac:dyDescent="0.25">
      <c r="E65" s="27" t="s">
        <v>20</v>
      </c>
      <c r="F65" s="27">
        <v>0</v>
      </c>
      <c r="G65" s="27">
        <v>0</v>
      </c>
      <c r="H65" s="27">
        <v>0</v>
      </c>
    </row>
    <row r="66" spans="1:14" x14ac:dyDescent="0.25">
      <c r="E66" s="27" t="s">
        <v>24</v>
      </c>
      <c r="F66" s="27" t="s">
        <v>21</v>
      </c>
      <c r="G66" s="27" t="s">
        <v>21</v>
      </c>
      <c r="H66" s="27" t="s">
        <v>21</v>
      </c>
    </row>
    <row r="67" spans="1:14" ht="15.6" customHeight="1" x14ac:dyDescent="0.25">
      <c r="A67" s="27" t="s">
        <v>95</v>
      </c>
      <c r="B67" s="27" t="s">
        <v>112</v>
      </c>
      <c r="C67" s="27">
        <v>40</v>
      </c>
      <c r="D67" s="27">
        <v>70</v>
      </c>
      <c r="E67" s="27" t="s">
        <v>20</v>
      </c>
      <c r="F67" s="27" t="s">
        <v>28</v>
      </c>
      <c r="G67" s="27" t="s">
        <v>26</v>
      </c>
      <c r="H67" s="27" t="s">
        <v>27</v>
      </c>
      <c r="I67" s="27" t="s">
        <v>22</v>
      </c>
      <c r="J67" s="27" t="s">
        <v>104</v>
      </c>
      <c r="K67" s="27" t="s">
        <v>104</v>
      </c>
      <c r="L67" s="27" t="s">
        <v>104</v>
      </c>
      <c r="M67" s="27">
        <v>830</v>
      </c>
      <c r="N67" s="27">
        <v>60</v>
      </c>
    </row>
    <row r="68" spans="1:14" x14ac:dyDescent="0.25">
      <c r="E68" s="27" t="s">
        <v>24</v>
      </c>
      <c r="F68" s="27">
        <v>0</v>
      </c>
      <c r="G68" s="27">
        <v>0</v>
      </c>
      <c r="H68" s="27">
        <v>0</v>
      </c>
    </row>
    <row r="69" spans="1:14" x14ac:dyDescent="0.25">
      <c r="E69" s="27" t="s">
        <v>20</v>
      </c>
      <c r="F69" s="27">
        <v>0</v>
      </c>
      <c r="G69" s="27">
        <v>0</v>
      </c>
      <c r="H69" s="27">
        <v>0</v>
      </c>
    </row>
    <row r="70" spans="1:14" x14ac:dyDescent="0.25">
      <c r="E70" s="27" t="s">
        <v>24</v>
      </c>
      <c r="F70" s="27" t="s">
        <v>21</v>
      </c>
      <c r="G70" s="27" t="s">
        <v>21</v>
      </c>
      <c r="H70" s="27" t="s">
        <v>21</v>
      </c>
    </row>
    <row r="71" spans="1:14" ht="15.6" customHeight="1" x14ac:dyDescent="0.25">
      <c r="A71" s="27" t="s">
        <v>95</v>
      </c>
      <c r="B71" s="27" t="s">
        <v>113</v>
      </c>
      <c r="C71" s="27">
        <v>40</v>
      </c>
      <c r="D71" s="27">
        <v>70</v>
      </c>
      <c r="E71" s="27" t="s">
        <v>20</v>
      </c>
      <c r="F71" s="27" t="s">
        <v>28</v>
      </c>
      <c r="G71" s="27" t="s">
        <v>26</v>
      </c>
      <c r="H71" s="27" t="s">
        <v>28</v>
      </c>
      <c r="I71" s="27" t="s">
        <v>22</v>
      </c>
      <c r="J71" s="27" t="s">
        <v>104</v>
      </c>
      <c r="K71" s="27" t="s">
        <v>104</v>
      </c>
      <c r="L71" s="27" t="s">
        <v>104</v>
      </c>
      <c r="M71" s="27">
        <v>830</v>
      </c>
      <c r="N71" s="27">
        <v>60</v>
      </c>
    </row>
    <row r="72" spans="1:14" x14ac:dyDescent="0.25">
      <c r="E72" s="27" t="s">
        <v>24</v>
      </c>
      <c r="F72" s="27">
        <v>0</v>
      </c>
      <c r="G72" s="27">
        <v>0</v>
      </c>
      <c r="H72" s="27">
        <v>0</v>
      </c>
    </row>
    <row r="73" spans="1:14" x14ac:dyDescent="0.25">
      <c r="E73" s="27" t="s">
        <v>20</v>
      </c>
      <c r="F73" s="27">
        <v>0</v>
      </c>
      <c r="G73" s="27">
        <v>0</v>
      </c>
      <c r="H73" s="27">
        <v>0</v>
      </c>
    </row>
    <row r="74" spans="1:14" x14ac:dyDescent="0.25">
      <c r="E74" s="27" t="s">
        <v>24</v>
      </c>
      <c r="F74" s="27" t="s">
        <v>21</v>
      </c>
      <c r="G74" s="27" t="s">
        <v>21</v>
      </c>
      <c r="H74" s="27" t="s">
        <v>21</v>
      </c>
    </row>
    <row r="75" spans="1:14" ht="15.6" customHeight="1" x14ac:dyDescent="0.25">
      <c r="A75" s="27" t="s">
        <v>95</v>
      </c>
      <c r="B75" s="27" t="s">
        <v>113</v>
      </c>
      <c r="C75" s="27">
        <v>40</v>
      </c>
      <c r="D75" s="27">
        <v>70</v>
      </c>
      <c r="E75" s="27" t="s">
        <v>20</v>
      </c>
      <c r="F75" s="27" t="s">
        <v>28</v>
      </c>
      <c r="G75" s="27" t="s">
        <v>26</v>
      </c>
      <c r="H75" s="27" t="s">
        <v>28</v>
      </c>
      <c r="I75" s="27" t="s">
        <v>22</v>
      </c>
      <c r="J75" s="27" t="s">
        <v>104</v>
      </c>
      <c r="K75" s="27" t="s">
        <v>104</v>
      </c>
      <c r="L75" s="27" t="s">
        <v>104</v>
      </c>
      <c r="M75" s="27">
        <v>830</v>
      </c>
      <c r="N75" s="27">
        <v>60</v>
      </c>
    </row>
    <row r="76" spans="1:14" x14ac:dyDescent="0.25">
      <c r="E76" s="27" t="s">
        <v>24</v>
      </c>
      <c r="F76" s="27">
        <v>0</v>
      </c>
      <c r="G76" s="27">
        <v>0</v>
      </c>
      <c r="H76" s="27">
        <v>0</v>
      </c>
    </row>
    <row r="77" spans="1:14" x14ac:dyDescent="0.25">
      <c r="E77" s="27" t="s">
        <v>20</v>
      </c>
      <c r="F77" s="27">
        <v>0</v>
      </c>
      <c r="G77" s="27">
        <v>0</v>
      </c>
      <c r="H77" s="27">
        <v>0</v>
      </c>
    </row>
    <row r="78" spans="1:14" x14ac:dyDescent="0.25">
      <c r="E78" s="27" t="s">
        <v>24</v>
      </c>
      <c r="F78" s="27" t="s">
        <v>21</v>
      </c>
      <c r="G78" s="27" t="s">
        <v>21</v>
      </c>
      <c r="H78" s="27" t="s">
        <v>21</v>
      </c>
    </row>
    <row r="79" spans="1:14" ht="15.6" customHeight="1" x14ac:dyDescent="0.25">
      <c r="A79" s="27" t="s">
        <v>95</v>
      </c>
      <c r="B79" s="27" t="s">
        <v>114</v>
      </c>
      <c r="C79" s="27">
        <v>40</v>
      </c>
      <c r="D79" s="27">
        <v>70</v>
      </c>
      <c r="E79" s="27" t="s">
        <v>20</v>
      </c>
      <c r="F79" s="27" t="s">
        <v>28</v>
      </c>
      <c r="G79" s="27" t="s">
        <v>26</v>
      </c>
      <c r="H79" s="27" t="s">
        <v>28</v>
      </c>
      <c r="I79" s="27" t="s">
        <v>22</v>
      </c>
      <c r="J79" s="27" t="s">
        <v>104</v>
      </c>
      <c r="K79" s="27" t="s">
        <v>104</v>
      </c>
      <c r="L79" s="27" t="s">
        <v>104</v>
      </c>
      <c r="M79" s="27">
        <v>830</v>
      </c>
      <c r="N79" s="27">
        <v>60</v>
      </c>
    </row>
    <row r="80" spans="1:14" x14ac:dyDescent="0.25">
      <c r="E80" s="27" t="s">
        <v>24</v>
      </c>
      <c r="F80" s="27">
        <v>0</v>
      </c>
      <c r="G80" s="27">
        <v>0</v>
      </c>
      <c r="H80" s="27">
        <v>0</v>
      </c>
    </row>
    <row r="81" spans="1:14" x14ac:dyDescent="0.25">
      <c r="E81" s="27" t="s">
        <v>20</v>
      </c>
      <c r="F81" s="27">
        <v>0</v>
      </c>
      <c r="G81" s="27">
        <v>0</v>
      </c>
      <c r="H81" s="27">
        <v>0</v>
      </c>
    </row>
    <row r="82" spans="1:14" x14ac:dyDescent="0.25">
      <c r="E82" s="27" t="s">
        <v>24</v>
      </c>
      <c r="F82" s="27" t="s">
        <v>21</v>
      </c>
      <c r="G82" s="27" t="s">
        <v>21</v>
      </c>
      <c r="H82" s="27" t="s">
        <v>21</v>
      </c>
    </row>
    <row r="83" spans="1:14" ht="15.6" customHeight="1" x14ac:dyDescent="0.25">
      <c r="A83" s="27" t="s">
        <v>95</v>
      </c>
      <c r="B83" s="27" t="s">
        <v>114</v>
      </c>
      <c r="C83" s="27">
        <v>40</v>
      </c>
      <c r="D83" s="27">
        <v>70</v>
      </c>
      <c r="E83" s="27" t="s">
        <v>20</v>
      </c>
      <c r="F83" s="27" t="s">
        <v>28</v>
      </c>
      <c r="G83" s="27" t="s">
        <v>26</v>
      </c>
      <c r="H83" s="27" t="s">
        <v>28</v>
      </c>
      <c r="I83" s="27" t="s">
        <v>22</v>
      </c>
      <c r="J83" s="27" t="s">
        <v>104</v>
      </c>
      <c r="K83" s="27" t="s">
        <v>104</v>
      </c>
      <c r="L83" s="27" t="s">
        <v>104</v>
      </c>
      <c r="M83" s="27">
        <v>830</v>
      </c>
      <c r="N83" s="27">
        <v>60</v>
      </c>
    </row>
    <row r="84" spans="1:14" x14ac:dyDescent="0.25">
      <c r="E84" s="27" t="s">
        <v>24</v>
      </c>
      <c r="F84" s="27">
        <v>0</v>
      </c>
      <c r="G84" s="27">
        <v>0</v>
      </c>
      <c r="H84" s="27">
        <v>0</v>
      </c>
    </row>
    <row r="85" spans="1:14" x14ac:dyDescent="0.25">
      <c r="E85" s="27" t="s">
        <v>20</v>
      </c>
      <c r="F85" s="27">
        <v>0</v>
      </c>
      <c r="G85" s="27">
        <v>0</v>
      </c>
      <c r="H85" s="27">
        <v>0</v>
      </c>
    </row>
    <row r="86" spans="1:14" x14ac:dyDescent="0.25">
      <c r="E86" s="27" t="s">
        <v>24</v>
      </c>
      <c r="F86" s="27" t="s">
        <v>21</v>
      </c>
      <c r="G86" s="27" t="s">
        <v>21</v>
      </c>
      <c r="H86" s="27" t="s">
        <v>21</v>
      </c>
    </row>
    <row r="87" spans="1:14" ht="15.6" customHeight="1" x14ac:dyDescent="0.25">
      <c r="A87" s="27" t="s">
        <v>95</v>
      </c>
      <c r="B87" s="27" t="s">
        <v>115</v>
      </c>
      <c r="C87" s="27">
        <v>40</v>
      </c>
      <c r="D87" s="27">
        <v>70</v>
      </c>
      <c r="E87" s="27" t="s">
        <v>20</v>
      </c>
      <c r="F87" s="27" t="s">
        <v>28</v>
      </c>
      <c r="G87" s="27" t="s">
        <v>26</v>
      </c>
      <c r="H87" s="27" t="s">
        <v>28</v>
      </c>
      <c r="I87" s="27" t="s">
        <v>22</v>
      </c>
      <c r="J87" s="27" t="s">
        <v>104</v>
      </c>
      <c r="K87" s="27" t="s">
        <v>104</v>
      </c>
      <c r="L87" s="27" t="s">
        <v>104</v>
      </c>
      <c r="M87" s="27">
        <v>830</v>
      </c>
      <c r="N87" s="27">
        <v>60</v>
      </c>
    </row>
    <row r="88" spans="1:14" x14ac:dyDescent="0.25">
      <c r="E88" s="27" t="s">
        <v>24</v>
      </c>
      <c r="F88" s="27">
        <v>0</v>
      </c>
      <c r="G88" s="27">
        <v>0</v>
      </c>
      <c r="H88" s="27">
        <v>0</v>
      </c>
    </row>
    <row r="89" spans="1:14" x14ac:dyDescent="0.25">
      <c r="E89" s="27" t="s">
        <v>20</v>
      </c>
      <c r="F89" s="27">
        <v>0</v>
      </c>
      <c r="G89" s="27">
        <v>0</v>
      </c>
      <c r="H89" s="27">
        <v>0</v>
      </c>
    </row>
    <row r="90" spans="1:14" x14ac:dyDescent="0.25">
      <c r="E90" s="27" t="s">
        <v>24</v>
      </c>
      <c r="F90" s="27" t="s">
        <v>21</v>
      </c>
      <c r="G90" s="27" t="s">
        <v>21</v>
      </c>
      <c r="H90" s="27" t="s">
        <v>21</v>
      </c>
    </row>
    <row r="91" spans="1:14" ht="15.6" customHeight="1" x14ac:dyDescent="0.25">
      <c r="A91" s="27" t="s">
        <v>95</v>
      </c>
      <c r="B91" s="27" t="s">
        <v>115</v>
      </c>
      <c r="C91" s="27">
        <v>40</v>
      </c>
      <c r="D91" s="27">
        <v>70</v>
      </c>
      <c r="E91" s="27" t="s">
        <v>20</v>
      </c>
      <c r="F91" s="27" t="s">
        <v>28</v>
      </c>
      <c r="G91" s="27" t="s">
        <v>26</v>
      </c>
      <c r="H91" s="27" t="s">
        <v>28</v>
      </c>
      <c r="I91" s="27" t="s">
        <v>22</v>
      </c>
      <c r="J91" s="27" t="s">
        <v>104</v>
      </c>
      <c r="K91" s="27" t="s">
        <v>104</v>
      </c>
      <c r="L91" s="27" t="s">
        <v>104</v>
      </c>
      <c r="M91" s="27">
        <v>830</v>
      </c>
      <c r="N91" s="27">
        <v>60</v>
      </c>
    </row>
    <row r="92" spans="1:14" x14ac:dyDescent="0.25">
      <c r="E92" s="27" t="s">
        <v>24</v>
      </c>
      <c r="F92" s="27">
        <v>0</v>
      </c>
      <c r="G92" s="27">
        <v>0</v>
      </c>
      <c r="H92" s="27">
        <v>0</v>
      </c>
    </row>
    <row r="93" spans="1:14" x14ac:dyDescent="0.25">
      <c r="E93" s="27" t="s">
        <v>20</v>
      </c>
      <c r="F93" s="27">
        <v>0</v>
      </c>
      <c r="G93" s="27">
        <v>0</v>
      </c>
      <c r="H93" s="27">
        <v>0</v>
      </c>
    </row>
    <row r="94" spans="1:14" x14ac:dyDescent="0.25">
      <c r="E94" s="27" t="s">
        <v>24</v>
      </c>
      <c r="F94" s="27" t="s">
        <v>21</v>
      </c>
      <c r="G94" s="27" t="s">
        <v>21</v>
      </c>
      <c r="H94" s="27" t="s">
        <v>21</v>
      </c>
    </row>
    <row r="95" spans="1:14" ht="15.6" customHeight="1" x14ac:dyDescent="0.25">
      <c r="A95" s="27" t="s">
        <v>95</v>
      </c>
      <c r="B95" s="27" t="s">
        <v>116</v>
      </c>
      <c r="C95" s="27">
        <v>40</v>
      </c>
      <c r="D95" s="27">
        <v>70</v>
      </c>
      <c r="E95" s="27" t="s">
        <v>20</v>
      </c>
      <c r="F95" s="27" t="s">
        <v>26</v>
      </c>
      <c r="G95" s="27" t="s">
        <v>26</v>
      </c>
      <c r="H95" s="27" t="s">
        <v>28</v>
      </c>
      <c r="I95" s="27" t="s">
        <v>22</v>
      </c>
      <c r="J95" s="27" t="s">
        <v>104</v>
      </c>
      <c r="K95" s="27" t="s">
        <v>104</v>
      </c>
      <c r="L95" s="27" t="s">
        <v>104</v>
      </c>
      <c r="M95" s="27">
        <v>830</v>
      </c>
      <c r="N95" s="27">
        <v>60</v>
      </c>
    </row>
    <row r="96" spans="1:14" x14ac:dyDescent="0.25">
      <c r="E96" s="27" t="s">
        <v>24</v>
      </c>
      <c r="F96" s="27">
        <v>0</v>
      </c>
      <c r="G96" s="27">
        <v>0</v>
      </c>
      <c r="H96" s="27">
        <v>0</v>
      </c>
    </row>
    <row r="97" spans="1:14" x14ac:dyDescent="0.25">
      <c r="E97" s="27" t="s">
        <v>20</v>
      </c>
      <c r="F97" s="27">
        <v>0</v>
      </c>
      <c r="G97" s="27">
        <v>0</v>
      </c>
      <c r="H97" s="27">
        <v>0</v>
      </c>
    </row>
    <row r="98" spans="1:14" x14ac:dyDescent="0.25">
      <c r="E98" s="27" t="s">
        <v>24</v>
      </c>
      <c r="F98" s="27" t="s">
        <v>28</v>
      </c>
      <c r="G98" s="27" t="s">
        <v>27</v>
      </c>
      <c r="H98" s="27" t="s">
        <v>21</v>
      </c>
    </row>
    <row r="99" spans="1:14" ht="15.6" customHeight="1" x14ac:dyDescent="0.25">
      <c r="A99" s="27" t="s">
        <v>95</v>
      </c>
      <c r="B99" s="27" t="s">
        <v>116</v>
      </c>
      <c r="C99" s="27">
        <v>40</v>
      </c>
      <c r="D99" s="27">
        <v>70</v>
      </c>
      <c r="E99" s="27" t="s">
        <v>20</v>
      </c>
      <c r="F99" s="27" t="s">
        <v>26</v>
      </c>
      <c r="G99" s="27" t="s">
        <v>26</v>
      </c>
      <c r="H99" s="27" t="s">
        <v>28</v>
      </c>
      <c r="I99" s="27" t="s">
        <v>22</v>
      </c>
      <c r="J99" s="27" t="s">
        <v>104</v>
      </c>
      <c r="K99" s="27" t="s">
        <v>104</v>
      </c>
      <c r="L99" s="27" t="s">
        <v>104</v>
      </c>
      <c r="M99" s="27">
        <v>830</v>
      </c>
      <c r="N99" s="27">
        <v>60</v>
      </c>
    </row>
    <row r="100" spans="1:14" x14ac:dyDescent="0.25">
      <c r="E100" s="27" t="s">
        <v>24</v>
      </c>
      <c r="F100" s="27">
        <v>0</v>
      </c>
      <c r="G100" s="27">
        <v>0</v>
      </c>
      <c r="H100" s="27">
        <v>0</v>
      </c>
    </row>
    <row r="101" spans="1:14" x14ac:dyDescent="0.25">
      <c r="E101" s="27" t="s">
        <v>20</v>
      </c>
      <c r="F101" s="27">
        <v>0</v>
      </c>
      <c r="G101" s="27">
        <v>0</v>
      </c>
      <c r="H101" s="27">
        <v>0</v>
      </c>
    </row>
    <row r="102" spans="1:14" x14ac:dyDescent="0.25">
      <c r="E102" s="27" t="s">
        <v>24</v>
      </c>
      <c r="F102" s="27" t="s">
        <v>28</v>
      </c>
      <c r="G102" s="27" t="s">
        <v>27</v>
      </c>
      <c r="H102" s="27" t="s">
        <v>21</v>
      </c>
    </row>
    <row r="103" spans="1:14" ht="15.6" customHeight="1" x14ac:dyDescent="0.25">
      <c r="A103" s="27" t="s">
        <v>95</v>
      </c>
      <c r="B103" s="27" t="s">
        <v>117</v>
      </c>
      <c r="C103" s="27">
        <v>40</v>
      </c>
      <c r="D103" s="27">
        <v>70</v>
      </c>
      <c r="E103" s="27" t="s">
        <v>20</v>
      </c>
      <c r="F103" s="27" t="s">
        <v>26</v>
      </c>
      <c r="G103" s="27" t="s">
        <v>26</v>
      </c>
      <c r="H103" s="27" t="s">
        <v>26</v>
      </c>
      <c r="I103" s="27" t="s">
        <v>22</v>
      </c>
      <c r="J103" s="27" t="s">
        <v>104</v>
      </c>
      <c r="K103" s="27" t="s">
        <v>104</v>
      </c>
      <c r="L103" s="27" t="s">
        <v>104</v>
      </c>
      <c r="M103" s="27">
        <v>830</v>
      </c>
      <c r="N103" s="27">
        <v>60</v>
      </c>
    </row>
    <row r="104" spans="1:14" x14ac:dyDescent="0.25">
      <c r="E104" s="27" t="s">
        <v>24</v>
      </c>
      <c r="F104" s="27">
        <v>0</v>
      </c>
      <c r="G104" s="27">
        <v>0</v>
      </c>
      <c r="H104" s="27">
        <v>0</v>
      </c>
    </row>
    <row r="105" spans="1:14" x14ac:dyDescent="0.25">
      <c r="E105" s="27" t="s">
        <v>20</v>
      </c>
      <c r="F105" s="27">
        <v>0</v>
      </c>
      <c r="G105" s="27" t="s">
        <v>26</v>
      </c>
      <c r="H105" s="27">
        <v>0</v>
      </c>
    </row>
    <row r="106" spans="1:14" x14ac:dyDescent="0.25">
      <c r="E106" s="27" t="s">
        <v>24</v>
      </c>
      <c r="F106" s="27" t="s">
        <v>25</v>
      </c>
      <c r="G106" s="27" t="s">
        <v>27</v>
      </c>
      <c r="H106" s="27" t="s">
        <v>25</v>
      </c>
    </row>
    <row r="107" spans="1:14" ht="15.6" customHeight="1" x14ac:dyDescent="0.25">
      <c r="A107" s="27" t="s">
        <v>95</v>
      </c>
      <c r="B107" s="27" t="s">
        <v>117</v>
      </c>
      <c r="C107" s="27">
        <v>40</v>
      </c>
      <c r="D107" s="27">
        <v>70</v>
      </c>
      <c r="E107" s="27" t="s">
        <v>20</v>
      </c>
      <c r="F107" s="27" t="s">
        <v>26</v>
      </c>
      <c r="G107" s="27" t="s">
        <v>26</v>
      </c>
      <c r="H107" s="27" t="s">
        <v>26</v>
      </c>
      <c r="I107" s="27" t="s">
        <v>22</v>
      </c>
      <c r="J107" s="27" t="s">
        <v>104</v>
      </c>
      <c r="K107" s="27" t="s">
        <v>104</v>
      </c>
      <c r="L107" s="27" t="s">
        <v>104</v>
      </c>
      <c r="M107" s="27">
        <v>830</v>
      </c>
      <c r="N107" s="27">
        <v>60</v>
      </c>
    </row>
    <row r="108" spans="1:14" x14ac:dyDescent="0.25">
      <c r="E108" s="27" t="s">
        <v>24</v>
      </c>
      <c r="F108" s="27">
        <v>0</v>
      </c>
      <c r="G108" s="27">
        <v>0</v>
      </c>
      <c r="H108" s="27">
        <v>0</v>
      </c>
    </row>
    <row r="109" spans="1:14" x14ac:dyDescent="0.25">
      <c r="E109" s="27" t="s">
        <v>20</v>
      </c>
      <c r="F109" s="27">
        <v>0</v>
      </c>
      <c r="G109" s="27" t="s">
        <v>26</v>
      </c>
      <c r="H109" s="27">
        <v>0</v>
      </c>
    </row>
    <row r="110" spans="1:14" x14ac:dyDescent="0.25">
      <c r="E110" s="27" t="s">
        <v>24</v>
      </c>
      <c r="F110" s="27" t="s">
        <v>25</v>
      </c>
      <c r="G110" s="27" t="s">
        <v>27</v>
      </c>
      <c r="H110" s="27" t="s">
        <v>25</v>
      </c>
    </row>
    <row r="111" spans="1:14" ht="15.6" customHeight="1" x14ac:dyDescent="0.25">
      <c r="A111" s="27" t="s">
        <v>95</v>
      </c>
      <c r="B111" s="27" t="s">
        <v>118</v>
      </c>
      <c r="C111" s="27">
        <v>40</v>
      </c>
      <c r="D111" s="27">
        <v>70</v>
      </c>
      <c r="E111" s="27" t="s">
        <v>20</v>
      </c>
      <c r="F111" s="27" t="s">
        <v>26</v>
      </c>
      <c r="G111" s="27" t="s">
        <v>26</v>
      </c>
      <c r="H111" s="27" t="s">
        <v>27</v>
      </c>
      <c r="I111" s="27" t="s">
        <v>22</v>
      </c>
      <c r="J111" s="27" t="s">
        <v>104</v>
      </c>
      <c r="K111" s="27" t="s">
        <v>104</v>
      </c>
      <c r="L111" s="27" t="s">
        <v>104</v>
      </c>
      <c r="M111" s="27">
        <v>830</v>
      </c>
      <c r="N111" s="27">
        <v>60</v>
      </c>
    </row>
    <row r="112" spans="1:14" x14ac:dyDescent="0.25">
      <c r="E112" s="27" t="s">
        <v>24</v>
      </c>
      <c r="F112" s="27">
        <v>0</v>
      </c>
      <c r="G112" s="27">
        <v>0</v>
      </c>
      <c r="H112" s="27">
        <v>0</v>
      </c>
    </row>
    <row r="113" spans="1:14" x14ac:dyDescent="0.25">
      <c r="E113" s="27" t="s">
        <v>20</v>
      </c>
      <c r="F113" s="27">
        <v>0</v>
      </c>
      <c r="G113" s="27">
        <v>0</v>
      </c>
      <c r="H113" s="27">
        <v>0</v>
      </c>
    </row>
    <row r="114" spans="1:14" x14ac:dyDescent="0.25">
      <c r="E114" s="27" t="s">
        <v>24</v>
      </c>
      <c r="F114" s="27" t="s">
        <v>28</v>
      </c>
      <c r="G114" s="27" t="s">
        <v>27</v>
      </c>
      <c r="H114" s="27" t="s">
        <v>21</v>
      </c>
    </row>
    <row r="115" spans="1:14" ht="15.6" customHeight="1" x14ac:dyDescent="0.25">
      <c r="A115" s="27" t="s">
        <v>95</v>
      </c>
      <c r="B115" s="27" t="s">
        <v>118</v>
      </c>
      <c r="C115" s="27">
        <v>40</v>
      </c>
      <c r="D115" s="27">
        <v>70</v>
      </c>
      <c r="E115" s="27" t="s">
        <v>20</v>
      </c>
      <c r="F115" s="27" t="s">
        <v>26</v>
      </c>
      <c r="G115" s="27" t="s">
        <v>26</v>
      </c>
      <c r="H115" s="27" t="s">
        <v>27</v>
      </c>
      <c r="I115" s="27" t="s">
        <v>22</v>
      </c>
      <c r="J115" s="27" t="s">
        <v>104</v>
      </c>
      <c r="K115" s="27" t="s">
        <v>104</v>
      </c>
      <c r="L115" s="27" t="s">
        <v>104</v>
      </c>
      <c r="M115" s="27">
        <v>830</v>
      </c>
      <c r="N115" s="27">
        <v>60</v>
      </c>
    </row>
    <row r="116" spans="1:14" x14ac:dyDescent="0.25">
      <c r="E116" s="27" t="s">
        <v>24</v>
      </c>
      <c r="F116" s="27">
        <v>0</v>
      </c>
      <c r="G116" s="27">
        <v>0</v>
      </c>
      <c r="H116" s="27">
        <v>0</v>
      </c>
    </row>
    <row r="117" spans="1:14" x14ac:dyDescent="0.25">
      <c r="E117" s="27" t="s">
        <v>20</v>
      </c>
      <c r="F117" s="27">
        <v>0</v>
      </c>
      <c r="G117" s="27">
        <v>0</v>
      </c>
      <c r="H117" s="27">
        <v>0</v>
      </c>
    </row>
    <row r="118" spans="1:14" x14ac:dyDescent="0.25">
      <c r="E118" s="27" t="s">
        <v>24</v>
      </c>
      <c r="F118" s="27" t="s">
        <v>28</v>
      </c>
      <c r="G118" s="27" t="s">
        <v>27</v>
      </c>
      <c r="H118" s="27" t="s">
        <v>21</v>
      </c>
    </row>
    <row r="119" spans="1:14" ht="15.6" customHeight="1" x14ac:dyDescent="0.25">
      <c r="A119" s="27" t="s">
        <v>95</v>
      </c>
      <c r="B119" s="27" t="s">
        <v>119</v>
      </c>
      <c r="C119" s="27">
        <v>40</v>
      </c>
      <c r="D119" s="27">
        <v>70</v>
      </c>
      <c r="E119" s="27" t="s">
        <v>20</v>
      </c>
      <c r="F119" s="27" t="s">
        <v>27</v>
      </c>
      <c r="G119" s="27" t="s">
        <v>26</v>
      </c>
      <c r="H119" s="27" t="s">
        <v>26</v>
      </c>
      <c r="I119" s="27" t="s">
        <v>22</v>
      </c>
      <c r="J119" s="27" t="s">
        <v>104</v>
      </c>
      <c r="K119" s="27" t="s">
        <v>104</v>
      </c>
      <c r="L119" s="27" t="s">
        <v>104</v>
      </c>
      <c r="M119" s="27">
        <v>830</v>
      </c>
      <c r="N119" s="27">
        <v>60</v>
      </c>
    </row>
    <row r="120" spans="1:14" x14ac:dyDescent="0.25">
      <c r="E120" s="27" t="s">
        <v>24</v>
      </c>
      <c r="F120" s="27">
        <v>0</v>
      </c>
      <c r="G120" s="27">
        <v>0</v>
      </c>
      <c r="H120" s="27">
        <v>0</v>
      </c>
    </row>
    <row r="121" spans="1:14" x14ac:dyDescent="0.25">
      <c r="E121" s="27" t="s">
        <v>20</v>
      </c>
      <c r="F121" s="27">
        <v>0</v>
      </c>
      <c r="G121" s="27">
        <v>0</v>
      </c>
      <c r="H121" s="27">
        <v>0</v>
      </c>
    </row>
    <row r="122" spans="1:14" x14ac:dyDescent="0.25">
      <c r="E122" s="27" t="s">
        <v>24</v>
      </c>
      <c r="F122" s="27" t="s">
        <v>21</v>
      </c>
      <c r="G122" s="27" t="s">
        <v>27</v>
      </c>
      <c r="H122" s="27" t="s">
        <v>28</v>
      </c>
    </row>
    <row r="123" spans="1:14" ht="15.6" customHeight="1" x14ac:dyDescent="0.25">
      <c r="A123" s="27" t="s">
        <v>95</v>
      </c>
      <c r="B123" s="27" t="s">
        <v>119</v>
      </c>
      <c r="C123" s="27">
        <v>40</v>
      </c>
      <c r="D123" s="27">
        <v>70</v>
      </c>
      <c r="E123" s="27" t="s">
        <v>20</v>
      </c>
      <c r="F123" s="27" t="s">
        <v>27</v>
      </c>
      <c r="G123" s="27" t="s">
        <v>26</v>
      </c>
      <c r="H123" s="27" t="s">
        <v>26</v>
      </c>
      <c r="I123" s="27" t="s">
        <v>22</v>
      </c>
      <c r="J123" s="27" t="s">
        <v>104</v>
      </c>
      <c r="K123" s="27" t="s">
        <v>104</v>
      </c>
      <c r="L123" s="27" t="s">
        <v>104</v>
      </c>
      <c r="M123" s="27">
        <v>830</v>
      </c>
      <c r="N123" s="27">
        <v>60</v>
      </c>
    </row>
    <row r="124" spans="1:14" x14ac:dyDescent="0.25">
      <c r="E124" s="27" t="s">
        <v>24</v>
      </c>
      <c r="F124" s="27">
        <v>0</v>
      </c>
      <c r="G124" s="27">
        <v>0</v>
      </c>
      <c r="H124" s="27">
        <v>0</v>
      </c>
    </row>
    <row r="125" spans="1:14" x14ac:dyDescent="0.25">
      <c r="E125" s="27" t="s">
        <v>20</v>
      </c>
      <c r="F125" s="27">
        <v>0</v>
      </c>
      <c r="G125" s="27">
        <v>0</v>
      </c>
      <c r="H125" s="27">
        <v>0</v>
      </c>
    </row>
    <row r="126" spans="1:14" x14ac:dyDescent="0.25">
      <c r="E126" s="27" t="s">
        <v>24</v>
      </c>
      <c r="F126" s="27" t="s">
        <v>21</v>
      </c>
      <c r="G126" s="27" t="s">
        <v>27</v>
      </c>
      <c r="H126" s="27" t="s">
        <v>28</v>
      </c>
    </row>
    <row r="127" spans="1:14" ht="15.6" customHeight="1" x14ac:dyDescent="0.25">
      <c r="A127" s="27" t="s">
        <v>95</v>
      </c>
      <c r="B127" s="27" t="s">
        <v>120</v>
      </c>
      <c r="C127" s="27">
        <v>40</v>
      </c>
      <c r="D127" s="27">
        <v>70</v>
      </c>
      <c r="E127" s="27" t="s">
        <v>20</v>
      </c>
      <c r="F127" s="27" t="s">
        <v>26</v>
      </c>
      <c r="G127" s="27" t="s">
        <v>26</v>
      </c>
      <c r="H127" s="27" t="s">
        <v>26</v>
      </c>
      <c r="I127" s="27" t="s">
        <v>22</v>
      </c>
      <c r="J127" s="27" t="s">
        <v>104</v>
      </c>
      <c r="K127" s="27" t="s">
        <v>104</v>
      </c>
      <c r="L127" s="27" t="s">
        <v>104</v>
      </c>
      <c r="M127" s="27">
        <v>830</v>
      </c>
      <c r="N127" s="27">
        <v>0</v>
      </c>
    </row>
    <row r="128" spans="1:14" x14ac:dyDescent="0.25">
      <c r="E128" s="27" t="s">
        <v>24</v>
      </c>
      <c r="F128" s="27">
        <v>0</v>
      </c>
      <c r="G128" s="27">
        <v>0</v>
      </c>
      <c r="H128" s="27">
        <v>0</v>
      </c>
    </row>
    <row r="129" spans="1:14" x14ac:dyDescent="0.25">
      <c r="E129" s="27" t="s">
        <v>20</v>
      </c>
      <c r="F129" s="27">
        <v>0</v>
      </c>
      <c r="G129" s="27">
        <v>0</v>
      </c>
      <c r="H129" s="27">
        <v>0</v>
      </c>
    </row>
    <row r="130" spans="1:14" x14ac:dyDescent="0.25">
      <c r="E130" s="27" t="s">
        <v>24</v>
      </c>
      <c r="F130" s="27" t="s">
        <v>27</v>
      </c>
      <c r="G130" s="27" t="s">
        <v>25</v>
      </c>
      <c r="H130" s="27" t="s">
        <v>27</v>
      </c>
    </row>
    <row r="131" spans="1:14" ht="15.6" customHeight="1" x14ac:dyDescent="0.25">
      <c r="A131" s="27" t="s">
        <v>95</v>
      </c>
      <c r="B131" s="27" t="s">
        <v>120</v>
      </c>
      <c r="C131" s="27">
        <v>40</v>
      </c>
      <c r="D131" s="27">
        <v>70</v>
      </c>
      <c r="E131" s="27" t="s">
        <v>20</v>
      </c>
      <c r="F131" s="27" t="s">
        <v>26</v>
      </c>
      <c r="G131" s="27" t="s">
        <v>26</v>
      </c>
      <c r="H131" s="27" t="s">
        <v>26</v>
      </c>
      <c r="I131" s="27" t="s">
        <v>22</v>
      </c>
      <c r="J131" s="27" t="s">
        <v>104</v>
      </c>
      <c r="K131" s="27" t="s">
        <v>104</v>
      </c>
      <c r="L131" s="27" t="s">
        <v>104</v>
      </c>
      <c r="M131" s="27">
        <v>830</v>
      </c>
      <c r="N131" s="27">
        <v>0</v>
      </c>
    </row>
    <row r="132" spans="1:14" x14ac:dyDescent="0.25">
      <c r="E132" s="27" t="s">
        <v>24</v>
      </c>
      <c r="F132" s="27">
        <v>0</v>
      </c>
      <c r="G132" s="27">
        <v>0</v>
      </c>
      <c r="H132" s="27">
        <v>0</v>
      </c>
    </row>
    <row r="133" spans="1:14" x14ac:dyDescent="0.25">
      <c r="E133" s="27" t="s">
        <v>20</v>
      </c>
      <c r="F133" s="27">
        <v>0</v>
      </c>
      <c r="G133" s="27">
        <v>0</v>
      </c>
      <c r="H133" s="27">
        <v>0</v>
      </c>
    </row>
    <row r="134" spans="1:14" x14ac:dyDescent="0.25">
      <c r="E134" s="27" t="s">
        <v>24</v>
      </c>
      <c r="F134" s="27" t="s">
        <v>27</v>
      </c>
      <c r="G134" s="27" t="s">
        <v>25</v>
      </c>
      <c r="H134" s="27" t="s">
        <v>27</v>
      </c>
    </row>
    <row r="135" spans="1:14" ht="15.6" customHeight="1" x14ac:dyDescent="0.25">
      <c r="A135" s="27" t="s">
        <v>95</v>
      </c>
      <c r="B135" s="27" t="s">
        <v>120</v>
      </c>
      <c r="C135" s="27">
        <v>40</v>
      </c>
      <c r="D135" s="27">
        <v>70</v>
      </c>
      <c r="E135" s="27" t="s">
        <v>20</v>
      </c>
      <c r="F135" s="27" t="s">
        <v>26</v>
      </c>
      <c r="G135" s="27" t="s">
        <v>26</v>
      </c>
      <c r="H135" s="27" t="s">
        <v>26</v>
      </c>
      <c r="I135" s="27" t="s">
        <v>22</v>
      </c>
      <c r="J135" s="27" t="s">
        <v>104</v>
      </c>
      <c r="K135" s="27" t="s">
        <v>104</v>
      </c>
      <c r="L135" s="27" t="s">
        <v>104</v>
      </c>
      <c r="M135" s="27">
        <v>830</v>
      </c>
      <c r="N135" s="27">
        <v>60</v>
      </c>
    </row>
    <row r="136" spans="1:14" x14ac:dyDescent="0.25">
      <c r="E136" s="27" t="s">
        <v>24</v>
      </c>
      <c r="F136" s="27">
        <v>0</v>
      </c>
      <c r="G136" s="27">
        <v>0</v>
      </c>
      <c r="H136" s="27">
        <v>0</v>
      </c>
    </row>
    <row r="137" spans="1:14" x14ac:dyDescent="0.25">
      <c r="E137" s="27" t="s">
        <v>20</v>
      </c>
      <c r="F137" s="27">
        <v>0</v>
      </c>
      <c r="G137" s="27">
        <v>0</v>
      </c>
      <c r="H137" s="27">
        <v>0</v>
      </c>
    </row>
    <row r="138" spans="1:14" x14ac:dyDescent="0.25">
      <c r="E138" s="27" t="s">
        <v>24</v>
      </c>
      <c r="F138" s="27" t="s">
        <v>27</v>
      </c>
      <c r="G138" s="27" t="s">
        <v>25</v>
      </c>
      <c r="H138" s="27" t="s">
        <v>27</v>
      </c>
    </row>
    <row r="139" spans="1:14" ht="15.6" customHeight="1" x14ac:dyDescent="0.25">
      <c r="A139" s="27" t="s">
        <v>95</v>
      </c>
      <c r="B139" s="27" t="s">
        <v>121</v>
      </c>
      <c r="C139" s="27">
        <v>40</v>
      </c>
      <c r="D139" s="27">
        <v>70</v>
      </c>
      <c r="E139" s="27" t="s">
        <v>20</v>
      </c>
      <c r="F139" s="27" t="s">
        <v>26</v>
      </c>
      <c r="G139" s="27" t="s">
        <v>26</v>
      </c>
      <c r="H139" s="27" t="s">
        <v>26</v>
      </c>
      <c r="I139" s="27" t="s">
        <v>22</v>
      </c>
      <c r="J139" s="27" t="s">
        <v>104</v>
      </c>
      <c r="K139" s="27" t="s">
        <v>104</v>
      </c>
      <c r="L139" s="27" t="s">
        <v>104</v>
      </c>
      <c r="M139" s="27">
        <v>830</v>
      </c>
      <c r="N139" s="27">
        <v>60</v>
      </c>
    </row>
    <row r="140" spans="1:14" x14ac:dyDescent="0.25">
      <c r="E140" s="27" t="s">
        <v>24</v>
      </c>
      <c r="F140" s="27">
        <v>0</v>
      </c>
      <c r="G140" s="27">
        <v>0</v>
      </c>
      <c r="H140" s="27">
        <v>0</v>
      </c>
    </row>
    <row r="141" spans="1:14" x14ac:dyDescent="0.25">
      <c r="E141" s="27" t="s">
        <v>20</v>
      </c>
      <c r="F141" s="27" t="s">
        <v>21</v>
      </c>
      <c r="G141" s="27" t="s">
        <v>27</v>
      </c>
      <c r="H141" s="27" t="s">
        <v>26</v>
      </c>
    </row>
    <row r="142" spans="1:14" x14ac:dyDescent="0.25">
      <c r="E142" s="27" t="s">
        <v>24</v>
      </c>
      <c r="F142" s="27" t="s">
        <v>25</v>
      </c>
      <c r="G142" s="27" t="s">
        <v>25</v>
      </c>
      <c r="H142" s="27" t="s">
        <v>25</v>
      </c>
    </row>
    <row r="143" spans="1:14" ht="15.6" customHeight="1" x14ac:dyDescent="0.25">
      <c r="A143" s="27" t="s">
        <v>95</v>
      </c>
      <c r="B143" s="27" t="s">
        <v>122</v>
      </c>
      <c r="C143" s="27">
        <v>40</v>
      </c>
      <c r="D143" s="27">
        <v>70</v>
      </c>
      <c r="E143" s="27" t="s">
        <v>20</v>
      </c>
      <c r="F143" s="27" t="s">
        <v>26</v>
      </c>
      <c r="G143" s="27" t="s">
        <v>26</v>
      </c>
      <c r="H143" s="27" t="s">
        <v>26</v>
      </c>
      <c r="I143" s="27" t="s">
        <v>22</v>
      </c>
      <c r="J143" s="27" t="s">
        <v>104</v>
      </c>
      <c r="K143" s="27" t="s">
        <v>104</v>
      </c>
      <c r="L143" s="27" t="s">
        <v>104</v>
      </c>
      <c r="M143" s="27">
        <v>563</v>
      </c>
      <c r="N143" s="27">
        <v>50</v>
      </c>
    </row>
    <row r="144" spans="1:14" x14ac:dyDescent="0.25">
      <c r="E144" s="27" t="s">
        <v>24</v>
      </c>
      <c r="F144" s="27">
        <v>0</v>
      </c>
      <c r="G144" s="27">
        <v>0</v>
      </c>
      <c r="H144" s="27">
        <v>0</v>
      </c>
    </row>
    <row r="145" spans="1:14" x14ac:dyDescent="0.25">
      <c r="E145" s="27" t="s">
        <v>20</v>
      </c>
      <c r="F145" s="27">
        <v>0</v>
      </c>
      <c r="G145" s="27">
        <v>0</v>
      </c>
      <c r="H145" s="27">
        <v>0</v>
      </c>
    </row>
    <row r="146" spans="1:14" x14ac:dyDescent="0.25">
      <c r="E146" s="27" t="s">
        <v>24</v>
      </c>
      <c r="F146" s="27" t="s">
        <v>21</v>
      </c>
      <c r="G146" s="27" t="s">
        <v>21</v>
      </c>
      <c r="H146" s="27" t="s">
        <v>21</v>
      </c>
    </row>
    <row r="147" spans="1:14" ht="15.6" customHeight="1" x14ac:dyDescent="0.25">
      <c r="A147" s="27" t="s">
        <v>95</v>
      </c>
      <c r="B147" s="27" t="s">
        <v>123</v>
      </c>
      <c r="C147" s="27">
        <v>40</v>
      </c>
      <c r="D147" s="27">
        <v>70</v>
      </c>
      <c r="E147" s="27" t="s">
        <v>20</v>
      </c>
      <c r="F147" s="27" t="s">
        <v>26</v>
      </c>
      <c r="G147" s="27" t="s">
        <v>26</v>
      </c>
      <c r="H147" s="27" t="s">
        <v>26</v>
      </c>
      <c r="I147" s="27" t="s">
        <v>22</v>
      </c>
      <c r="J147" s="27" t="s">
        <v>104</v>
      </c>
      <c r="K147" s="27" t="s">
        <v>104</v>
      </c>
      <c r="L147" s="27" t="s">
        <v>104</v>
      </c>
      <c r="M147" s="27">
        <v>538</v>
      </c>
      <c r="N147" s="27">
        <v>50</v>
      </c>
    </row>
    <row r="148" spans="1:14" x14ac:dyDescent="0.25">
      <c r="E148" s="27" t="s">
        <v>24</v>
      </c>
      <c r="F148" s="27">
        <v>0</v>
      </c>
      <c r="G148" s="27">
        <v>0</v>
      </c>
      <c r="H148" s="27">
        <v>0</v>
      </c>
    </row>
    <row r="149" spans="1:14" x14ac:dyDescent="0.25">
      <c r="E149" s="27" t="s">
        <v>20</v>
      </c>
      <c r="F149" s="27">
        <v>0</v>
      </c>
      <c r="G149" s="27">
        <v>0</v>
      </c>
      <c r="H149" s="27">
        <v>0</v>
      </c>
    </row>
    <row r="150" spans="1:14" x14ac:dyDescent="0.25">
      <c r="E150" s="27" t="s">
        <v>24</v>
      </c>
      <c r="F150" s="27" t="s">
        <v>21</v>
      </c>
      <c r="G150" s="27" t="s">
        <v>21</v>
      </c>
      <c r="H150" s="27" t="s">
        <v>21</v>
      </c>
    </row>
    <row r="151" spans="1:14" ht="15.6" customHeight="1" x14ac:dyDescent="0.25">
      <c r="A151" s="27" t="s">
        <v>46</v>
      </c>
      <c r="B151" s="27" t="s">
        <v>110</v>
      </c>
      <c r="C151" s="27">
        <v>40</v>
      </c>
      <c r="D151" s="27">
        <v>65</v>
      </c>
      <c r="E151" s="27" t="s">
        <v>20</v>
      </c>
      <c r="F151" s="27" t="s">
        <v>26</v>
      </c>
      <c r="G151" s="27" t="s">
        <v>21</v>
      </c>
      <c r="H151" s="27" t="s">
        <v>25</v>
      </c>
      <c r="I151" s="27" t="s">
        <v>22</v>
      </c>
      <c r="J151" s="27" t="s">
        <v>104</v>
      </c>
      <c r="K151" s="27" t="s">
        <v>104</v>
      </c>
      <c r="L151" s="27" t="s">
        <v>104</v>
      </c>
      <c r="M151" s="27">
        <v>830</v>
      </c>
      <c r="N151" s="27">
        <v>60</v>
      </c>
    </row>
    <row r="152" spans="1:14" x14ac:dyDescent="0.25">
      <c r="E152" s="27" t="s">
        <v>24</v>
      </c>
      <c r="F152" s="27">
        <v>0</v>
      </c>
      <c r="G152" s="27">
        <v>0</v>
      </c>
      <c r="H152" s="27" t="s">
        <v>26</v>
      </c>
    </row>
    <row r="153" spans="1:14" x14ac:dyDescent="0.25">
      <c r="E153" s="27" t="s">
        <v>20</v>
      </c>
      <c r="F153" s="27">
        <v>0</v>
      </c>
      <c r="G153" s="27">
        <v>0</v>
      </c>
      <c r="H153" s="27">
        <v>0</v>
      </c>
    </row>
    <row r="154" spans="1:14" x14ac:dyDescent="0.25">
      <c r="E154" s="27" t="s">
        <v>24</v>
      </c>
      <c r="F154" s="27" t="s">
        <v>28</v>
      </c>
      <c r="G154" s="27" t="s">
        <v>28</v>
      </c>
      <c r="H154" s="27" t="s">
        <v>21</v>
      </c>
    </row>
    <row r="155" spans="1:14" ht="15.6" customHeight="1" x14ac:dyDescent="0.25">
      <c r="A155" s="27" t="s">
        <v>46</v>
      </c>
      <c r="B155" s="27" t="s">
        <v>116</v>
      </c>
      <c r="C155" s="27">
        <v>40</v>
      </c>
      <c r="D155" s="27">
        <v>65</v>
      </c>
      <c r="E155" s="27" t="s">
        <v>20</v>
      </c>
      <c r="F155" s="27" t="s">
        <v>26</v>
      </c>
      <c r="G155" s="27" t="s">
        <v>21</v>
      </c>
      <c r="H155" s="27" t="s">
        <v>30</v>
      </c>
      <c r="I155" s="27" t="s">
        <v>22</v>
      </c>
      <c r="J155" s="27" t="s">
        <v>104</v>
      </c>
      <c r="K155" s="27" t="s">
        <v>104</v>
      </c>
      <c r="L155" s="27" t="s">
        <v>104</v>
      </c>
      <c r="M155" s="27">
        <v>830</v>
      </c>
      <c r="N155" s="27">
        <v>60</v>
      </c>
    </row>
    <row r="156" spans="1:14" x14ac:dyDescent="0.25">
      <c r="E156" s="27" t="s">
        <v>24</v>
      </c>
      <c r="F156" s="27">
        <v>0</v>
      </c>
      <c r="G156" s="27">
        <v>0</v>
      </c>
      <c r="H156" s="27">
        <v>0</v>
      </c>
    </row>
    <row r="157" spans="1:14" x14ac:dyDescent="0.25">
      <c r="E157" s="27" t="s">
        <v>20</v>
      </c>
      <c r="F157" s="27">
        <v>0</v>
      </c>
      <c r="G157" s="27">
        <v>0</v>
      </c>
      <c r="H157" s="27">
        <v>0</v>
      </c>
    </row>
    <row r="158" spans="1:14" x14ac:dyDescent="0.25">
      <c r="E158" s="27" t="s">
        <v>24</v>
      </c>
      <c r="F158" s="27" t="s">
        <v>21</v>
      </c>
      <c r="G158" s="27" t="s">
        <v>21</v>
      </c>
      <c r="H158" s="27" t="s">
        <v>21</v>
      </c>
    </row>
    <row r="159" spans="1:14" ht="15.6" customHeight="1" x14ac:dyDescent="0.25">
      <c r="A159" s="27" t="s">
        <v>46</v>
      </c>
      <c r="B159" s="27" t="s">
        <v>110</v>
      </c>
      <c r="C159" s="27">
        <v>40</v>
      </c>
      <c r="D159" s="27">
        <v>65</v>
      </c>
      <c r="E159" s="27" t="s">
        <v>20</v>
      </c>
      <c r="F159" s="27" t="s">
        <v>26</v>
      </c>
      <c r="G159" s="27" t="s">
        <v>21</v>
      </c>
      <c r="H159" s="27" t="s">
        <v>25</v>
      </c>
      <c r="I159" s="27" t="s">
        <v>22</v>
      </c>
      <c r="J159" s="27" t="s">
        <v>104</v>
      </c>
      <c r="K159" s="27" t="s">
        <v>104</v>
      </c>
      <c r="L159" s="27" t="s">
        <v>104</v>
      </c>
      <c r="M159" s="27">
        <v>830</v>
      </c>
      <c r="N159" s="27">
        <v>60</v>
      </c>
    </row>
    <row r="160" spans="1:14" x14ac:dyDescent="0.25">
      <c r="E160" s="27" t="s">
        <v>24</v>
      </c>
      <c r="F160" s="27">
        <v>0</v>
      </c>
      <c r="G160" s="27">
        <v>0</v>
      </c>
      <c r="H160" s="27" t="s">
        <v>26</v>
      </c>
    </row>
    <row r="161" spans="1:14" x14ac:dyDescent="0.25">
      <c r="E161" s="27" t="s">
        <v>20</v>
      </c>
      <c r="F161" s="27">
        <v>0</v>
      </c>
      <c r="G161" s="27">
        <v>0</v>
      </c>
      <c r="H161" s="27">
        <v>0</v>
      </c>
    </row>
    <row r="162" spans="1:14" x14ac:dyDescent="0.25">
      <c r="E162" s="27" t="s">
        <v>24</v>
      </c>
      <c r="F162" s="27" t="s">
        <v>28</v>
      </c>
      <c r="G162" s="27" t="s">
        <v>28</v>
      </c>
      <c r="H162" s="27" t="s">
        <v>21</v>
      </c>
    </row>
    <row r="163" spans="1:14" ht="15.6" customHeight="1" x14ac:dyDescent="0.25">
      <c r="A163" s="27" t="s">
        <v>46</v>
      </c>
      <c r="B163" s="27" t="s">
        <v>116</v>
      </c>
      <c r="C163" s="27">
        <v>40</v>
      </c>
      <c r="D163" s="27">
        <v>65</v>
      </c>
      <c r="E163" s="27" t="s">
        <v>20</v>
      </c>
      <c r="F163" s="27" t="s">
        <v>26</v>
      </c>
      <c r="G163" s="27" t="s">
        <v>21</v>
      </c>
      <c r="H163" s="27" t="s">
        <v>30</v>
      </c>
      <c r="I163" s="27" t="s">
        <v>22</v>
      </c>
      <c r="J163" s="27" t="s">
        <v>104</v>
      </c>
      <c r="K163" s="27" t="s">
        <v>104</v>
      </c>
      <c r="L163" s="27" t="s">
        <v>104</v>
      </c>
      <c r="M163" s="27">
        <v>830</v>
      </c>
      <c r="N163" s="27">
        <v>60</v>
      </c>
    </row>
    <row r="164" spans="1:14" x14ac:dyDescent="0.25">
      <c r="E164" s="27" t="s">
        <v>24</v>
      </c>
      <c r="F164" s="27">
        <v>0</v>
      </c>
      <c r="G164" s="27">
        <v>0</v>
      </c>
      <c r="H164" s="27">
        <v>0</v>
      </c>
    </row>
    <row r="165" spans="1:14" x14ac:dyDescent="0.25">
      <c r="E165" s="27" t="s">
        <v>20</v>
      </c>
      <c r="F165" s="27">
        <v>0</v>
      </c>
      <c r="G165" s="27">
        <v>0</v>
      </c>
      <c r="H165" s="27">
        <v>0</v>
      </c>
    </row>
    <row r="166" spans="1:14" x14ac:dyDescent="0.25">
      <c r="E166" s="27" t="s">
        <v>24</v>
      </c>
      <c r="F166" s="27" t="s">
        <v>21</v>
      </c>
      <c r="G166" s="27" t="s">
        <v>21</v>
      </c>
      <c r="H166" s="27" t="s">
        <v>21</v>
      </c>
    </row>
    <row r="167" spans="1:14" ht="15.6" customHeight="1" x14ac:dyDescent="0.25">
      <c r="A167" s="27" t="s">
        <v>46</v>
      </c>
      <c r="B167" s="27" t="s">
        <v>110</v>
      </c>
      <c r="C167" s="27">
        <v>40</v>
      </c>
      <c r="D167" s="27">
        <v>65</v>
      </c>
      <c r="E167" s="27" t="s">
        <v>20</v>
      </c>
      <c r="F167" s="27" t="s">
        <v>26</v>
      </c>
      <c r="G167" s="27" t="s">
        <v>21</v>
      </c>
      <c r="H167" s="27" t="s">
        <v>25</v>
      </c>
      <c r="I167" s="27" t="s">
        <v>22</v>
      </c>
      <c r="J167" s="27" t="s">
        <v>104</v>
      </c>
      <c r="K167" s="27" t="s">
        <v>104</v>
      </c>
      <c r="L167" s="27" t="s">
        <v>104</v>
      </c>
      <c r="M167" s="27">
        <v>830</v>
      </c>
      <c r="N167" s="27">
        <v>60</v>
      </c>
    </row>
    <row r="168" spans="1:14" x14ac:dyDescent="0.25">
      <c r="E168" s="27" t="s">
        <v>24</v>
      </c>
      <c r="F168" s="27">
        <v>0</v>
      </c>
      <c r="G168" s="27">
        <v>0</v>
      </c>
      <c r="H168" s="27" t="s">
        <v>26</v>
      </c>
    </row>
    <row r="169" spans="1:14" x14ac:dyDescent="0.25">
      <c r="E169" s="27" t="s">
        <v>20</v>
      </c>
      <c r="F169" s="27">
        <v>0</v>
      </c>
      <c r="G169" s="27">
        <v>0</v>
      </c>
      <c r="H169" s="27">
        <v>0</v>
      </c>
    </row>
    <row r="170" spans="1:14" x14ac:dyDescent="0.25">
      <c r="E170" s="27" t="s">
        <v>24</v>
      </c>
      <c r="F170" s="27" t="s">
        <v>28</v>
      </c>
      <c r="G170" s="27" t="s">
        <v>28</v>
      </c>
      <c r="H170" s="27" t="s">
        <v>21</v>
      </c>
    </row>
    <row r="171" spans="1:14" ht="15.6" customHeight="1" x14ac:dyDescent="0.25">
      <c r="A171" s="27" t="s">
        <v>46</v>
      </c>
      <c r="B171" s="27" t="s">
        <v>110</v>
      </c>
      <c r="C171" s="27">
        <v>40</v>
      </c>
      <c r="D171" s="27">
        <v>65</v>
      </c>
      <c r="E171" s="27" t="s">
        <v>20</v>
      </c>
      <c r="F171" s="27" t="s">
        <v>26</v>
      </c>
      <c r="G171" s="27" t="s">
        <v>21</v>
      </c>
      <c r="H171" s="27" t="s">
        <v>25</v>
      </c>
      <c r="I171" s="27" t="s">
        <v>22</v>
      </c>
      <c r="J171" s="27" t="s">
        <v>104</v>
      </c>
      <c r="K171" s="27" t="s">
        <v>104</v>
      </c>
      <c r="L171" s="27" t="s">
        <v>104</v>
      </c>
      <c r="M171" s="27">
        <v>830</v>
      </c>
      <c r="N171" s="27">
        <v>60</v>
      </c>
    </row>
    <row r="172" spans="1:14" x14ac:dyDescent="0.25">
      <c r="E172" s="27" t="s">
        <v>24</v>
      </c>
      <c r="F172" s="27">
        <v>0</v>
      </c>
      <c r="G172" s="27">
        <v>0</v>
      </c>
      <c r="H172" s="27" t="s">
        <v>26</v>
      </c>
    </row>
    <row r="173" spans="1:14" x14ac:dyDescent="0.25">
      <c r="E173" s="27" t="s">
        <v>20</v>
      </c>
      <c r="F173" s="27">
        <v>0</v>
      </c>
      <c r="G173" s="27">
        <v>0</v>
      </c>
      <c r="H173" s="27">
        <v>0</v>
      </c>
    </row>
    <row r="174" spans="1:14" x14ac:dyDescent="0.25">
      <c r="E174" s="27" t="s">
        <v>24</v>
      </c>
      <c r="F174" s="27" t="s">
        <v>28</v>
      </c>
      <c r="G174" s="27" t="s">
        <v>28</v>
      </c>
      <c r="H174" s="27" t="s">
        <v>21</v>
      </c>
    </row>
    <row r="175" spans="1:14" ht="15.6" customHeight="1" x14ac:dyDescent="0.25">
      <c r="A175" s="27" t="s">
        <v>46</v>
      </c>
      <c r="B175" s="27" t="s">
        <v>124</v>
      </c>
      <c r="C175" s="27">
        <v>40</v>
      </c>
      <c r="D175" s="27">
        <v>65</v>
      </c>
      <c r="E175" s="27" t="s">
        <v>20</v>
      </c>
      <c r="F175" s="27" t="s">
        <v>26</v>
      </c>
      <c r="G175" s="27" t="s">
        <v>21</v>
      </c>
      <c r="H175" s="27" t="s">
        <v>27</v>
      </c>
      <c r="I175" s="27" t="s">
        <v>22</v>
      </c>
      <c r="J175" s="27" t="s">
        <v>104</v>
      </c>
      <c r="K175" s="27" t="s">
        <v>104</v>
      </c>
      <c r="L175" s="27" t="s">
        <v>104</v>
      </c>
      <c r="M175" s="27">
        <v>830</v>
      </c>
      <c r="N175" s="27">
        <v>50</v>
      </c>
    </row>
    <row r="176" spans="1:14" x14ac:dyDescent="0.25">
      <c r="E176" s="27" t="s">
        <v>24</v>
      </c>
      <c r="F176" s="27">
        <v>0</v>
      </c>
      <c r="G176" s="27">
        <v>0</v>
      </c>
      <c r="H176" s="27">
        <v>0</v>
      </c>
    </row>
    <row r="177" spans="1:14" x14ac:dyDescent="0.25">
      <c r="E177" s="27" t="s">
        <v>20</v>
      </c>
      <c r="F177" s="27">
        <v>0</v>
      </c>
      <c r="G177" s="27">
        <v>0</v>
      </c>
      <c r="H177" s="27">
        <v>0</v>
      </c>
    </row>
    <row r="178" spans="1:14" x14ac:dyDescent="0.25">
      <c r="E178" s="27" t="s">
        <v>24</v>
      </c>
      <c r="F178" s="27" t="s">
        <v>27</v>
      </c>
      <c r="G178" s="27" t="s">
        <v>27</v>
      </c>
      <c r="H178" s="27" t="s">
        <v>21</v>
      </c>
    </row>
    <row r="179" spans="1:14" x14ac:dyDescent="0.25">
      <c r="A179" s="27" t="s">
        <v>46</v>
      </c>
      <c r="B179" s="27" t="s">
        <v>125</v>
      </c>
      <c r="C179" s="27">
        <v>40</v>
      </c>
      <c r="D179" s="27">
        <v>65</v>
      </c>
      <c r="E179" s="27" t="s">
        <v>20</v>
      </c>
      <c r="F179" s="27" t="s">
        <v>27</v>
      </c>
      <c r="G179" s="27" t="s">
        <v>21</v>
      </c>
      <c r="H179" s="27" t="s">
        <v>27</v>
      </c>
      <c r="I179" s="27" t="s">
        <v>22</v>
      </c>
      <c r="J179" s="27" t="s">
        <v>104</v>
      </c>
      <c r="K179" s="27" t="s">
        <v>104</v>
      </c>
      <c r="L179" s="27" t="s">
        <v>104</v>
      </c>
      <c r="M179" s="27">
        <v>830</v>
      </c>
      <c r="N179" s="27">
        <v>50</v>
      </c>
    </row>
    <row r="180" spans="1:14" x14ac:dyDescent="0.25">
      <c r="E180" s="27" t="s">
        <v>24</v>
      </c>
      <c r="F180" s="27">
        <v>0</v>
      </c>
      <c r="G180" s="27">
        <v>0</v>
      </c>
      <c r="H180" s="27">
        <v>0</v>
      </c>
    </row>
    <row r="181" spans="1:14" x14ac:dyDescent="0.25">
      <c r="E181" s="27" t="s">
        <v>20</v>
      </c>
      <c r="F181" s="27">
        <v>0</v>
      </c>
      <c r="G181" s="27">
        <v>0</v>
      </c>
      <c r="H181" s="27">
        <v>0</v>
      </c>
    </row>
    <row r="182" spans="1:14" x14ac:dyDescent="0.25">
      <c r="E182" s="27" t="s">
        <v>24</v>
      </c>
      <c r="F182" s="27" t="s">
        <v>21</v>
      </c>
      <c r="G182" s="27" t="s">
        <v>28</v>
      </c>
      <c r="H182" s="27" t="s">
        <v>21</v>
      </c>
    </row>
    <row r="183" spans="1:14" x14ac:dyDescent="0.25">
      <c r="A183" s="27" t="s">
        <v>46</v>
      </c>
      <c r="B183" s="27" t="s">
        <v>126</v>
      </c>
      <c r="C183" s="27">
        <v>40</v>
      </c>
      <c r="D183" s="27">
        <v>65</v>
      </c>
      <c r="E183" s="27" t="s">
        <v>20</v>
      </c>
      <c r="F183" s="27" t="s">
        <v>27</v>
      </c>
      <c r="G183" s="27" t="s">
        <v>21</v>
      </c>
      <c r="H183" s="27" t="s">
        <v>27</v>
      </c>
      <c r="I183" s="27" t="s">
        <v>22</v>
      </c>
      <c r="J183" s="27" t="s">
        <v>104</v>
      </c>
      <c r="K183" s="27" t="s">
        <v>104</v>
      </c>
      <c r="L183" s="27" t="s">
        <v>104</v>
      </c>
      <c r="M183" s="27">
        <v>830</v>
      </c>
      <c r="N183" s="27">
        <v>50</v>
      </c>
    </row>
    <row r="184" spans="1:14" x14ac:dyDescent="0.25">
      <c r="E184" s="27" t="s">
        <v>24</v>
      </c>
      <c r="F184" s="27">
        <v>0</v>
      </c>
      <c r="G184" s="27">
        <v>0</v>
      </c>
      <c r="H184" s="27">
        <v>0</v>
      </c>
    </row>
    <row r="185" spans="1:14" x14ac:dyDescent="0.25">
      <c r="E185" s="27" t="s">
        <v>20</v>
      </c>
      <c r="F185" s="27">
        <v>0</v>
      </c>
      <c r="G185" s="27">
        <v>0</v>
      </c>
      <c r="H185" s="27">
        <v>0</v>
      </c>
    </row>
    <row r="186" spans="1:14" x14ac:dyDescent="0.25">
      <c r="E186" s="27" t="s">
        <v>24</v>
      </c>
      <c r="F186" s="27" t="s">
        <v>21</v>
      </c>
      <c r="G186" s="27" t="s">
        <v>28</v>
      </c>
      <c r="H186" s="27" t="s">
        <v>21</v>
      </c>
    </row>
    <row r="187" spans="1:14" x14ac:dyDescent="0.25">
      <c r="A187" s="27" t="s">
        <v>46</v>
      </c>
      <c r="B187" s="27" t="s">
        <v>127</v>
      </c>
      <c r="C187" s="27">
        <v>40</v>
      </c>
      <c r="D187" s="27">
        <v>65</v>
      </c>
      <c r="E187" s="27" t="s">
        <v>20</v>
      </c>
      <c r="F187" s="27" t="s">
        <v>27</v>
      </c>
      <c r="G187" s="27" t="s">
        <v>21</v>
      </c>
      <c r="H187" s="27" t="s">
        <v>27</v>
      </c>
      <c r="I187" s="27" t="s">
        <v>22</v>
      </c>
      <c r="J187" s="27" t="s">
        <v>104</v>
      </c>
      <c r="K187" s="27" t="s">
        <v>104</v>
      </c>
      <c r="L187" s="27" t="s">
        <v>104</v>
      </c>
      <c r="M187" s="27">
        <v>830</v>
      </c>
      <c r="N187" s="27">
        <v>50</v>
      </c>
    </row>
    <row r="188" spans="1:14" x14ac:dyDescent="0.25">
      <c r="E188" s="27" t="s">
        <v>24</v>
      </c>
      <c r="F188" s="27">
        <v>0</v>
      </c>
      <c r="G188" s="27">
        <v>0</v>
      </c>
      <c r="H188" s="27">
        <v>0</v>
      </c>
    </row>
    <row r="189" spans="1:14" x14ac:dyDescent="0.25">
      <c r="E189" s="27" t="s">
        <v>20</v>
      </c>
      <c r="F189" s="27">
        <v>0</v>
      </c>
      <c r="G189" s="27">
        <v>0</v>
      </c>
      <c r="H189" s="27">
        <v>0</v>
      </c>
    </row>
    <row r="190" spans="1:14" x14ac:dyDescent="0.25">
      <c r="E190" s="27" t="s">
        <v>24</v>
      </c>
      <c r="F190" s="27" t="s">
        <v>21</v>
      </c>
      <c r="G190" s="27" t="s">
        <v>28</v>
      </c>
      <c r="H190" s="27" t="s">
        <v>21</v>
      </c>
    </row>
    <row r="191" spans="1:14" x14ac:dyDescent="0.25">
      <c r="A191" s="27" t="s">
        <v>46</v>
      </c>
      <c r="B191" s="27" t="s">
        <v>128</v>
      </c>
      <c r="C191" s="27">
        <v>40</v>
      </c>
      <c r="D191" s="27">
        <v>65</v>
      </c>
      <c r="E191" s="27" t="s">
        <v>20</v>
      </c>
      <c r="F191" s="27" t="s">
        <v>27</v>
      </c>
      <c r="G191" s="27" t="s">
        <v>21</v>
      </c>
      <c r="H191" s="27" t="s">
        <v>27</v>
      </c>
      <c r="I191" s="27" t="s">
        <v>22</v>
      </c>
      <c r="J191" s="27" t="s">
        <v>104</v>
      </c>
      <c r="K191" s="27" t="s">
        <v>104</v>
      </c>
      <c r="L191" s="27" t="s">
        <v>104</v>
      </c>
      <c r="M191" s="27">
        <v>830</v>
      </c>
      <c r="N191" s="27">
        <v>50</v>
      </c>
    </row>
    <row r="192" spans="1:14" x14ac:dyDescent="0.25">
      <c r="E192" s="27" t="s">
        <v>24</v>
      </c>
      <c r="F192" s="27">
        <v>0</v>
      </c>
      <c r="G192" s="27">
        <v>0</v>
      </c>
      <c r="H192" s="27">
        <v>0</v>
      </c>
    </row>
    <row r="193" spans="1:14" x14ac:dyDescent="0.25">
      <c r="E193" s="27" t="s">
        <v>20</v>
      </c>
      <c r="F193" s="27">
        <v>0</v>
      </c>
      <c r="G193" s="27">
        <v>0</v>
      </c>
      <c r="H193" s="27">
        <v>0</v>
      </c>
    </row>
    <row r="194" spans="1:14" x14ac:dyDescent="0.25">
      <c r="E194" s="27" t="s">
        <v>24</v>
      </c>
      <c r="F194" s="27" t="s">
        <v>21</v>
      </c>
      <c r="G194" s="27" t="s">
        <v>28</v>
      </c>
      <c r="H194" s="27" t="s">
        <v>21</v>
      </c>
    </row>
    <row r="195" spans="1:14" ht="15.6" customHeight="1" x14ac:dyDescent="0.25">
      <c r="A195" s="27" t="s">
        <v>46</v>
      </c>
      <c r="B195" s="27" t="s">
        <v>129</v>
      </c>
      <c r="C195" s="27">
        <v>40</v>
      </c>
      <c r="D195" s="27">
        <v>65</v>
      </c>
      <c r="E195" s="27" t="s">
        <v>20</v>
      </c>
      <c r="F195" s="27" t="s">
        <v>27</v>
      </c>
      <c r="G195" s="27" t="s">
        <v>21</v>
      </c>
      <c r="H195" s="27" t="s">
        <v>26</v>
      </c>
      <c r="I195" s="27" t="s">
        <v>22</v>
      </c>
      <c r="J195" s="27" t="s">
        <v>104</v>
      </c>
      <c r="K195" s="27" t="s">
        <v>104</v>
      </c>
      <c r="L195" s="27" t="s">
        <v>104</v>
      </c>
      <c r="M195" s="27">
        <v>830</v>
      </c>
      <c r="N195" s="27">
        <v>50</v>
      </c>
    </row>
    <row r="196" spans="1:14" x14ac:dyDescent="0.25">
      <c r="E196" s="27" t="s">
        <v>24</v>
      </c>
      <c r="F196" s="27">
        <v>0</v>
      </c>
      <c r="G196" s="27">
        <v>0</v>
      </c>
      <c r="H196" s="27">
        <v>0</v>
      </c>
    </row>
    <row r="197" spans="1:14" x14ac:dyDescent="0.25">
      <c r="E197" s="27" t="s">
        <v>20</v>
      </c>
      <c r="F197" s="27">
        <v>0</v>
      </c>
      <c r="G197" s="27">
        <v>0</v>
      </c>
      <c r="H197" s="27">
        <v>0</v>
      </c>
    </row>
    <row r="198" spans="1:14" x14ac:dyDescent="0.25">
      <c r="E198" s="27" t="s">
        <v>24</v>
      </c>
      <c r="F198" s="27" t="s">
        <v>21</v>
      </c>
      <c r="G198" s="27" t="s">
        <v>28</v>
      </c>
      <c r="H198" s="27" t="s">
        <v>28</v>
      </c>
    </row>
    <row r="199" spans="1:14" x14ac:dyDescent="0.25">
      <c r="A199" s="27" t="s">
        <v>46</v>
      </c>
      <c r="B199" s="27" t="s">
        <v>109</v>
      </c>
      <c r="C199" s="27">
        <v>40</v>
      </c>
      <c r="D199" s="27">
        <v>65</v>
      </c>
      <c r="E199" s="27" t="s">
        <v>20</v>
      </c>
      <c r="F199" s="27" t="s">
        <v>25</v>
      </c>
      <c r="G199" s="27" t="s">
        <v>21</v>
      </c>
      <c r="H199" s="27" t="s">
        <v>30</v>
      </c>
      <c r="I199" s="27" t="s">
        <v>22</v>
      </c>
      <c r="J199" s="27" t="s">
        <v>104</v>
      </c>
      <c r="K199" s="27" t="s">
        <v>104</v>
      </c>
      <c r="L199" s="27" t="s">
        <v>104</v>
      </c>
      <c r="M199" s="27">
        <v>1070</v>
      </c>
      <c r="N199" s="27">
        <v>50</v>
      </c>
    </row>
    <row r="200" spans="1:14" x14ac:dyDescent="0.25">
      <c r="E200" s="27" t="s">
        <v>24</v>
      </c>
      <c r="F200" s="27" t="s">
        <v>26</v>
      </c>
      <c r="G200" s="27">
        <v>0</v>
      </c>
      <c r="H200" s="27" t="s">
        <v>21</v>
      </c>
    </row>
    <row r="201" spans="1:14" x14ac:dyDescent="0.25">
      <c r="E201" s="27" t="s">
        <v>20</v>
      </c>
      <c r="F201" s="27">
        <v>0</v>
      </c>
      <c r="G201" s="27">
        <v>0</v>
      </c>
      <c r="H201" s="27">
        <v>0</v>
      </c>
    </row>
    <row r="202" spans="1:14" x14ac:dyDescent="0.25">
      <c r="E202" s="27" t="s">
        <v>24</v>
      </c>
      <c r="F202" s="27" t="s">
        <v>25</v>
      </c>
      <c r="G202" s="27" t="s">
        <v>25</v>
      </c>
      <c r="H202" s="27" t="s">
        <v>25</v>
      </c>
    </row>
    <row r="203" spans="1:14" x14ac:dyDescent="0.25">
      <c r="A203" s="27" t="s">
        <v>46</v>
      </c>
      <c r="B203" s="27" t="s">
        <v>115</v>
      </c>
      <c r="C203" s="27">
        <v>40</v>
      </c>
      <c r="D203" s="27">
        <v>65</v>
      </c>
      <c r="E203" s="27" t="s">
        <v>20</v>
      </c>
      <c r="F203" s="27" t="s">
        <v>30</v>
      </c>
      <c r="G203" s="27" t="s">
        <v>21</v>
      </c>
      <c r="H203" s="27" t="s">
        <v>25</v>
      </c>
      <c r="I203" s="27" t="s">
        <v>22</v>
      </c>
      <c r="J203" s="27" t="s">
        <v>130</v>
      </c>
      <c r="K203" s="27" t="s">
        <v>130</v>
      </c>
      <c r="L203" s="27" t="s">
        <v>130</v>
      </c>
      <c r="M203" s="27">
        <v>1070</v>
      </c>
      <c r="N203" s="27">
        <v>50</v>
      </c>
    </row>
    <row r="204" spans="1:14" x14ac:dyDescent="0.25">
      <c r="E204" s="27" t="s">
        <v>24</v>
      </c>
      <c r="F204" s="27">
        <v>0</v>
      </c>
      <c r="G204" s="27">
        <v>0</v>
      </c>
      <c r="H204" s="27" t="s">
        <v>26</v>
      </c>
    </row>
    <row r="205" spans="1:14" x14ac:dyDescent="0.25">
      <c r="E205" s="27" t="s">
        <v>20</v>
      </c>
      <c r="F205" s="27">
        <v>0</v>
      </c>
      <c r="G205" s="27">
        <v>0</v>
      </c>
      <c r="H205" s="27">
        <v>0</v>
      </c>
    </row>
    <row r="206" spans="1:14" x14ac:dyDescent="0.25">
      <c r="E206" s="27" t="s">
        <v>24</v>
      </c>
      <c r="F206" s="27" t="s">
        <v>27</v>
      </c>
      <c r="G206" s="27" t="s">
        <v>27</v>
      </c>
      <c r="H206" s="27" t="s">
        <v>27</v>
      </c>
    </row>
    <row r="207" spans="1:14" x14ac:dyDescent="0.25">
      <c r="A207" s="27" t="s">
        <v>46</v>
      </c>
      <c r="B207" s="27" t="s">
        <v>109</v>
      </c>
      <c r="C207" s="27">
        <v>40</v>
      </c>
      <c r="D207" s="27">
        <v>65</v>
      </c>
      <c r="E207" s="27" t="s">
        <v>20</v>
      </c>
      <c r="F207" s="27" t="s">
        <v>25</v>
      </c>
      <c r="G207" s="27" t="s">
        <v>21</v>
      </c>
      <c r="H207" s="27" t="s">
        <v>30</v>
      </c>
      <c r="I207" s="27" t="s">
        <v>22</v>
      </c>
      <c r="J207" s="27" t="s">
        <v>104</v>
      </c>
      <c r="K207" s="27" t="s">
        <v>104</v>
      </c>
      <c r="L207" s="27" t="s">
        <v>104</v>
      </c>
      <c r="M207" s="27">
        <v>1070</v>
      </c>
      <c r="N207" s="27">
        <v>50</v>
      </c>
    </row>
    <row r="208" spans="1:14" x14ac:dyDescent="0.25">
      <c r="E208" s="27" t="s">
        <v>24</v>
      </c>
      <c r="F208" s="27" t="s">
        <v>26</v>
      </c>
      <c r="G208" s="27">
        <v>0</v>
      </c>
      <c r="H208" s="27" t="s">
        <v>21</v>
      </c>
    </row>
    <row r="209" spans="1:14" x14ac:dyDescent="0.25">
      <c r="E209" s="27" t="s">
        <v>20</v>
      </c>
      <c r="F209" s="27">
        <v>0</v>
      </c>
      <c r="G209" s="27">
        <v>0</v>
      </c>
      <c r="H209" s="27">
        <v>0</v>
      </c>
    </row>
    <row r="210" spans="1:14" x14ac:dyDescent="0.25">
      <c r="E210" s="27" t="s">
        <v>24</v>
      </c>
      <c r="F210" s="27" t="s">
        <v>25</v>
      </c>
      <c r="G210" s="27" t="s">
        <v>25</v>
      </c>
      <c r="H210" s="27" t="s">
        <v>25</v>
      </c>
    </row>
    <row r="211" spans="1:14" x14ac:dyDescent="0.25">
      <c r="A211" s="27" t="s">
        <v>46</v>
      </c>
      <c r="B211" s="27" t="s">
        <v>115</v>
      </c>
      <c r="C211" s="27">
        <v>40</v>
      </c>
      <c r="D211" s="27">
        <v>65</v>
      </c>
      <c r="E211" s="27" t="s">
        <v>20</v>
      </c>
      <c r="F211" s="27" t="s">
        <v>30</v>
      </c>
      <c r="G211" s="27" t="s">
        <v>21</v>
      </c>
      <c r="H211" s="27" t="s">
        <v>25</v>
      </c>
      <c r="I211" s="27" t="s">
        <v>22</v>
      </c>
      <c r="J211" s="27" t="s">
        <v>130</v>
      </c>
      <c r="K211" s="27" t="s">
        <v>130</v>
      </c>
      <c r="L211" s="27" t="s">
        <v>130</v>
      </c>
      <c r="M211" s="27">
        <v>1070</v>
      </c>
      <c r="N211" s="27">
        <v>50</v>
      </c>
    </row>
    <row r="212" spans="1:14" x14ac:dyDescent="0.25">
      <c r="E212" s="27" t="s">
        <v>24</v>
      </c>
      <c r="F212" s="27">
        <v>0</v>
      </c>
      <c r="G212" s="27">
        <v>0</v>
      </c>
      <c r="H212" s="27" t="s">
        <v>26</v>
      </c>
    </row>
    <row r="213" spans="1:14" x14ac:dyDescent="0.25">
      <c r="E213" s="27" t="s">
        <v>20</v>
      </c>
      <c r="F213" s="27">
        <v>0</v>
      </c>
      <c r="G213" s="27">
        <v>0</v>
      </c>
      <c r="H213" s="27">
        <v>0</v>
      </c>
    </row>
    <row r="214" spans="1:14" x14ac:dyDescent="0.25">
      <c r="E214" s="27" t="s">
        <v>24</v>
      </c>
      <c r="F214" s="27" t="s">
        <v>27</v>
      </c>
      <c r="G214" s="27" t="s">
        <v>27</v>
      </c>
      <c r="H214" s="27" t="s">
        <v>27</v>
      </c>
    </row>
    <row r="215" spans="1:14" x14ac:dyDescent="0.25">
      <c r="A215" s="27" t="s">
        <v>46</v>
      </c>
      <c r="B215" s="27" t="s">
        <v>109</v>
      </c>
      <c r="C215" s="27">
        <v>40</v>
      </c>
      <c r="D215" s="27">
        <v>65</v>
      </c>
      <c r="E215" s="27" t="s">
        <v>20</v>
      </c>
      <c r="F215" s="27" t="s">
        <v>25</v>
      </c>
      <c r="G215" s="27" t="s">
        <v>21</v>
      </c>
      <c r="H215" s="27" t="s">
        <v>30</v>
      </c>
      <c r="I215" s="27" t="s">
        <v>22</v>
      </c>
      <c r="J215" s="27" t="s">
        <v>104</v>
      </c>
      <c r="K215" s="27" t="s">
        <v>104</v>
      </c>
      <c r="L215" s="27" t="s">
        <v>104</v>
      </c>
      <c r="M215" s="27">
        <v>1070</v>
      </c>
      <c r="N215" s="27">
        <v>50</v>
      </c>
    </row>
    <row r="216" spans="1:14" x14ac:dyDescent="0.25">
      <c r="E216" s="27" t="s">
        <v>24</v>
      </c>
      <c r="F216" s="27" t="s">
        <v>26</v>
      </c>
      <c r="G216" s="27">
        <v>0</v>
      </c>
      <c r="H216" s="27" t="s">
        <v>21</v>
      </c>
    </row>
    <row r="217" spans="1:14" x14ac:dyDescent="0.25">
      <c r="E217" s="27" t="s">
        <v>20</v>
      </c>
      <c r="F217" s="27">
        <v>0</v>
      </c>
      <c r="G217" s="27">
        <v>0</v>
      </c>
      <c r="H217" s="27">
        <v>0</v>
      </c>
    </row>
    <row r="218" spans="1:14" x14ac:dyDescent="0.25">
      <c r="E218" s="27" t="s">
        <v>24</v>
      </c>
      <c r="F218" s="27" t="s">
        <v>25</v>
      </c>
      <c r="G218" s="27" t="s">
        <v>25</v>
      </c>
      <c r="H218" s="27" t="s">
        <v>25</v>
      </c>
    </row>
    <row r="219" spans="1:14" x14ac:dyDescent="0.25">
      <c r="A219" s="27" t="s">
        <v>46</v>
      </c>
      <c r="B219" s="27" t="s">
        <v>109</v>
      </c>
      <c r="C219" s="27">
        <v>40</v>
      </c>
      <c r="D219" s="27">
        <v>65</v>
      </c>
      <c r="E219" s="27" t="s">
        <v>20</v>
      </c>
      <c r="F219" s="27" t="s">
        <v>25</v>
      </c>
      <c r="G219" s="27" t="s">
        <v>21</v>
      </c>
      <c r="H219" s="27" t="s">
        <v>30</v>
      </c>
      <c r="I219" s="27" t="s">
        <v>22</v>
      </c>
      <c r="J219" s="27" t="s">
        <v>104</v>
      </c>
      <c r="K219" s="27" t="s">
        <v>104</v>
      </c>
      <c r="L219" s="27" t="s">
        <v>104</v>
      </c>
      <c r="M219" s="27">
        <v>1070</v>
      </c>
      <c r="N219" s="27">
        <v>50</v>
      </c>
    </row>
    <row r="220" spans="1:14" x14ac:dyDescent="0.25">
      <c r="E220" s="27" t="s">
        <v>24</v>
      </c>
      <c r="F220" s="27" t="s">
        <v>26</v>
      </c>
      <c r="G220" s="27">
        <v>0</v>
      </c>
      <c r="H220" s="27" t="s">
        <v>21</v>
      </c>
    </row>
    <row r="221" spans="1:14" x14ac:dyDescent="0.25">
      <c r="E221" s="27" t="s">
        <v>20</v>
      </c>
      <c r="F221" s="27">
        <v>0</v>
      </c>
      <c r="G221" s="27">
        <v>0</v>
      </c>
      <c r="H221" s="27">
        <v>0</v>
      </c>
    </row>
    <row r="222" spans="1:14" x14ac:dyDescent="0.25">
      <c r="E222" s="27" t="s">
        <v>24</v>
      </c>
      <c r="F222" s="27" t="s">
        <v>25</v>
      </c>
      <c r="G222" s="27" t="s">
        <v>25</v>
      </c>
      <c r="H222" s="27" t="s">
        <v>25</v>
      </c>
    </row>
    <row r="223" spans="1:14" ht="15.6" customHeight="1" x14ac:dyDescent="0.25">
      <c r="A223" s="27" t="s">
        <v>46</v>
      </c>
      <c r="B223" s="27" t="s">
        <v>124</v>
      </c>
      <c r="C223" s="27">
        <v>40</v>
      </c>
      <c r="D223" s="27">
        <v>65</v>
      </c>
      <c r="E223" s="27" t="s">
        <v>20</v>
      </c>
      <c r="F223" s="27" t="s">
        <v>26</v>
      </c>
      <c r="G223" s="27" t="s">
        <v>21</v>
      </c>
      <c r="H223" s="27" t="s">
        <v>27</v>
      </c>
      <c r="I223" s="27" t="s">
        <v>22</v>
      </c>
      <c r="J223" s="27" t="s">
        <v>104</v>
      </c>
      <c r="K223" s="27" t="s">
        <v>104</v>
      </c>
      <c r="L223" s="27" t="s">
        <v>104</v>
      </c>
      <c r="M223" s="27">
        <v>830</v>
      </c>
      <c r="N223" s="27">
        <v>50</v>
      </c>
    </row>
    <row r="224" spans="1:14" x14ac:dyDescent="0.25">
      <c r="E224" s="27" t="s">
        <v>24</v>
      </c>
      <c r="F224" s="27">
        <v>0</v>
      </c>
      <c r="G224" s="27">
        <v>0</v>
      </c>
      <c r="H224" s="27">
        <v>0</v>
      </c>
    </row>
    <row r="225" spans="1:14" x14ac:dyDescent="0.25">
      <c r="E225" s="27" t="s">
        <v>20</v>
      </c>
      <c r="F225" s="27">
        <v>0</v>
      </c>
      <c r="G225" s="27">
        <v>0</v>
      </c>
      <c r="H225" s="27">
        <v>0</v>
      </c>
    </row>
    <row r="226" spans="1:14" x14ac:dyDescent="0.25">
      <c r="E226" s="27" t="s">
        <v>24</v>
      </c>
      <c r="F226" s="27" t="s">
        <v>27</v>
      </c>
      <c r="G226" s="27" t="s">
        <v>27</v>
      </c>
      <c r="H226" s="27" t="s">
        <v>21</v>
      </c>
    </row>
    <row r="227" spans="1:14" x14ac:dyDescent="0.25">
      <c r="A227" s="27" t="s">
        <v>46</v>
      </c>
      <c r="B227" s="27" t="s">
        <v>125</v>
      </c>
      <c r="C227" s="27">
        <v>40</v>
      </c>
      <c r="D227" s="27">
        <v>65</v>
      </c>
      <c r="E227" s="27" t="s">
        <v>20</v>
      </c>
      <c r="F227" s="27" t="s">
        <v>27</v>
      </c>
      <c r="G227" s="27" t="s">
        <v>21</v>
      </c>
      <c r="H227" s="27" t="s">
        <v>27</v>
      </c>
      <c r="I227" s="27" t="s">
        <v>22</v>
      </c>
      <c r="J227" s="27" t="s">
        <v>104</v>
      </c>
      <c r="K227" s="27" t="s">
        <v>104</v>
      </c>
      <c r="L227" s="27" t="s">
        <v>104</v>
      </c>
      <c r="M227" s="27">
        <v>830</v>
      </c>
      <c r="N227" s="27">
        <v>50</v>
      </c>
    </row>
    <row r="228" spans="1:14" x14ac:dyDescent="0.25">
      <c r="E228" s="27" t="s">
        <v>24</v>
      </c>
      <c r="F228" s="27">
        <v>0</v>
      </c>
      <c r="G228" s="27">
        <v>0</v>
      </c>
      <c r="H228" s="27">
        <v>0</v>
      </c>
    </row>
    <row r="229" spans="1:14" x14ac:dyDescent="0.25">
      <c r="E229" s="27" t="s">
        <v>20</v>
      </c>
      <c r="F229" s="27">
        <v>0</v>
      </c>
      <c r="G229" s="27">
        <v>0</v>
      </c>
      <c r="H229" s="27">
        <v>0</v>
      </c>
    </row>
    <row r="230" spans="1:14" x14ac:dyDescent="0.25">
      <c r="E230" s="27" t="s">
        <v>24</v>
      </c>
      <c r="F230" s="27" t="s">
        <v>21</v>
      </c>
      <c r="G230" s="27" t="s">
        <v>28</v>
      </c>
      <c r="H230" s="27" t="s">
        <v>21</v>
      </c>
    </row>
    <row r="231" spans="1:14" x14ac:dyDescent="0.25">
      <c r="A231" s="27" t="s">
        <v>46</v>
      </c>
      <c r="B231" s="27" t="s">
        <v>126</v>
      </c>
      <c r="C231" s="27">
        <v>40</v>
      </c>
      <c r="D231" s="27">
        <v>65</v>
      </c>
      <c r="E231" s="27" t="s">
        <v>20</v>
      </c>
      <c r="F231" s="27" t="s">
        <v>27</v>
      </c>
      <c r="G231" s="27" t="s">
        <v>21</v>
      </c>
      <c r="H231" s="27" t="s">
        <v>27</v>
      </c>
      <c r="I231" s="27" t="s">
        <v>22</v>
      </c>
      <c r="J231" s="27" t="s">
        <v>104</v>
      </c>
      <c r="K231" s="27" t="s">
        <v>104</v>
      </c>
      <c r="L231" s="27" t="s">
        <v>104</v>
      </c>
      <c r="M231" s="27">
        <v>830</v>
      </c>
      <c r="N231" s="27">
        <v>50</v>
      </c>
    </row>
    <row r="232" spans="1:14" x14ac:dyDescent="0.25">
      <c r="E232" s="27" t="s">
        <v>24</v>
      </c>
      <c r="F232" s="27">
        <v>0</v>
      </c>
      <c r="G232" s="27">
        <v>0</v>
      </c>
      <c r="H232" s="27">
        <v>0</v>
      </c>
    </row>
    <row r="233" spans="1:14" x14ac:dyDescent="0.25">
      <c r="E233" s="27" t="s">
        <v>20</v>
      </c>
      <c r="F233" s="27">
        <v>0</v>
      </c>
      <c r="G233" s="27">
        <v>0</v>
      </c>
      <c r="H233" s="27">
        <v>0</v>
      </c>
    </row>
    <row r="234" spans="1:14" x14ac:dyDescent="0.25">
      <c r="E234" s="27" t="s">
        <v>24</v>
      </c>
      <c r="F234" s="27" t="s">
        <v>21</v>
      </c>
      <c r="G234" s="27" t="s">
        <v>28</v>
      </c>
      <c r="H234" s="27" t="s">
        <v>21</v>
      </c>
    </row>
    <row r="235" spans="1:14" x14ac:dyDescent="0.25">
      <c r="A235" s="27" t="s">
        <v>46</v>
      </c>
      <c r="B235" s="27" t="s">
        <v>127</v>
      </c>
      <c r="C235" s="27">
        <v>40</v>
      </c>
      <c r="D235" s="27">
        <v>65</v>
      </c>
      <c r="E235" s="27" t="s">
        <v>20</v>
      </c>
      <c r="F235" s="27" t="s">
        <v>27</v>
      </c>
      <c r="G235" s="27" t="s">
        <v>21</v>
      </c>
      <c r="H235" s="27" t="s">
        <v>27</v>
      </c>
      <c r="I235" s="27" t="s">
        <v>22</v>
      </c>
      <c r="J235" s="27" t="s">
        <v>104</v>
      </c>
      <c r="K235" s="27" t="s">
        <v>104</v>
      </c>
      <c r="L235" s="27" t="s">
        <v>104</v>
      </c>
      <c r="M235" s="27">
        <v>830</v>
      </c>
      <c r="N235" s="27">
        <v>50</v>
      </c>
    </row>
    <row r="236" spans="1:14" x14ac:dyDescent="0.25">
      <c r="E236" s="27" t="s">
        <v>24</v>
      </c>
      <c r="F236" s="27">
        <v>0</v>
      </c>
      <c r="G236" s="27">
        <v>0</v>
      </c>
      <c r="H236" s="27">
        <v>0</v>
      </c>
    </row>
    <row r="237" spans="1:14" x14ac:dyDescent="0.25">
      <c r="E237" s="27" t="s">
        <v>20</v>
      </c>
      <c r="F237" s="27">
        <v>0</v>
      </c>
      <c r="G237" s="27">
        <v>0</v>
      </c>
      <c r="H237" s="27">
        <v>0</v>
      </c>
    </row>
    <row r="238" spans="1:14" x14ac:dyDescent="0.25">
      <c r="E238" s="27" t="s">
        <v>24</v>
      </c>
      <c r="F238" s="27" t="s">
        <v>21</v>
      </c>
      <c r="G238" s="27" t="s">
        <v>28</v>
      </c>
      <c r="H238" s="27" t="s">
        <v>21</v>
      </c>
    </row>
    <row r="239" spans="1:14" x14ac:dyDescent="0.25">
      <c r="A239" s="27" t="s">
        <v>46</v>
      </c>
      <c r="B239" s="27" t="s">
        <v>128</v>
      </c>
      <c r="C239" s="27">
        <v>40</v>
      </c>
      <c r="D239" s="27">
        <v>65</v>
      </c>
      <c r="E239" s="27" t="s">
        <v>20</v>
      </c>
      <c r="F239" s="27" t="s">
        <v>27</v>
      </c>
      <c r="G239" s="27" t="s">
        <v>21</v>
      </c>
      <c r="H239" s="27" t="s">
        <v>27</v>
      </c>
      <c r="I239" s="27" t="s">
        <v>22</v>
      </c>
      <c r="J239" s="27" t="s">
        <v>104</v>
      </c>
      <c r="K239" s="27" t="s">
        <v>104</v>
      </c>
      <c r="L239" s="27" t="s">
        <v>104</v>
      </c>
      <c r="M239" s="27">
        <v>830</v>
      </c>
      <c r="N239" s="27">
        <v>50</v>
      </c>
    </row>
    <row r="240" spans="1:14" x14ac:dyDescent="0.25">
      <c r="E240" s="27" t="s">
        <v>24</v>
      </c>
      <c r="F240" s="27">
        <v>0</v>
      </c>
      <c r="G240" s="27">
        <v>0</v>
      </c>
      <c r="H240" s="27">
        <v>0</v>
      </c>
    </row>
    <row r="241" spans="1:14" x14ac:dyDescent="0.25">
      <c r="E241" s="27" t="s">
        <v>20</v>
      </c>
      <c r="F241" s="27">
        <v>0</v>
      </c>
      <c r="G241" s="27">
        <v>0</v>
      </c>
      <c r="H241" s="27">
        <v>0</v>
      </c>
    </row>
    <row r="242" spans="1:14" x14ac:dyDescent="0.25">
      <c r="E242" s="27" t="s">
        <v>24</v>
      </c>
      <c r="F242" s="27" t="s">
        <v>21</v>
      </c>
      <c r="G242" s="27" t="s">
        <v>28</v>
      </c>
      <c r="H242" s="27" t="s">
        <v>21</v>
      </c>
    </row>
    <row r="243" spans="1:14" ht="15.6" customHeight="1" x14ac:dyDescent="0.25">
      <c r="A243" s="27" t="s">
        <v>46</v>
      </c>
      <c r="B243" s="27" t="s">
        <v>129</v>
      </c>
      <c r="C243" s="27">
        <v>40</v>
      </c>
      <c r="D243" s="27">
        <v>65</v>
      </c>
      <c r="E243" s="27" t="s">
        <v>20</v>
      </c>
      <c r="F243" s="27" t="s">
        <v>27</v>
      </c>
      <c r="G243" s="27" t="s">
        <v>21</v>
      </c>
      <c r="H243" s="27" t="s">
        <v>26</v>
      </c>
      <c r="I243" s="27" t="s">
        <v>22</v>
      </c>
      <c r="J243" s="27" t="s">
        <v>104</v>
      </c>
      <c r="K243" s="27" t="s">
        <v>104</v>
      </c>
      <c r="L243" s="27" t="s">
        <v>104</v>
      </c>
      <c r="M243" s="27">
        <v>830</v>
      </c>
      <c r="N243" s="27">
        <v>50</v>
      </c>
    </row>
    <row r="244" spans="1:14" x14ac:dyDescent="0.25">
      <c r="E244" s="27" t="s">
        <v>24</v>
      </c>
      <c r="F244" s="27">
        <v>0</v>
      </c>
      <c r="G244" s="27">
        <v>0</v>
      </c>
      <c r="H244" s="27">
        <v>0</v>
      </c>
    </row>
    <row r="245" spans="1:14" x14ac:dyDescent="0.25">
      <c r="E245" s="27" t="s">
        <v>20</v>
      </c>
      <c r="F245" s="27">
        <v>0</v>
      </c>
      <c r="G245" s="27">
        <v>0</v>
      </c>
      <c r="H245" s="27">
        <v>0</v>
      </c>
    </row>
    <row r="246" spans="1:14" x14ac:dyDescent="0.25">
      <c r="E246" s="27" t="s">
        <v>24</v>
      </c>
      <c r="F246" s="27" t="s">
        <v>21</v>
      </c>
      <c r="G246" s="27" t="s">
        <v>28</v>
      </c>
      <c r="H246" s="27" t="s">
        <v>28</v>
      </c>
    </row>
    <row r="247" spans="1:14" x14ac:dyDescent="0.25">
      <c r="A247" s="27" t="s">
        <v>46</v>
      </c>
      <c r="B247" s="27" t="s">
        <v>108</v>
      </c>
      <c r="C247" s="27">
        <v>40</v>
      </c>
      <c r="D247" s="27">
        <v>65</v>
      </c>
      <c r="E247" s="27" t="s">
        <v>20</v>
      </c>
      <c r="F247" s="27" t="s">
        <v>30</v>
      </c>
      <c r="G247" s="27" t="s">
        <v>21</v>
      </c>
      <c r="H247" s="27" t="s">
        <v>30</v>
      </c>
      <c r="I247" s="27" t="s">
        <v>22</v>
      </c>
      <c r="J247" s="27" t="s">
        <v>130</v>
      </c>
      <c r="K247" s="27" t="s">
        <v>130</v>
      </c>
      <c r="L247" s="27" t="s">
        <v>130</v>
      </c>
      <c r="M247" s="27">
        <v>1100</v>
      </c>
      <c r="N247" s="27">
        <v>50</v>
      </c>
    </row>
    <row r="248" spans="1:14" x14ac:dyDescent="0.25">
      <c r="E248" s="27" t="s">
        <v>24</v>
      </c>
      <c r="F248" s="27" t="s">
        <v>21</v>
      </c>
      <c r="G248" s="27">
        <v>0</v>
      </c>
      <c r="H248" s="27" t="s">
        <v>27</v>
      </c>
    </row>
    <row r="249" spans="1:14" x14ac:dyDescent="0.25">
      <c r="E249" s="27" t="s">
        <v>20</v>
      </c>
      <c r="F249" s="27">
        <v>0</v>
      </c>
      <c r="G249" s="27" t="s">
        <v>26</v>
      </c>
      <c r="H249" s="27">
        <v>0</v>
      </c>
    </row>
    <row r="250" spans="1:14" x14ac:dyDescent="0.25">
      <c r="E250" s="27" t="s">
        <v>24</v>
      </c>
      <c r="F250" s="27" t="s">
        <v>25</v>
      </c>
      <c r="G250" s="27" t="s">
        <v>25</v>
      </c>
      <c r="H250" s="27" t="s">
        <v>30</v>
      </c>
    </row>
    <row r="251" spans="1:14" x14ac:dyDescent="0.25">
      <c r="A251" s="27" t="s">
        <v>46</v>
      </c>
      <c r="B251" s="27" t="s">
        <v>108</v>
      </c>
      <c r="C251" s="27">
        <v>40</v>
      </c>
      <c r="D251" s="27">
        <v>65</v>
      </c>
      <c r="E251" s="27" t="s">
        <v>20</v>
      </c>
      <c r="F251" s="27" t="s">
        <v>30</v>
      </c>
      <c r="G251" s="27" t="s">
        <v>21</v>
      </c>
      <c r="H251" s="27" t="s">
        <v>30</v>
      </c>
      <c r="I251" s="27" t="s">
        <v>22</v>
      </c>
      <c r="J251" s="27" t="s">
        <v>130</v>
      </c>
      <c r="K251" s="27" t="s">
        <v>130</v>
      </c>
      <c r="L251" s="27" t="s">
        <v>130</v>
      </c>
      <c r="M251" s="27">
        <v>1100</v>
      </c>
      <c r="N251" s="27">
        <v>50</v>
      </c>
    </row>
    <row r="252" spans="1:14" x14ac:dyDescent="0.25">
      <c r="E252" s="27" t="s">
        <v>24</v>
      </c>
      <c r="F252" s="27" t="s">
        <v>21</v>
      </c>
      <c r="G252" s="27">
        <v>0</v>
      </c>
      <c r="H252" s="27" t="s">
        <v>27</v>
      </c>
    </row>
    <row r="253" spans="1:14" x14ac:dyDescent="0.25">
      <c r="E253" s="27" t="s">
        <v>20</v>
      </c>
      <c r="F253" s="27">
        <v>0</v>
      </c>
      <c r="G253" s="27" t="s">
        <v>26</v>
      </c>
      <c r="H253" s="27">
        <v>0</v>
      </c>
    </row>
    <row r="254" spans="1:14" x14ac:dyDescent="0.25">
      <c r="E254" s="27" t="s">
        <v>24</v>
      </c>
      <c r="F254" s="27" t="s">
        <v>25</v>
      </c>
      <c r="G254" s="27" t="s">
        <v>25</v>
      </c>
      <c r="H254" s="27" t="s">
        <v>30</v>
      </c>
    </row>
    <row r="255" spans="1:14" x14ac:dyDescent="0.25">
      <c r="A255" s="27" t="s">
        <v>46</v>
      </c>
      <c r="B255" s="27" t="s">
        <v>108</v>
      </c>
      <c r="C255" s="27">
        <v>40</v>
      </c>
      <c r="D255" s="27">
        <v>65</v>
      </c>
      <c r="E255" s="27" t="s">
        <v>20</v>
      </c>
      <c r="F255" s="27" t="s">
        <v>30</v>
      </c>
      <c r="G255" s="27" t="s">
        <v>21</v>
      </c>
      <c r="H255" s="27" t="s">
        <v>30</v>
      </c>
      <c r="I255" s="27" t="s">
        <v>22</v>
      </c>
      <c r="J255" s="27" t="s">
        <v>130</v>
      </c>
      <c r="K255" s="27" t="s">
        <v>130</v>
      </c>
      <c r="L255" s="27" t="s">
        <v>130</v>
      </c>
      <c r="M255" s="27">
        <v>1100</v>
      </c>
      <c r="N255" s="27">
        <v>50</v>
      </c>
    </row>
    <row r="256" spans="1:14" x14ac:dyDescent="0.25">
      <c r="E256" s="27" t="s">
        <v>24</v>
      </c>
      <c r="F256" s="27" t="s">
        <v>21</v>
      </c>
      <c r="G256" s="27">
        <v>0</v>
      </c>
      <c r="H256" s="27" t="s">
        <v>27</v>
      </c>
    </row>
    <row r="257" spans="1:14" x14ac:dyDescent="0.25">
      <c r="E257" s="27" t="s">
        <v>20</v>
      </c>
      <c r="F257" s="27">
        <v>0</v>
      </c>
      <c r="G257" s="27" t="s">
        <v>26</v>
      </c>
      <c r="H257" s="27">
        <v>0</v>
      </c>
    </row>
    <row r="258" spans="1:14" x14ac:dyDescent="0.25">
      <c r="E258" s="27" t="s">
        <v>24</v>
      </c>
      <c r="F258" s="27" t="s">
        <v>25</v>
      </c>
      <c r="G258" s="27" t="s">
        <v>25</v>
      </c>
      <c r="H258" s="27" t="s">
        <v>30</v>
      </c>
    </row>
    <row r="259" spans="1:14" x14ac:dyDescent="0.25">
      <c r="A259" s="27" t="s">
        <v>46</v>
      </c>
      <c r="B259" s="27" t="s">
        <v>108</v>
      </c>
      <c r="C259" s="27">
        <v>40</v>
      </c>
      <c r="D259" s="27">
        <v>65</v>
      </c>
      <c r="E259" s="27" t="s">
        <v>20</v>
      </c>
      <c r="F259" s="27" t="s">
        <v>30</v>
      </c>
      <c r="G259" s="27" t="s">
        <v>21</v>
      </c>
      <c r="H259" s="27" t="s">
        <v>30</v>
      </c>
      <c r="I259" s="27" t="s">
        <v>22</v>
      </c>
      <c r="J259" s="27" t="s">
        <v>130</v>
      </c>
      <c r="K259" s="27" t="s">
        <v>130</v>
      </c>
      <c r="L259" s="27" t="s">
        <v>130</v>
      </c>
      <c r="M259" s="27">
        <v>1100</v>
      </c>
      <c r="N259" s="27">
        <v>50</v>
      </c>
    </row>
    <row r="260" spans="1:14" x14ac:dyDescent="0.25">
      <c r="E260" s="27" t="s">
        <v>24</v>
      </c>
      <c r="F260" s="27" t="s">
        <v>21</v>
      </c>
      <c r="G260" s="27">
        <v>0</v>
      </c>
      <c r="H260" s="27" t="s">
        <v>27</v>
      </c>
    </row>
    <row r="261" spans="1:14" x14ac:dyDescent="0.25">
      <c r="E261" s="27" t="s">
        <v>20</v>
      </c>
      <c r="F261" s="27">
        <v>0</v>
      </c>
      <c r="G261" s="27" t="s">
        <v>26</v>
      </c>
      <c r="H261" s="27">
        <v>0</v>
      </c>
    </row>
    <row r="262" spans="1:14" x14ac:dyDescent="0.25">
      <c r="E262" s="27" t="s">
        <v>24</v>
      </c>
      <c r="F262" s="27" t="s">
        <v>25</v>
      </c>
      <c r="G262" s="27" t="s">
        <v>25</v>
      </c>
      <c r="H262" s="27" t="s">
        <v>30</v>
      </c>
    </row>
    <row r="263" spans="1:14" x14ac:dyDescent="0.25">
      <c r="A263" s="27" t="s">
        <v>46</v>
      </c>
      <c r="B263" s="27" t="s">
        <v>131</v>
      </c>
      <c r="C263" s="27">
        <v>40</v>
      </c>
      <c r="D263" s="27">
        <v>65</v>
      </c>
      <c r="E263" s="27" t="s">
        <v>20</v>
      </c>
      <c r="F263" s="27" t="s">
        <v>21</v>
      </c>
      <c r="G263" s="27" t="s">
        <v>21</v>
      </c>
      <c r="H263" s="27" t="s">
        <v>21</v>
      </c>
      <c r="I263" s="27" t="s">
        <v>22</v>
      </c>
      <c r="J263" s="27" t="s">
        <v>104</v>
      </c>
      <c r="K263" s="27" t="s">
        <v>104</v>
      </c>
      <c r="L263" s="27" t="s">
        <v>104</v>
      </c>
      <c r="M263" s="27">
        <v>830</v>
      </c>
      <c r="N263" s="27">
        <v>50</v>
      </c>
    </row>
    <row r="264" spans="1:14" x14ac:dyDescent="0.25">
      <c r="E264" s="27" t="s">
        <v>24</v>
      </c>
      <c r="F264" s="27">
        <v>0</v>
      </c>
      <c r="G264" s="27">
        <v>0</v>
      </c>
      <c r="H264" s="27">
        <v>0</v>
      </c>
    </row>
    <row r="265" spans="1:14" x14ac:dyDescent="0.25">
      <c r="E265" s="27" t="s">
        <v>20</v>
      </c>
      <c r="F265" s="27">
        <v>0</v>
      </c>
      <c r="G265" s="27">
        <v>0</v>
      </c>
      <c r="H265" s="27">
        <v>0</v>
      </c>
    </row>
    <row r="266" spans="1:14" x14ac:dyDescent="0.25">
      <c r="E266" s="27" t="s">
        <v>24</v>
      </c>
      <c r="F266" s="27" t="s">
        <v>21</v>
      </c>
      <c r="G266" s="27" t="s">
        <v>21</v>
      </c>
      <c r="H266" s="27" t="s">
        <v>21</v>
      </c>
    </row>
    <row r="267" spans="1:14" x14ac:dyDescent="0.25">
      <c r="A267" s="27" t="s">
        <v>46</v>
      </c>
      <c r="B267" s="27" t="s">
        <v>132</v>
      </c>
      <c r="C267" s="27">
        <v>40</v>
      </c>
      <c r="D267" s="27">
        <v>65</v>
      </c>
      <c r="E267" s="27" t="s">
        <v>20</v>
      </c>
      <c r="F267" s="27" t="s">
        <v>27</v>
      </c>
      <c r="G267" s="27" t="s">
        <v>21</v>
      </c>
      <c r="H267" s="27" t="s">
        <v>27</v>
      </c>
      <c r="I267" s="27" t="s">
        <v>22</v>
      </c>
      <c r="J267" s="27" t="s">
        <v>104</v>
      </c>
      <c r="K267" s="27" t="s">
        <v>104</v>
      </c>
      <c r="L267" s="27" t="s">
        <v>104</v>
      </c>
      <c r="M267" s="27">
        <v>830</v>
      </c>
      <c r="N267" s="27">
        <v>50</v>
      </c>
    </row>
    <row r="268" spans="1:14" x14ac:dyDescent="0.25">
      <c r="E268" s="27" t="s">
        <v>24</v>
      </c>
      <c r="F268" s="27">
        <v>0</v>
      </c>
      <c r="G268" s="27">
        <v>0</v>
      </c>
      <c r="H268" s="27">
        <v>0</v>
      </c>
    </row>
    <row r="269" spans="1:14" x14ac:dyDescent="0.25">
      <c r="E269" s="27" t="s">
        <v>20</v>
      </c>
      <c r="F269" s="27">
        <v>0</v>
      </c>
      <c r="G269" s="27">
        <v>0</v>
      </c>
      <c r="H269" s="27">
        <v>0</v>
      </c>
    </row>
    <row r="270" spans="1:14" x14ac:dyDescent="0.25">
      <c r="E270" s="27" t="s">
        <v>24</v>
      </c>
      <c r="F270" s="27" t="s">
        <v>21</v>
      </c>
      <c r="G270" s="27" t="s">
        <v>28</v>
      </c>
      <c r="H270" s="27" t="s">
        <v>21</v>
      </c>
    </row>
    <row r="271" spans="1:14" x14ac:dyDescent="0.25">
      <c r="A271" s="27" t="s">
        <v>46</v>
      </c>
      <c r="B271" s="27" t="s">
        <v>133</v>
      </c>
      <c r="C271" s="27">
        <v>40</v>
      </c>
      <c r="D271" s="27">
        <v>65</v>
      </c>
      <c r="E271" s="27" t="s">
        <v>20</v>
      </c>
      <c r="F271" s="27" t="s">
        <v>27</v>
      </c>
      <c r="G271" s="27" t="s">
        <v>21</v>
      </c>
      <c r="H271" s="27" t="s">
        <v>27</v>
      </c>
      <c r="I271" s="27" t="s">
        <v>22</v>
      </c>
      <c r="J271" s="27" t="s">
        <v>104</v>
      </c>
      <c r="K271" s="27" t="s">
        <v>104</v>
      </c>
      <c r="L271" s="27" t="s">
        <v>104</v>
      </c>
      <c r="M271" s="27">
        <v>830</v>
      </c>
      <c r="N271" s="27">
        <v>50</v>
      </c>
    </row>
    <row r="272" spans="1:14" x14ac:dyDescent="0.25">
      <c r="E272" s="27" t="s">
        <v>24</v>
      </c>
      <c r="F272" s="27">
        <v>0</v>
      </c>
      <c r="G272" s="27">
        <v>0</v>
      </c>
      <c r="H272" s="27">
        <v>0</v>
      </c>
    </row>
    <row r="273" spans="1:14" x14ac:dyDescent="0.25">
      <c r="E273" s="27" t="s">
        <v>20</v>
      </c>
      <c r="F273" s="27">
        <v>0</v>
      </c>
      <c r="G273" s="27">
        <v>0</v>
      </c>
      <c r="H273" s="27">
        <v>0</v>
      </c>
    </row>
    <row r="274" spans="1:14" x14ac:dyDescent="0.25">
      <c r="E274" s="27" t="s">
        <v>24</v>
      </c>
      <c r="F274" s="27" t="s">
        <v>21</v>
      </c>
      <c r="G274" s="27" t="s">
        <v>28</v>
      </c>
      <c r="H274" s="27" t="s">
        <v>21</v>
      </c>
    </row>
    <row r="275" spans="1:14" x14ac:dyDescent="0.25">
      <c r="A275" s="27" t="s">
        <v>46</v>
      </c>
      <c r="B275" s="27" t="s">
        <v>134</v>
      </c>
      <c r="C275" s="27">
        <v>40</v>
      </c>
      <c r="D275" s="27">
        <v>65</v>
      </c>
      <c r="E275" s="27" t="s">
        <v>20</v>
      </c>
      <c r="F275" s="27" t="s">
        <v>27</v>
      </c>
      <c r="G275" s="27" t="s">
        <v>21</v>
      </c>
      <c r="H275" s="27" t="s">
        <v>27</v>
      </c>
      <c r="I275" s="27" t="s">
        <v>22</v>
      </c>
      <c r="J275" s="27" t="s">
        <v>104</v>
      </c>
      <c r="K275" s="27" t="s">
        <v>104</v>
      </c>
      <c r="L275" s="27" t="s">
        <v>104</v>
      </c>
      <c r="M275" s="27">
        <v>830</v>
      </c>
      <c r="N275" s="27">
        <v>50</v>
      </c>
    </row>
    <row r="276" spans="1:14" x14ac:dyDescent="0.25">
      <c r="E276" s="27" t="s">
        <v>24</v>
      </c>
      <c r="F276" s="27">
        <v>0</v>
      </c>
      <c r="G276" s="27">
        <v>0</v>
      </c>
      <c r="H276" s="27">
        <v>0</v>
      </c>
    </row>
    <row r="277" spans="1:14" x14ac:dyDescent="0.25">
      <c r="E277" s="27" t="s">
        <v>20</v>
      </c>
      <c r="F277" s="27">
        <v>0</v>
      </c>
      <c r="G277" s="27">
        <v>0</v>
      </c>
      <c r="H277" s="27">
        <v>0</v>
      </c>
    </row>
    <row r="278" spans="1:14" x14ac:dyDescent="0.25">
      <c r="E278" s="27" t="s">
        <v>24</v>
      </c>
      <c r="F278" s="27" t="s">
        <v>21</v>
      </c>
      <c r="G278" s="27" t="s">
        <v>28</v>
      </c>
      <c r="H278" s="27" t="s">
        <v>21</v>
      </c>
    </row>
    <row r="279" spans="1:14" ht="15.6" customHeight="1" x14ac:dyDescent="0.25">
      <c r="A279" s="27" t="s">
        <v>46</v>
      </c>
      <c r="B279" s="27" t="s">
        <v>135</v>
      </c>
      <c r="C279" s="27">
        <v>40</v>
      </c>
      <c r="D279" s="27">
        <v>65</v>
      </c>
      <c r="E279" s="27" t="s">
        <v>20</v>
      </c>
      <c r="F279" s="27" t="s">
        <v>27</v>
      </c>
      <c r="G279" s="27" t="s">
        <v>21</v>
      </c>
      <c r="H279" s="27" t="s">
        <v>26</v>
      </c>
      <c r="I279" s="27" t="s">
        <v>22</v>
      </c>
      <c r="J279" s="27" t="s">
        <v>104</v>
      </c>
      <c r="K279" s="27" t="s">
        <v>104</v>
      </c>
      <c r="L279" s="27" t="s">
        <v>104</v>
      </c>
      <c r="M279" s="27">
        <v>830</v>
      </c>
      <c r="N279" s="27">
        <v>50</v>
      </c>
    </row>
    <row r="280" spans="1:14" x14ac:dyDescent="0.25">
      <c r="E280" s="27" t="s">
        <v>24</v>
      </c>
      <c r="F280" s="27">
        <v>0</v>
      </c>
      <c r="G280" s="27">
        <v>0</v>
      </c>
      <c r="H280" s="27">
        <v>0</v>
      </c>
    </row>
    <row r="281" spans="1:14" x14ac:dyDescent="0.25">
      <c r="E281" s="27" t="s">
        <v>20</v>
      </c>
      <c r="F281" s="27">
        <v>0</v>
      </c>
      <c r="G281" s="27">
        <v>0</v>
      </c>
      <c r="H281" s="27">
        <v>0</v>
      </c>
    </row>
    <row r="282" spans="1:14" x14ac:dyDescent="0.25">
      <c r="E282" s="27" t="s">
        <v>24</v>
      </c>
      <c r="F282" s="27" t="s">
        <v>21</v>
      </c>
      <c r="G282" s="27" t="s">
        <v>28</v>
      </c>
      <c r="H282" s="27" t="s">
        <v>28</v>
      </c>
    </row>
    <row r="283" spans="1:14" ht="15.6" customHeight="1" x14ac:dyDescent="0.25">
      <c r="A283" s="27" t="s">
        <v>46</v>
      </c>
      <c r="B283" s="27" t="s">
        <v>117</v>
      </c>
      <c r="C283" s="27">
        <v>40</v>
      </c>
      <c r="D283" s="27">
        <v>65</v>
      </c>
      <c r="E283" s="27" t="s">
        <v>20</v>
      </c>
      <c r="F283" s="27" t="s">
        <v>30</v>
      </c>
      <c r="G283" s="27" t="s">
        <v>21</v>
      </c>
      <c r="H283" s="27" t="s">
        <v>26</v>
      </c>
      <c r="I283" s="27" t="s">
        <v>22</v>
      </c>
      <c r="J283" s="27" t="s">
        <v>35</v>
      </c>
      <c r="K283" s="27" t="s">
        <v>35</v>
      </c>
      <c r="L283" s="27" t="s">
        <v>35</v>
      </c>
      <c r="M283" s="27">
        <v>990</v>
      </c>
      <c r="N283" s="27">
        <v>50</v>
      </c>
    </row>
    <row r="284" spans="1:14" x14ac:dyDescent="0.25">
      <c r="E284" s="27" t="s">
        <v>24</v>
      </c>
      <c r="F284" s="27" t="s">
        <v>28</v>
      </c>
      <c r="G284" s="27">
        <v>0</v>
      </c>
      <c r="H284" s="27">
        <v>0</v>
      </c>
    </row>
    <row r="285" spans="1:14" x14ac:dyDescent="0.25">
      <c r="E285" s="27" t="s">
        <v>20</v>
      </c>
      <c r="F285" s="27">
        <v>0</v>
      </c>
      <c r="G285" s="27" t="s">
        <v>26</v>
      </c>
      <c r="H285" s="27" t="s">
        <v>26</v>
      </c>
    </row>
    <row r="286" spans="1:14" x14ac:dyDescent="0.25">
      <c r="E286" s="27" t="s">
        <v>24</v>
      </c>
      <c r="F286" s="27" t="s">
        <v>25</v>
      </c>
      <c r="G286" s="27" t="s">
        <v>25</v>
      </c>
      <c r="H286" s="27" t="s">
        <v>25</v>
      </c>
    </row>
    <row r="287" spans="1:14" ht="15.6" customHeight="1" x14ac:dyDescent="0.25">
      <c r="A287" s="27" t="s">
        <v>46</v>
      </c>
      <c r="B287" s="27" t="s">
        <v>121</v>
      </c>
      <c r="C287" s="27">
        <v>40</v>
      </c>
      <c r="D287" s="27">
        <v>65</v>
      </c>
      <c r="E287" s="27" t="s">
        <v>20</v>
      </c>
      <c r="F287" s="27" t="s">
        <v>30</v>
      </c>
      <c r="G287" s="27" t="s">
        <v>21</v>
      </c>
      <c r="H287" s="27" t="s">
        <v>26</v>
      </c>
      <c r="I287" s="27" t="s">
        <v>22</v>
      </c>
      <c r="J287" s="27" t="s">
        <v>35</v>
      </c>
      <c r="K287" s="27" t="s">
        <v>35</v>
      </c>
      <c r="L287" s="27" t="s">
        <v>35</v>
      </c>
      <c r="M287" s="27">
        <v>990</v>
      </c>
      <c r="N287" s="27">
        <v>50</v>
      </c>
    </row>
    <row r="288" spans="1:14" x14ac:dyDescent="0.25">
      <c r="E288" s="27" t="s">
        <v>24</v>
      </c>
      <c r="F288" s="27" t="s">
        <v>21</v>
      </c>
      <c r="G288" s="27">
        <v>0</v>
      </c>
      <c r="H288" s="27">
        <v>0</v>
      </c>
    </row>
    <row r="289" spans="1:14" x14ac:dyDescent="0.25">
      <c r="E289" s="27" t="s">
        <v>20</v>
      </c>
      <c r="F289" s="27">
        <v>0</v>
      </c>
      <c r="G289" s="27" t="s">
        <v>26</v>
      </c>
      <c r="H289" s="27" t="s">
        <v>26</v>
      </c>
    </row>
    <row r="290" spans="1:14" x14ac:dyDescent="0.25">
      <c r="E290" s="27" t="s">
        <v>24</v>
      </c>
      <c r="F290" s="27" t="s">
        <v>25</v>
      </c>
      <c r="G290" s="27" t="s">
        <v>25</v>
      </c>
      <c r="H290" s="27" t="s">
        <v>25</v>
      </c>
    </row>
    <row r="291" spans="1:14" ht="15.6" customHeight="1" x14ac:dyDescent="0.25">
      <c r="A291" s="27" t="s">
        <v>46</v>
      </c>
      <c r="B291" s="27" t="s">
        <v>122</v>
      </c>
      <c r="C291" s="27">
        <v>40</v>
      </c>
      <c r="D291" s="27">
        <v>65</v>
      </c>
      <c r="E291" s="27" t="s">
        <v>20</v>
      </c>
      <c r="F291" s="27" t="s">
        <v>30</v>
      </c>
      <c r="G291" s="27" t="s">
        <v>21</v>
      </c>
      <c r="H291" s="27" t="s">
        <v>26</v>
      </c>
      <c r="I291" s="27" t="s">
        <v>22</v>
      </c>
      <c r="J291" s="27" t="s">
        <v>35</v>
      </c>
      <c r="K291" s="27" t="s">
        <v>35</v>
      </c>
      <c r="L291" s="27" t="s">
        <v>35</v>
      </c>
      <c r="M291" s="27">
        <v>990</v>
      </c>
      <c r="N291" s="27">
        <v>50</v>
      </c>
    </row>
    <row r="292" spans="1:14" x14ac:dyDescent="0.25">
      <c r="E292" s="27" t="s">
        <v>24</v>
      </c>
      <c r="F292" s="27" t="s">
        <v>27</v>
      </c>
      <c r="G292" s="27">
        <v>0</v>
      </c>
      <c r="H292" s="27">
        <v>0</v>
      </c>
    </row>
    <row r="293" spans="1:14" x14ac:dyDescent="0.25">
      <c r="E293" s="27" t="s">
        <v>20</v>
      </c>
      <c r="F293" s="27">
        <v>0</v>
      </c>
      <c r="G293" s="27" t="s">
        <v>26</v>
      </c>
      <c r="H293" s="27" t="s">
        <v>26</v>
      </c>
    </row>
    <row r="294" spans="1:14" x14ac:dyDescent="0.25">
      <c r="E294" s="27" t="s">
        <v>24</v>
      </c>
      <c r="F294" s="27" t="s">
        <v>30</v>
      </c>
      <c r="G294" s="27" t="s">
        <v>30</v>
      </c>
      <c r="H294" s="27" t="s">
        <v>30</v>
      </c>
    </row>
    <row r="295" spans="1:14" ht="15.6" customHeight="1" x14ac:dyDescent="0.25">
      <c r="A295" s="27" t="s">
        <v>46</v>
      </c>
      <c r="B295" s="27" t="s">
        <v>122</v>
      </c>
      <c r="C295" s="27">
        <v>40</v>
      </c>
      <c r="D295" s="27">
        <v>65</v>
      </c>
      <c r="E295" s="27" t="s">
        <v>20</v>
      </c>
      <c r="F295" s="27" t="s">
        <v>30</v>
      </c>
      <c r="G295" s="27" t="s">
        <v>21</v>
      </c>
      <c r="H295" s="27" t="s">
        <v>26</v>
      </c>
      <c r="I295" s="27" t="s">
        <v>22</v>
      </c>
      <c r="J295" s="27" t="s">
        <v>35</v>
      </c>
      <c r="K295" s="27" t="s">
        <v>35</v>
      </c>
      <c r="L295" s="27" t="s">
        <v>35</v>
      </c>
      <c r="M295" s="27">
        <v>990</v>
      </c>
      <c r="N295" s="27">
        <v>50</v>
      </c>
    </row>
    <row r="296" spans="1:14" x14ac:dyDescent="0.25">
      <c r="E296" s="27" t="s">
        <v>24</v>
      </c>
      <c r="F296" s="27" t="s">
        <v>27</v>
      </c>
      <c r="G296" s="27">
        <v>0</v>
      </c>
      <c r="H296" s="27">
        <v>0</v>
      </c>
    </row>
    <row r="297" spans="1:14" x14ac:dyDescent="0.25">
      <c r="E297" s="27" t="s">
        <v>20</v>
      </c>
      <c r="F297" s="27">
        <v>0</v>
      </c>
      <c r="G297" s="27" t="s">
        <v>26</v>
      </c>
      <c r="H297" s="27" t="s">
        <v>26</v>
      </c>
    </row>
    <row r="298" spans="1:14" x14ac:dyDescent="0.25">
      <c r="E298" s="27" t="s">
        <v>24</v>
      </c>
      <c r="F298" s="27" t="s">
        <v>30</v>
      </c>
      <c r="G298" s="27" t="s">
        <v>30</v>
      </c>
      <c r="H298" s="27" t="s">
        <v>30</v>
      </c>
    </row>
    <row r="299" spans="1:14" ht="15.6" customHeight="1" x14ac:dyDescent="0.25">
      <c r="A299" s="27" t="s">
        <v>46</v>
      </c>
      <c r="B299" s="27" t="s">
        <v>122</v>
      </c>
      <c r="C299" s="27">
        <v>40</v>
      </c>
      <c r="D299" s="27">
        <v>65</v>
      </c>
      <c r="E299" s="27" t="s">
        <v>20</v>
      </c>
      <c r="F299" s="27" t="s">
        <v>30</v>
      </c>
      <c r="G299" s="27" t="s">
        <v>21</v>
      </c>
      <c r="H299" s="27" t="s">
        <v>26</v>
      </c>
      <c r="I299" s="27" t="s">
        <v>22</v>
      </c>
      <c r="J299" s="27" t="s">
        <v>35</v>
      </c>
      <c r="K299" s="27" t="s">
        <v>35</v>
      </c>
      <c r="L299" s="27" t="s">
        <v>35</v>
      </c>
      <c r="M299" s="27">
        <v>990</v>
      </c>
      <c r="N299" s="27">
        <v>50</v>
      </c>
    </row>
    <row r="300" spans="1:14" x14ac:dyDescent="0.25">
      <c r="E300" s="27" t="s">
        <v>24</v>
      </c>
      <c r="F300" s="27" t="s">
        <v>27</v>
      </c>
      <c r="G300" s="27">
        <v>0</v>
      </c>
      <c r="H300" s="27">
        <v>0</v>
      </c>
    </row>
    <row r="301" spans="1:14" x14ac:dyDescent="0.25">
      <c r="E301" s="27" t="s">
        <v>20</v>
      </c>
      <c r="F301" s="27">
        <v>0</v>
      </c>
      <c r="G301" s="27" t="s">
        <v>26</v>
      </c>
      <c r="H301" s="27" t="s">
        <v>26</v>
      </c>
    </row>
    <row r="302" spans="1:14" x14ac:dyDescent="0.25">
      <c r="E302" s="27" t="s">
        <v>24</v>
      </c>
      <c r="F302" s="27" t="s">
        <v>30</v>
      </c>
      <c r="G302" s="27" t="s">
        <v>30</v>
      </c>
      <c r="H302" s="27" t="s">
        <v>30</v>
      </c>
    </row>
    <row r="303" spans="1:14" ht="15.6" customHeight="1" x14ac:dyDescent="0.25">
      <c r="A303" s="27" t="s">
        <v>46</v>
      </c>
      <c r="B303" s="27" t="s">
        <v>122</v>
      </c>
      <c r="C303" s="27">
        <v>40</v>
      </c>
      <c r="D303" s="27">
        <v>65</v>
      </c>
      <c r="E303" s="27" t="s">
        <v>20</v>
      </c>
      <c r="F303" s="27" t="s">
        <v>30</v>
      </c>
      <c r="G303" s="27" t="s">
        <v>21</v>
      </c>
      <c r="H303" s="27" t="s">
        <v>26</v>
      </c>
      <c r="I303" s="27" t="s">
        <v>22</v>
      </c>
      <c r="J303" s="27" t="s">
        <v>35</v>
      </c>
      <c r="K303" s="27" t="s">
        <v>35</v>
      </c>
      <c r="L303" s="27" t="s">
        <v>35</v>
      </c>
      <c r="M303" s="27">
        <v>990</v>
      </c>
      <c r="N303" s="27">
        <v>50</v>
      </c>
    </row>
    <row r="304" spans="1:14" x14ac:dyDescent="0.25">
      <c r="E304" s="27" t="s">
        <v>24</v>
      </c>
      <c r="F304" s="27" t="s">
        <v>27</v>
      </c>
      <c r="G304" s="27">
        <v>0</v>
      </c>
      <c r="H304" s="27">
        <v>0</v>
      </c>
    </row>
    <row r="305" spans="1:14" x14ac:dyDescent="0.25">
      <c r="E305" s="27" t="s">
        <v>20</v>
      </c>
      <c r="F305" s="27">
        <v>0</v>
      </c>
      <c r="G305" s="27" t="s">
        <v>26</v>
      </c>
      <c r="H305" s="27" t="s">
        <v>26</v>
      </c>
    </row>
    <row r="306" spans="1:14" x14ac:dyDescent="0.25">
      <c r="E306" s="27" t="s">
        <v>24</v>
      </c>
      <c r="F306" s="27" t="s">
        <v>30</v>
      </c>
      <c r="G306" s="27" t="s">
        <v>30</v>
      </c>
      <c r="H306" s="27" t="s">
        <v>30</v>
      </c>
    </row>
    <row r="307" spans="1:14" ht="15.6" customHeight="1" x14ac:dyDescent="0.25">
      <c r="A307" s="27" t="s">
        <v>46</v>
      </c>
      <c r="B307" s="27" t="s">
        <v>136</v>
      </c>
      <c r="C307" s="27">
        <v>40</v>
      </c>
      <c r="D307" s="27">
        <v>65</v>
      </c>
      <c r="E307" s="27" t="s">
        <v>20</v>
      </c>
      <c r="F307" s="27" t="s">
        <v>26</v>
      </c>
      <c r="G307" s="27" t="s">
        <v>21</v>
      </c>
      <c r="H307" s="27" t="s">
        <v>30</v>
      </c>
      <c r="I307" s="27" t="s">
        <v>22</v>
      </c>
      <c r="J307" s="27" t="s">
        <v>104</v>
      </c>
      <c r="K307" s="27" t="s">
        <v>104</v>
      </c>
      <c r="L307" s="27" t="s">
        <v>104</v>
      </c>
      <c r="M307" s="27">
        <v>830</v>
      </c>
      <c r="N307" s="27">
        <v>50</v>
      </c>
    </row>
    <row r="308" spans="1:14" x14ac:dyDescent="0.25">
      <c r="E308" s="27" t="s">
        <v>24</v>
      </c>
      <c r="F308" s="27">
        <v>0</v>
      </c>
      <c r="G308" s="27">
        <v>0</v>
      </c>
      <c r="H308" s="27" t="s">
        <v>26</v>
      </c>
    </row>
    <row r="309" spans="1:14" x14ac:dyDescent="0.25">
      <c r="E309" s="27" t="s">
        <v>20</v>
      </c>
      <c r="F309" s="27">
        <v>0</v>
      </c>
      <c r="G309" s="27" t="s">
        <v>26</v>
      </c>
      <c r="H309" s="27">
        <v>0</v>
      </c>
    </row>
    <row r="310" spans="1:14" x14ac:dyDescent="0.25">
      <c r="E310" s="27" t="s">
        <v>24</v>
      </c>
      <c r="F310" s="27" t="s">
        <v>30</v>
      </c>
      <c r="G310" s="27" t="s">
        <v>30</v>
      </c>
      <c r="H310" s="27" t="s">
        <v>25</v>
      </c>
    </row>
    <row r="311" spans="1:14" x14ac:dyDescent="0.25">
      <c r="A311" s="27" t="s">
        <v>46</v>
      </c>
      <c r="B311" s="27" t="s">
        <v>137</v>
      </c>
      <c r="C311" s="27">
        <v>40</v>
      </c>
      <c r="D311" s="27">
        <v>65</v>
      </c>
      <c r="E311" s="27" t="s">
        <v>20</v>
      </c>
      <c r="F311" s="27" t="s">
        <v>30</v>
      </c>
      <c r="G311" s="27" t="s">
        <v>21</v>
      </c>
      <c r="H311" s="27" t="s">
        <v>30</v>
      </c>
      <c r="I311" s="27" t="s">
        <v>22</v>
      </c>
      <c r="J311" s="27" t="s">
        <v>23</v>
      </c>
      <c r="K311" s="27" t="s">
        <v>23</v>
      </c>
      <c r="L311" s="27" t="s">
        <v>23</v>
      </c>
      <c r="M311" s="27">
        <v>830</v>
      </c>
      <c r="N311" s="27">
        <v>50</v>
      </c>
    </row>
    <row r="312" spans="1:14" x14ac:dyDescent="0.25">
      <c r="E312" s="27" t="s">
        <v>24</v>
      </c>
      <c r="F312" s="27" t="s">
        <v>26</v>
      </c>
      <c r="G312" s="27">
        <v>0</v>
      </c>
      <c r="H312" s="27" t="s">
        <v>26</v>
      </c>
    </row>
    <row r="313" spans="1:14" x14ac:dyDescent="0.25">
      <c r="E313" s="27" t="s">
        <v>20</v>
      </c>
      <c r="F313" s="27">
        <v>0</v>
      </c>
      <c r="G313" s="27" t="s">
        <v>26</v>
      </c>
      <c r="H313" s="27">
        <v>0</v>
      </c>
    </row>
    <row r="314" spans="1:14" x14ac:dyDescent="0.25">
      <c r="E314" s="27" t="s">
        <v>24</v>
      </c>
      <c r="F314" s="27" t="s">
        <v>27</v>
      </c>
      <c r="G314" s="27" t="s">
        <v>25</v>
      </c>
      <c r="H314" s="27" t="s">
        <v>27</v>
      </c>
    </row>
    <row r="315" spans="1:14" x14ac:dyDescent="0.25">
      <c r="A315" s="27" t="s">
        <v>46</v>
      </c>
      <c r="B315" s="27" t="s">
        <v>138</v>
      </c>
      <c r="C315" s="27">
        <v>40</v>
      </c>
      <c r="D315" s="27">
        <v>65</v>
      </c>
      <c r="E315" s="27" t="s">
        <v>20</v>
      </c>
      <c r="F315" s="27" t="s">
        <v>30</v>
      </c>
      <c r="G315" s="27" t="s">
        <v>21</v>
      </c>
      <c r="H315" s="27" t="s">
        <v>30</v>
      </c>
      <c r="I315" s="27" t="s">
        <v>22</v>
      </c>
      <c r="J315" s="27" t="s">
        <v>23</v>
      </c>
      <c r="K315" s="27" t="s">
        <v>23</v>
      </c>
      <c r="L315" s="27" t="s">
        <v>23</v>
      </c>
      <c r="M315" s="27">
        <v>830</v>
      </c>
      <c r="N315" s="27">
        <v>50</v>
      </c>
    </row>
    <row r="316" spans="1:14" x14ac:dyDescent="0.25">
      <c r="E316" s="27" t="s">
        <v>24</v>
      </c>
      <c r="F316" s="27" t="s">
        <v>26</v>
      </c>
      <c r="G316" s="27">
        <v>0</v>
      </c>
      <c r="H316" s="27" t="s">
        <v>26</v>
      </c>
    </row>
    <row r="317" spans="1:14" x14ac:dyDescent="0.25">
      <c r="E317" s="27" t="s">
        <v>20</v>
      </c>
      <c r="F317" s="27">
        <v>0</v>
      </c>
      <c r="G317" s="27" t="s">
        <v>26</v>
      </c>
      <c r="H317" s="27">
        <v>0</v>
      </c>
    </row>
    <row r="318" spans="1:14" x14ac:dyDescent="0.25">
      <c r="E318" s="27" t="s">
        <v>24</v>
      </c>
      <c r="F318" s="27" t="s">
        <v>27</v>
      </c>
      <c r="G318" s="27" t="s">
        <v>25</v>
      </c>
      <c r="H318" s="27" t="s">
        <v>27</v>
      </c>
    </row>
    <row r="319" spans="1:14" x14ac:dyDescent="0.25">
      <c r="A319" s="27" t="s">
        <v>46</v>
      </c>
      <c r="B319" s="27" t="s">
        <v>139</v>
      </c>
      <c r="C319" s="27">
        <v>40</v>
      </c>
      <c r="D319" s="27">
        <v>65</v>
      </c>
      <c r="E319" s="27" t="s">
        <v>20</v>
      </c>
      <c r="F319" s="27" t="s">
        <v>30</v>
      </c>
      <c r="G319" s="27" t="s">
        <v>21</v>
      </c>
      <c r="H319" s="27" t="s">
        <v>30</v>
      </c>
      <c r="I319" s="27" t="s">
        <v>22</v>
      </c>
      <c r="J319" s="27" t="s">
        <v>23</v>
      </c>
      <c r="K319" s="27" t="s">
        <v>23</v>
      </c>
      <c r="L319" s="27" t="s">
        <v>23</v>
      </c>
      <c r="M319" s="27">
        <v>830</v>
      </c>
      <c r="N319" s="27">
        <v>50</v>
      </c>
    </row>
    <row r="320" spans="1:14" x14ac:dyDescent="0.25">
      <c r="E320" s="27" t="s">
        <v>24</v>
      </c>
      <c r="F320" s="27" t="s">
        <v>26</v>
      </c>
      <c r="G320" s="27">
        <v>0</v>
      </c>
      <c r="H320" s="27" t="s">
        <v>21</v>
      </c>
    </row>
    <row r="321" spans="1:14" x14ac:dyDescent="0.25">
      <c r="E321" s="27" t="s">
        <v>20</v>
      </c>
      <c r="F321" s="27">
        <v>0</v>
      </c>
      <c r="G321" s="27" t="s">
        <v>26</v>
      </c>
      <c r="H321" s="27">
        <v>0</v>
      </c>
    </row>
    <row r="322" spans="1:14" x14ac:dyDescent="0.25">
      <c r="E322" s="27" t="s">
        <v>24</v>
      </c>
      <c r="F322" s="27" t="s">
        <v>27</v>
      </c>
      <c r="G322" s="27" t="s">
        <v>25</v>
      </c>
      <c r="H322" s="27" t="s">
        <v>27</v>
      </c>
    </row>
    <row r="323" spans="1:14" ht="15.6" customHeight="1" x14ac:dyDescent="0.25">
      <c r="A323" s="27" t="s">
        <v>46</v>
      </c>
      <c r="B323" s="27" t="s">
        <v>140</v>
      </c>
      <c r="C323" s="27">
        <v>40</v>
      </c>
      <c r="D323" s="27">
        <v>65</v>
      </c>
      <c r="E323" s="27" t="s">
        <v>20</v>
      </c>
      <c r="F323" s="27" t="s">
        <v>30</v>
      </c>
      <c r="G323" s="27" t="s">
        <v>21</v>
      </c>
      <c r="H323" s="27" t="s">
        <v>26</v>
      </c>
      <c r="I323" s="27" t="s">
        <v>22</v>
      </c>
      <c r="J323" s="27" t="s">
        <v>35</v>
      </c>
      <c r="K323" s="27" t="s">
        <v>35</v>
      </c>
      <c r="L323" s="27" t="s">
        <v>35</v>
      </c>
      <c r="M323" s="27">
        <v>830</v>
      </c>
      <c r="N323" s="27">
        <v>50</v>
      </c>
    </row>
    <row r="324" spans="1:14" x14ac:dyDescent="0.25">
      <c r="E324" s="27" t="s">
        <v>24</v>
      </c>
      <c r="F324" s="27" t="s">
        <v>21</v>
      </c>
      <c r="G324" s="27">
        <v>0</v>
      </c>
      <c r="H324" s="27">
        <v>0</v>
      </c>
    </row>
    <row r="325" spans="1:14" x14ac:dyDescent="0.25">
      <c r="E325" s="27" t="s">
        <v>20</v>
      </c>
      <c r="F325" s="27">
        <v>0</v>
      </c>
      <c r="G325" s="27" t="s">
        <v>26</v>
      </c>
      <c r="H325" s="27">
        <v>0</v>
      </c>
    </row>
    <row r="326" spans="1:14" x14ac:dyDescent="0.25">
      <c r="E326" s="27" t="s">
        <v>24</v>
      </c>
      <c r="F326" s="27" t="s">
        <v>27</v>
      </c>
      <c r="G326" s="27" t="s">
        <v>25</v>
      </c>
      <c r="H326" s="27" t="s">
        <v>30</v>
      </c>
    </row>
    <row r="327" spans="1:14" x14ac:dyDescent="0.25">
      <c r="A327" s="27" t="s">
        <v>46</v>
      </c>
      <c r="B327" s="27" t="s">
        <v>141</v>
      </c>
      <c r="C327" s="27">
        <v>40</v>
      </c>
      <c r="D327" s="27">
        <v>65</v>
      </c>
      <c r="E327" s="27" t="s">
        <v>20</v>
      </c>
      <c r="F327" s="27" t="s">
        <v>30</v>
      </c>
      <c r="G327" s="27" t="s">
        <v>21</v>
      </c>
      <c r="H327" s="27" t="s">
        <v>30</v>
      </c>
      <c r="I327" s="27" t="s">
        <v>22</v>
      </c>
      <c r="J327" s="27" t="s">
        <v>142</v>
      </c>
      <c r="K327" s="27" t="s">
        <v>142</v>
      </c>
      <c r="L327" s="27" t="s">
        <v>142</v>
      </c>
      <c r="M327" s="27">
        <v>830</v>
      </c>
      <c r="N327" s="27">
        <v>140</v>
      </c>
    </row>
    <row r="328" spans="1:14" x14ac:dyDescent="0.25">
      <c r="E328" s="27" t="s">
        <v>24</v>
      </c>
      <c r="F328" s="27" t="s">
        <v>27</v>
      </c>
      <c r="G328" s="27">
        <v>0</v>
      </c>
      <c r="H328" s="27" t="s">
        <v>27</v>
      </c>
    </row>
    <row r="329" spans="1:14" x14ac:dyDescent="0.25">
      <c r="E329" s="27" t="s">
        <v>20</v>
      </c>
      <c r="F329" s="27" t="s">
        <v>27</v>
      </c>
      <c r="G329" s="27" t="s">
        <v>30</v>
      </c>
      <c r="H329" s="27" t="s">
        <v>27</v>
      </c>
    </row>
    <row r="330" spans="1:14" x14ac:dyDescent="0.25">
      <c r="E330" s="27" t="s">
        <v>24</v>
      </c>
      <c r="F330" s="27" t="s">
        <v>30</v>
      </c>
      <c r="G330" s="27" t="s">
        <v>30</v>
      </c>
      <c r="H330" s="27" t="s">
        <v>30</v>
      </c>
    </row>
    <row r="331" spans="1:14" x14ac:dyDescent="0.25">
      <c r="A331" s="27" t="s">
        <v>46</v>
      </c>
      <c r="B331" s="27" t="s">
        <v>141</v>
      </c>
      <c r="C331" s="27">
        <v>40</v>
      </c>
      <c r="D331" s="27">
        <v>65</v>
      </c>
      <c r="E331" s="27" t="s">
        <v>20</v>
      </c>
      <c r="F331" s="27" t="s">
        <v>30</v>
      </c>
      <c r="G331" s="27" t="s">
        <v>21</v>
      </c>
      <c r="H331" s="27" t="s">
        <v>30</v>
      </c>
      <c r="I331" s="27" t="s">
        <v>22</v>
      </c>
      <c r="J331" s="27" t="s">
        <v>142</v>
      </c>
      <c r="K331" s="27" t="s">
        <v>142</v>
      </c>
      <c r="L331" s="27" t="s">
        <v>142</v>
      </c>
      <c r="M331" s="27">
        <v>830</v>
      </c>
      <c r="N331" s="27">
        <v>140</v>
      </c>
    </row>
    <row r="332" spans="1:14" x14ac:dyDescent="0.25">
      <c r="E332" s="27" t="s">
        <v>24</v>
      </c>
      <c r="F332" s="27" t="s">
        <v>27</v>
      </c>
      <c r="G332" s="27">
        <v>0</v>
      </c>
      <c r="H332" s="27" t="s">
        <v>27</v>
      </c>
    </row>
    <row r="333" spans="1:14" x14ac:dyDescent="0.25">
      <c r="E333" s="27" t="s">
        <v>20</v>
      </c>
      <c r="F333" s="27" t="s">
        <v>27</v>
      </c>
      <c r="G333" s="27" t="s">
        <v>30</v>
      </c>
      <c r="H333" s="27" t="s">
        <v>27</v>
      </c>
    </row>
    <row r="334" spans="1:14" x14ac:dyDescent="0.25">
      <c r="E334" s="27" t="s">
        <v>24</v>
      </c>
      <c r="F334" s="27" t="s">
        <v>30</v>
      </c>
      <c r="G334" s="27" t="s">
        <v>30</v>
      </c>
      <c r="H334" s="27" t="s">
        <v>30</v>
      </c>
    </row>
    <row r="335" spans="1:14" x14ac:dyDescent="0.25">
      <c r="A335" s="27" t="s">
        <v>46</v>
      </c>
      <c r="B335" s="27" t="s">
        <v>141</v>
      </c>
      <c r="C335" s="27">
        <v>40</v>
      </c>
      <c r="D335" s="27">
        <v>65</v>
      </c>
      <c r="E335" s="27" t="s">
        <v>20</v>
      </c>
      <c r="F335" s="27" t="s">
        <v>30</v>
      </c>
      <c r="G335" s="27" t="s">
        <v>21</v>
      </c>
      <c r="H335" s="27" t="s">
        <v>30</v>
      </c>
      <c r="I335" s="27" t="s">
        <v>22</v>
      </c>
      <c r="J335" s="27" t="s">
        <v>142</v>
      </c>
      <c r="K335" s="27" t="s">
        <v>142</v>
      </c>
      <c r="L335" s="27" t="s">
        <v>142</v>
      </c>
      <c r="M335" s="27">
        <v>830</v>
      </c>
      <c r="N335" s="27">
        <v>140</v>
      </c>
    </row>
    <row r="336" spans="1:14" x14ac:dyDescent="0.25">
      <c r="E336" s="27" t="s">
        <v>24</v>
      </c>
      <c r="F336" s="27" t="s">
        <v>27</v>
      </c>
      <c r="G336" s="27">
        <v>0</v>
      </c>
      <c r="H336" s="27" t="s">
        <v>27</v>
      </c>
    </row>
    <row r="337" spans="1:14" x14ac:dyDescent="0.25">
      <c r="E337" s="27" t="s">
        <v>20</v>
      </c>
      <c r="F337" s="27" t="s">
        <v>27</v>
      </c>
      <c r="G337" s="27" t="s">
        <v>30</v>
      </c>
      <c r="H337" s="27" t="s">
        <v>27</v>
      </c>
    </row>
    <row r="338" spans="1:14" x14ac:dyDescent="0.25">
      <c r="E338" s="27" t="s">
        <v>24</v>
      </c>
      <c r="F338" s="27" t="s">
        <v>30</v>
      </c>
      <c r="G338" s="27" t="s">
        <v>30</v>
      </c>
      <c r="H338" s="27" t="s">
        <v>30</v>
      </c>
    </row>
    <row r="339" spans="1:14" x14ac:dyDescent="0.25">
      <c r="A339" s="27" t="s">
        <v>46</v>
      </c>
      <c r="B339" s="27" t="s">
        <v>141</v>
      </c>
      <c r="C339" s="27">
        <v>40</v>
      </c>
      <c r="D339" s="27">
        <v>65</v>
      </c>
      <c r="E339" s="27" t="s">
        <v>20</v>
      </c>
      <c r="F339" s="27" t="s">
        <v>30</v>
      </c>
      <c r="G339" s="27" t="s">
        <v>21</v>
      </c>
      <c r="H339" s="27" t="s">
        <v>30</v>
      </c>
      <c r="I339" s="27" t="s">
        <v>22</v>
      </c>
      <c r="J339" s="27" t="s">
        <v>142</v>
      </c>
      <c r="K339" s="27" t="s">
        <v>142</v>
      </c>
      <c r="L339" s="27" t="s">
        <v>142</v>
      </c>
      <c r="M339" s="27">
        <v>830</v>
      </c>
      <c r="N339" s="27">
        <v>140</v>
      </c>
    </row>
    <row r="340" spans="1:14" x14ac:dyDescent="0.25">
      <c r="E340" s="27" t="s">
        <v>24</v>
      </c>
      <c r="F340" s="27" t="s">
        <v>27</v>
      </c>
      <c r="G340" s="27">
        <v>0</v>
      </c>
      <c r="H340" s="27" t="s">
        <v>27</v>
      </c>
    </row>
    <row r="341" spans="1:14" x14ac:dyDescent="0.25">
      <c r="E341" s="27" t="s">
        <v>20</v>
      </c>
      <c r="F341" s="27" t="s">
        <v>27</v>
      </c>
      <c r="G341" s="27" t="s">
        <v>30</v>
      </c>
      <c r="H341" s="27" t="s">
        <v>27</v>
      </c>
    </row>
    <row r="342" spans="1:14" x14ac:dyDescent="0.25">
      <c r="E342" s="27" t="s">
        <v>24</v>
      </c>
      <c r="F342" s="27" t="s">
        <v>30</v>
      </c>
      <c r="G342" s="27" t="s">
        <v>30</v>
      </c>
      <c r="H342" s="27" t="s">
        <v>30</v>
      </c>
    </row>
    <row r="343" spans="1:14" x14ac:dyDescent="0.25">
      <c r="A343" s="27" t="s">
        <v>46</v>
      </c>
      <c r="B343" s="27" t="s">
        <v>141</v>
      </c>
      <c r="C343" s="27">
        <v>40</v>
      </c>
      <c r="D343" s="27">
        <v>65</v>
      </c>
      <c r="E343" s="27" t="s">
        <v>20</v>
      </c>
      <c r="F343" s="27" t="s">
        <v>30</v>
      </c>
      <c r="G343" s="27" t="s">
        <v>21</v>
      </c>
      <c r="H343" s="27" t="s">
        <v>30</v>
      </c>
      <c r="I343" s="27" t="s">
        <v>22</v>
      </c>
      <c r="J343" s="27" t="s">
        <v>142</v>
      </c>
      <c r="K343" s="27" t="s">
        <v>142</v>
      </c>
      <c r="L343" s="27" t="s">
        <v>142</v>
      </c>
      <c r="M343" s="27">
        <v>830</v>
      </c>
      <c r="N343" s="27">
        <v>140</v>
      </c>
    </row>
    <row r="344" spans="1:14" x14ac:dyDescent="0.25">
      <c r="E344" s="27" t="s">
        <v>24</v>
      </c>
      <c r="F344" s="27" t="s">
        <v>27</v>
      </c>
      <c r="G344" s="27">
        <v>0</v>
      </c>
      <c r="H344" s="27" t="s">
        <v>27</v>
      </c>
    </row>
    <row r="345" spans="1:14" x14ac:dyDescent="0.25">
      <c r="E345" s="27" t="s">
        <v>20</v>
      </c>
      <c r="F345" s="27" t="s">
        <v>27</v>
      </c>
      <c r="G345" s="27" t="s">
        <v>30</v>
      </c>
      <c r="H345" s="27" t="s">
        <v>27</v>
      </c>
    </row>
    <row r="346" spans="1:14" x14ac:dyDescent="0.25">
      <c r="E346" s="27" t="s">
        <v>24</v>
      </c>
      <c r="F346" s="27" t="s">
        <v>30</v>
      </c>
      <c r="G346" s="27" t="s">
        <v>30</v>
      </c>
      <c r="H346" s="27" t="s">
        <v>30</v>
      </c>
    </row>
    <row r="347" spans="1:14" x14ac:dyDescent="0.25">
      <c r="A347" s="27" t="s">
        <v>46</v>
      </c>
      <c r="B347" s="27" t="s">
        <v>141</v>
      </c>
      <c r="C347" s="27">
        <v>40</v>
      </c>
      <c r="D347" s="27">
        <v>65</v>
      </c>
      <c r="E347" s="27" t="s">
        <v>20</v>
      </c>
      <c r="F347" s="27" t="s">
        <v>30</v>
      </c>
      <c r="G347" s="27" t="s">
        <v>21</v>
      </c>
      <c r="H347" s="27" t="s">
        <v>30</v>
      </c>
      <c r="I347" s="27" t="s">
        <v>22</v>
      </c>
      <c r="J347" s="27" t="s">
        <v>142</v>
      </c>
      <c r="K347" s="27" t="s">
        <v>142</v>
      </c>
      <c r="L347" s="27" t="s">
        <v>142</v>
      </c>
      <c r="M347" s="27">
        <v>830</v>
      </c>
      <c r="N347" s="27">
        <v>140</v>
      </c>
    </row>
    <row r="348" spans="1:14" x14ac:dyDescent="0.25">
      <c r="E348" s="27" t="s">
        <v>24</v>
      </c>
      <c r="F348" s="27" t="s">
        <v>27</v>
      </c>
      <c r="G348" s="27">
        <v>0</v>
      </c>
      <c r="H348" s="27" t="s">
        <v>27</v>
      </c>
    </row>
    <row r="349" spans="1:14" x14ac:dyDescent="0.25">
      <c r="E349" s="27" t="s">
        <v>20</v>
      </c>
      <c r="F349" s="27" t="s">
        <v>27</v>
      </c>
      <c r="G349" s="27" t="s">
        <v>30</v>
      </c>
      <c r="H349" s="27" t="s">
        <v>27</v>
      </c>
    </row>
    <row r="350" spans="1:14" x14ac:dyDescent="0.25">
      <c r="E350" s="27" t="s">
        <v>24</v>
      </c>
      <c r="F350" s="27" t="s">
        <v>30</v>
      </c>
      <c r="G350" s="27" t="s">
        <v>30</v>
      </c>
      <c r="H350" s="27" t="s">
        <v>30</v>
      </c>
    </row>
    <row r="351" spans="1:14" x14ac:dyDescent="0.25">
      <c r="A351" s="27" t="s">
        <v>46</v>
      </c>
      <c r="B351" s="27" t="s">
        <v>141</v>
      </c>
      <c r="C351" s="27">
        <v>40</v>
      </c>
      <c r="D351" s="27">
        <v>65</v>
      </c>
      <c r="E351" s="27" t="s">
        <v>20</v>
      </c>
      <c r="F351" s="27" t="s">
        <v>30</v>
      </c>
      <c r="G351" s="27" t="s">
        <v>21</v>
      </c>
      <c r="H351" s="27" t="s">
        <v>30</v>
      </c>
      <c r="I351" s="27" t="s">
        <v>22</v>
      </c>
      <c r="J351" s="27" t="s">
        <v>142</v>
      </c>
      <c r="K351" s="27" t="s">
        <v>142</v>
      </c>
      <c r="L351" s="27" t="s">
        <v>142</v>
      </c>
      <c r="M351" s="27">
        <v>830</v>
      </c>
      <c r="N351" s="27">
        <v>140</v>
      </c>
    </row>
    <row r="352" spans="1:14" x14ac:dyDescent="0.25">
      <c r="E352" s="27" t="s">
        <v>24</v>
      </c>
      <c r="F352" s="27" t="s">
        <v>27</v>
      </c>
      <c r="G352" s="27">
        <v>0</v>
      </c>
      <c r="H352" s="27" t="s">
        <v>27</v>
      </c>
    </row>
    <row r="353" spans="1:14" x14ac:dyDescent="0.25">
      <c r="E353" s="27" t="s">
        <v>20</v>
      </c>
      <c r="F353" s="27" t="s">
        <v>27</v>
      </c>
      <c r="G353" s="27" t="s">
        <v>30</v>
      </c>
      <c r="H353" s="27" t="s">
        <v>27</v>
      </c>
    </row>
    <row r="354" spans="1:14" x14ac:dyDescent="0.25">
      <c r="E354" s="27" t="s">
        <v>24</v>
      </c>
      <c r="F354" s="27" t="s">
        <v>30</v>
      </c>
      <c r="G354" s="27" t="s">
        <v>30</v>
      </c>
      <c r="H354" s="27" t="s">
        <v>30</v>
      </c>
    </row>
    <row r="355" spans="1:14" x14ac:dyDescent="0.25">
      <c r="A355" s="27" t="s">
        <v>46</v>
      </c>
      <c r="B355" s="27" t="s">
        <v>141</v>
      </c>
      <c r="C355" s="27">
        <v>40</v>
      </c>
      <c r="D355" s="27">
        <v>65</v>
      </c>
      <c r="E355" s="27" t="s">
        <v>20</v>
      </c>
      <c r="F355" s="27" t="s">
        <v>30</v>
      </c>
      <c r="G355" s="27" t="s">
        <v>21</v>
      </c>
      <c r="H355" s="27" t="s">
        <v>30</v>
      </c>
      <c r="I355" s="27" t="s">
        <v>22</v>
      </c>
      <c r="J355" s="27" t="s">
        <v>142</v>
      </c>
      <c r="K355" s="27" t="s">
        <v>142</v>
      </c>
      <c r="L355" s="27" t="s">
        <v>142</v>
      </c>
      <c r="M355" s="27">
        <v>830</v>
      </c>
      <c r="N355" s="27">
        <v>140</v>
      </c>
    </row>
    <row r="356" spans="1:14" x14ac:dyDescent="0.25">
      <c r="E356" s="27" t="s">
        <v>24</v>
      </c>
      <c r="F356" s="27" t="s">
        <v>27</v>
      </c>
      <c r="G356" s="27">
        <v>0</v>
      </c>
      <c r="H356" s="27" t="s">
        <v>27</v>
      </c>
    </row>
    <row r="357" spans="1:14" x14ac:dyDescent="0.25">
      <c r="E357" s="27" t="s">
        <v>20</v>
      </c>
      <c r="F357" s="27" t="s">
        <v>27</v>
      </c>
      <c r="G357" s="27" t="s">
        <v>30</v>
      </c>
      <c r="H357" s="27" t="s">
        <v>27</v>
      </c>
    </row>
    <row r="358" spans="1:14" x14ac:dyDescent="0.25">
      <c r="E358" s="27" t="s">
        <v>24</v>
      </c>
      <c r="F358" s="27" t="s">
        <v>30</v>
      </c>
      <c r="G358" s="27" t="s">
        <v>30</v>
      </c>
      <c r="H358" s="27" t="s">
        <v>30</v>
      </c>
    </row>
    <row r="359" spans="1:14" x14ac:dyDescent="0.25">
      <c r="A359" s="27" t="s">
        <v>46</v>
      </c>
      <c r="B359" s="27" t="s">
        <v>141</v>
      </c>
      <c r="C359" s="27">
        <v>40</v>
      </c>
      <c r="D359" s="27">
        <v>65</v>
      </c>
      <c r="E359" s="27" t="s">
        <v>20</v>
      </c>
      <c r="F359" s="27" t="s">
        <v>30</v>
      </c>
      <c r="G359" s="27" t="s">
        <v>21</v>
      </c>
      <c r="H359" s="27" t="s">
        <v>30</v>
      </c>
      <c r="I359" s="27" t="s">
        <v>22</v>
      </c>
      <c r="J359" s="27" t="s">
        <v>142</v>
      </c>
      <c r="K359" s="27" t="s">
        <v>142</v>
      </c>
      <c r="L359" s="27" t="s">
        <v>142</v>
      </c>
      <c r="M359" s="27">
        <v>830</v>
      </c>
      <c r="N359" s="27">
        <v>140</v>
      </c>
    </row>
    <row r="360" spans="1:14" x14ac:dyDescent="0.25">
      <c r="E360" s="27" t="s">
        <v>24</v>
      </c>
      <c r="F360" s="27" t="s">
        <v>27</v>
      </c>
      <c r="G360" s="27">
        <v>0</v>
      </c>
      <c r="H360" s="27" t="s">
        <v>27</v>
      </c>
    </row>
    <row r="361" spans="1:14" x14ac:dyDescent="0.25">
      <c r="E361" s="27" t="s">
        <v>20</v>
      </c>
      <c r="F361" s="27" t="s">
        <v>27</v>
      </c>
      <c r="G361" s="27" t="s">
        <v>30</v>
      </c>
      <c r="H361" s="27" t="s">
        <v>27</v>
      </c>
    </row>
    <row r="362" spans="1:14" x14ac:dyDescent="0.25">
      <c r="E362" s="27" t="s">
        <v>24</v>
      </c>
      <c r="F362" s="27" t="s">
        <v>30</v>
      </c>
      <c r="G362" s="27" t="s">
        <v>30</v>
      </c>
      <c r="H362" s="27" t="s">
        <v>30</v>
      </c>
    </row>
    <row r="363" spans="1:14" x14ac:dyDescent="0.25">
      <c r="A363" s="27" t="s">
        <v>46</v>
      </c>
      <c r="B363" s="27" t="s">
        <v>141</v>
      </c>
      <c r="C363" s="27">
        <v>40</v>
      </c>
      <c r="D363" s="27">
        <v>65</v>
      </c>
      <c r="E363" s="27" t="s">
        <v>20</v>
      </c>
      <c r="F363" s="27" t="s">
        <v>30</v>
      </c>
      <c r="G363" s="27" t="s">
        <v>21</v>
      </c>
      <c r="H363" s="27" t="s">
        <v>30</v>
      </c>
      <c r="I363" s="27" t="s">
        <v>22</v>
      </c>
      <c r="J363" s="27" t="s">
        <v>142</v>
      </c>
      <c r="K363" s="27" t="s">
        <v>142</v>
      </c>
      <c r="L363" s="27" t="s">
        <v>142</v>
      </c>
      <c r="M363" s="27">
        <v>830</v>
      </c>
      <c r="N363" s="27">
        <v>140</v>
      </c>
    </row>
    <row r="364" spans="1:14" x14ac:dyDescent="0.25">
      <c r="E364" s="27" t="s">
        <v>24</v>
      </c>
      <c r="F364" s="27" t="s">
        <v>27</v>
      </c>
      <c r="G364" s="27">
        <v>0</v>
      </c>
      <c r="H364" s="27" t="s">
        <v>27</v>
      </c>
    </row>
    <row r="365" spans="1:14" x14ac:dyDescent="0.25">
      <c r="E365" s="27" t="s">
        <v>20</v>
      </c>
      <c r="F365" s="27" t="s">
        <v>27</v>
      </c>
      <c r="G365" s="27" t="s">
        <v>30</v>
      </c>
      <c r="H365" s="27" t="s">
        <v>27</v>
      </c>
    </row>
    <row r="366" spans="1:14" x14ac:dyDescent="0.25">
      <c r="E366" s="27" t="s">
        <v>24</v>
      </c>
      <c r="F366" s="27" t="s">
        <v>30</v>
      </c>
      <c r="G366" s="27" t="s">
        <v>30</v>
      </c>
      <c r="H366" s="27" t="s">
        <v>30</v>
      </c>
    </row>
    <row r="367" spans="1:14" x14ac:dyDescent="0.25">
      <c r="A367" s="27" t="s">
        <v>46</v>
      </c>
      <c r="B367" s="27" t="s">
        <v>141</v>
      </c>
      <c r="C367" s="27">
        <v>40</v>
      </c>
      <c r="D367" s="27">
        <v>65</v>
      </c>
      <c r="E367" s="27" t="s">
        <v>20</v>
      </c>
      <c r="F367" s="27" t="s">
        <v>30</v>
      </c>
      <c r="G367" s="27" t="s">
        <v>21</v>
      </c>
      <c r="H367" s="27" t="s">
        <v>30</v>
      </c>
      <c r="I367" s="27" t="s">
        <v>22</v>
      </c>
      <c r="J367" s="27" t="s">
        <v>142</v>
      </c>
      <c r="K367" s="27" t="s">
        <v>142</v>
      </c>
      <c r="L367" s="27" t="s">
        <v>142</v>
      </c>
      <c r="M367" s="27">
        <v>830</v>
      </c>
      <c r="N367" s="27">
        <v>140</v>
      </c>
    </row>
    <row r="368" spans="1:14" x14ac:dyDescent="0.25">
      <c r="E368" s="27" t="s">
        <v>24</v>
      </c>
      <c r="F368" s="27" t="s">
        <v>27</v>
      </c>
      <c r="G368" s="27">
        <v>0</v>
      </c>
      <c r="H368" s="27" t="s">
        <v>27</v>
      </c>
    </row>
    <row r="369" spans="1:14" x14ac:dyDescent="0.25">
      <c r="E369" s="27" t="s">
        <v>20</v>
      </c>
      <c r="F369" s="27" t="s">
        <v>27</v>
      </c>
      <c r="G369" s="27" t="s">
        <v>30</v>
      </c>
      <c r="H369" s="27" t="s">
        <v>27</v>
      </c>
    </row>
    <row r="370" spans="1:14" x14ac:dyDescent="0.25">
      <c r="E370" s="27" t="s">
        <v>24</v>
      </c>
      <c r="F370" s="27" t="s">
        <v>30</v>
      </c>
      <c r="G370" s="27" t="s">
        <v>30</v>
      </c>
      <c r="H370" s="27" t="s">
        <v>30</v>
      </c>
    </row>
    <row r="371" spans="1:14" x14ac:dyDescent="0.25">
      <c r="A371" s="27" t="s">
        <v>46</v>
      </c>
      <c r="B371" s="27" t="s">
        <v>141</v>
      </c>
      <c r="C371" s="27">
        <v>40</v>
      </c>
      <c r="D371" s="27">
        <v>65</v>
      </c>
      <c r="E371" s="27" t="s">
        <v>20</v>
      </c>
      <c r="F371" s="27" t="s">
        <v>30</v>
      </c>
      <c r="G371" s="27" t="s">
        <v>21</v>
      </c>
      <c r="H371" s="27" t="s">
        <v>30</v>
      </c>
      <c r="I371" s="27" t="s">
        <v>22</v>
      </c>
      <c r="J371" s="27" t="s">
        <v>142</v>
      </c>
      <c r="K371" s="27" t="s">
        <v>142</v>
      </c>
      <c r="L371" s="27" t="s">
        <v>142</v>
      </c>
      <c r="M371" s="27">
        <v>830</v>
      </c>
      <c r="N371" s="27">
        <v>140</v>
      </c>
    </row>
    <row r="372" spans="1:14" x14ac:dyDescent="0.25">
      <c r="E372" s="27" t="s">
        <v>24</v>
      </c>
      <c r="F372" s="27" t="s">
        <v>27</v>
      </c>
      <c r="G372" s="27">
        <v>0</v>
      </c>
      <c r="H372" s="27" t="s">
        <v>27</v>
      </c>
    </row>
    <row r="373" spans="1:14" x14ac:dyDescent="0.25">
      <c r="E373" s="27" t="s">
        <v>20</v>
      </c>
      <c r="F373" s="27" t="s">
        <v>27</v>
      </c>
      <c r="G373" s="27" t="s">
        <v>30</v>
      </c>
      <c r="H373" s="27" t="s">
        <v>27</v>
      </c>
    </row>
    <row r="374" spans="1:14" x14ac:dyDescent="0.25">
      <c r="E374" s="27" t="s">
        <v>24</v>
      </c>
      <c r="F374" s="27" t="s">
        <v>30</v>
      </c>
      <c r="G374" s="27" t="s">
        <v>30</v>
      </c>
      <c r="H374" s="27" t="s">
        <v>30</v>
      </c>
    </row>
    <row r="375" spans="1:14" ht="15.6" customHeight="1" x14ac:dyDescent="0.25">
      <c r="A375" s="27" t="s">
        <v>46</v>
      </c>
      <c r="B375" s="27" t="s">
        <v>143</v>
      </c>
      <c r="C375" s="27">
        <v>40</v>
      </c>
      <c r="D375" s="27">
        <v>65</v>
      </c>
      <c r="E375" s="27" t="s">
        <v>20</v>
      </c>
      <c r="F375" s="27" t="s">
        <v>26</v>
      </c>
      <c r="G375" s="27" t="s">
        <v>21</v>
      </c>
      <c r="H375" s="27" t="s">
        <v>30</v>
      </c>
      <c r="I375" s="27" t="s">
        <v>22</v>
      </c>
      <c r="J375" s="27" t="s">
        <v>104</v>
      </c>
      <c r="K375" s="27" t="s">
        <v>104</v>
      </c>
      <c r="L375" s="27" t="s">
        <v>104</v>
      </c>
      <c r="M375" s="27">
        <v>710</v>
      </c>
      <c r="N375" s="27">
        <v>50</v>
      </c>
    </row>
    <row r="376" spans="1:14" x14ac:dyDescent="0.25">
      <c r="E376" s="27" t="s">
        <v>24</v>
      </c>
      <c r="F376" s="27">
        <v>0</v>
      </c>
      <c r="G376" s="27">
        <v>0</v>
      </c>
      <c r="H376" s="27">
        <v>0</v>
      </c>
    </row>
    <row r="377" spans="1:14" x14ac:dyDescent="0.25">
      <c r="E377" s="27" t="s">
        <v>20</v>
      </c>
      <c r="F377" s="27">
        <v>0</v>
      </c>
      <c r="G377" s="27">
        <v>0</v>
      </c>
      <c r="H377" s="27">
        <v>0</v>
      </c>
    </row>
    <row r="378" spans="1:14" x14ac:dyDescent="0.25">
      <c r="E378" s="27" t="s">
        <v>24</v>
      </c>
      <c r="F378" s="27" t="s">
        <v>27</v>
      </c>
      <c r="G378" s="27" t="s">
        <v>25</v>
      </c>
      <c r="H378" s="27" t="s">
        <v>27</v>
      </c>
    </row>
    <row r="379" spans="1:14" x14ac:dyDescent="0.25">
      <c r="A379" s="27" t="s">
        <v>46</v>
      </c>
      <c r="B379" s="27" t="s">
        <v>144</v>
      </c>
      <c r="C379" s="27">
        <v>40</v>
      </c>
      <c r="D379" s="27">
        <v>65</v>
      </c>
      <c r="E379" s="27" t="s">
        <v>20</v>
      </c>
      <c r="F379" s="27" t="s">
        <v>30</v>
      </c>
      <c r="G379" s="27" t="s">
        <v>21</v>
      </c>
      <c r="H379" s="27" t="s">
        <v>30</v>
      </c>
      <c r="I379" s="27" t="s">
        <v>22</v>
      </c>
      <c r="J379" s="27" t="s">
        <v>104</v>
      </c>
      <c r="K379" s="27" t="s">
        <v>104</v>
      </c>
      <c r="L379" s="27" t="s">
        <v>104</v>
      </c>
      <c r="M379" s="27">
        <v>830</v>
      </c>
      <c r="N379" s="27">
        <v>50</v>
      </c>
    </row>
    <row r="380" spans="1:14" x14ac:dyDescent="0.25">
      <c r="E380" s="27" t="s">
        <v>24</v>
      </c>
      <c r="F380" s="27">
        <v>0</v>
      </c>
      <c r="G380" s="27">
        <v>0</v>
      </c>
      <c r="H380" s="27" t="s">
        <v>28</v>
      </c>
    </row>
    <row r="381" spans="1:14" x14ac:dyDescent="0.25">
      <c r="E381" s="27" t="s">
        <v>20</v>
      </c>
      <c r="F381" s="27">
        <v>0</v>
      </c>
      <c r="G381" s="27">
        <v>0</v>
      </c>
      <c r="H381" s="27">
        <v>0</v>
      </c>
    </row>
    <row r="382" spans="1:14" x14ac:dyDescent="0.25">
      <c r="E382" s="27" t="s">
        <v>24</v>
      </c>
      <c r="F382" s="27" t="s">
        <v>27</v>
      </c>
      <c r="G382" s="27" t="s">
        <v>25</v>
      </c>
      <c r="H382" s="27" t="s">
        <v>28</v>
      </c>
    </row>
    <row r="383" spans="1:14" ht="15.6" customHeight="1" x14ac:dyDescent="0.25">
      <c r="A383" s="27" t="s">
        <v>46</v>
      </c>
      <c r="B383" s="27" t="s">
        <v>145</v>
      </c>
      <c r="C383" s="27">
        <v>40</v>
      </c>
      <c r="D383" s="27">
        <v>65</v>
      </c>
      <c r="E383" s="27" t="s">
        <v>20</v>
      </c>
      <c r="F383" s="27" t="s">
        <v>32</v>
      </c>
      <c r="G383" s="27" t="s">
        <v>29</v>
      </c>
      <c r="H383" s="27" t="s">
        <v>32</v>
      </c>
      <c r="I383" s="27" t="s">
        <v>22</v>
      </c>
      <c r="J383" s="27" t="s">
        <v>35</v>
      </c>
      <c r="K383" s="27" t="s">
        <v>35</v>
      </c>
      <c r="L383" s="27" t="s">
        <v>35</v>
      </c>
      <c r="M383" s="27">
        <v>1070</v>
      </c>
      <c r="N383" s="27">
        <v>50</v>
      </c>
    </row>
    <row r="384" spans="1:14" x14ac:dyDescent="0.25">
      <c r="E384" s="27" t="s">
        <v>24</v>
      </c>
      <c r="F384" s="27" t="s">
        <v>29</v>
      </c>
      <c r="G384" s="27">
        <v>0</v>
      </c>
      <c r="H384" s="27" t="s">
        <v>33</v>
      </c>
    </row>
    <row r="385" spans="1:14" x14ac:dyDescent="0.25">
      <c r="E385" s="27" t="s">
        <v>20</v>
      </c>
      <c r="F385" s="27" t="s">
        <v>21</v>
      </c>
      <c r="G385" s="27" t="s">
        <v>25</v>
      </c>
      <c r="H385" s="27" t="s">
        <v>21</v>
      </c>
    </row>
    <row r="386" spans="1:14" x14ac:dyDescent="0.25">
      <c r="E386" s="27" t="s">
        <v>24</v>
      </c>
      <c r="F386" s="27" t="s">
        <v>30</v>
      </c>
      <c r="G386" s="27" t="s">
        <v>30</v>
      </c>
      <c r="H386" s="27" t="s">
        <v>30</v>
      </c>
    </row>
    <row r="387" spans="1:14" ht="15.6" customHeight="1" x14ac:dyDescent="0.25">
      <c r="A387" s="27" t="s">
        <v>46</v>
      </c>
      <c r="B387" s="27" t="s">
        <v>146</v>
      </c>
      <c r="C387" s="27">
        <v>40</v>
      </c>
      <c r="D387" s="27">
        <v>65</v>
      </c>
      <c r="E387" s="27" t="s">
        <v>20</v>
      </c>
      <c r="F387" s="27" t="s">
        <v>32</v>
      </c>
      <c r="G387" s="27" t="s">
        <v>29</v>
      </c>
      <c r="H387" s="27" t="s">
        <v>32</v>
      </c>
      <c r="I387" s="27" t="s">
        <v>22</v>
      </c>
      <c r="J387" s="27" t="s">
        <v>35</v>
      </c>
      <c r="K387" s="27" t="s">
        <v>35</v>
      </c>
      <c r="L387" s="27" t="s">
        <v>35</v>
      </c>
      <c r="M387" s="27">
        <v>1100</v>
      </c>
      <c r="N387" s="27">
        <v>50</v>
      </c>
    </row>
    <row r="388" spans="1:14" x14ac:dyDescent="0.25">
      <c r="E388" s="27" t="s">
        <v>24</v>
      </c>
      <c r="F388" s="27" t="s">
        <v>33</v>
      </c>
      <c r="G388" s="27">
        <v>0</v>
      </c>
      <c r="H388" s="27" t="s">
        <v>147</v>
      </c>
    </row>
    <row r="389" spans="1:14" x14ac:dyDescent="0.25">
      <c r="E389" s="27" t="s">
        <v>20</v>
      </c>
      <c r="F389" s="27" t="s">
        <v>21</v>
      </c>
      <c r="G389" s="27" t="s">
        <v>25</v>
      </c>
      <c r="H389" s="27" t="s">
        <v>21</v>
      </c>
    </row>
    <row r="390" spans="1:14" x14ac:dyDescent="0.25">
      <c r="E390" s="27" t="s">
        <v>24</v>
      </c>
      <c r="F390" s="27" t="s">
        <v>30</v>
      </c>
      <c r="G390" s="27" t="s">
        <v>30</v>
      </c>
      <c r="H390" s="27" t="s">
        <v>30</v>
      </c>
    </row>
    <row r="391" spans="1:14" ht="15.6" customHeight="1" x14ac:dyDescent="0.25">
      <c r="A391" s="27" t="s">
        <v>46</v>
      </c>
      <c r="B391" s="27" t="s">
        <v>148</v>
      </c>
      <c r="C391" s="27">
        <v>40</v>
      </c>
      <c r="D391" s="27">
        <v>65</v>
      </c>
      <c r="E391" s="27" t="s">
        <v>20</v>
      </c>
      <c r="F391" s="27" t="s">
        <v>32</v>
      </c>
      <c r="G391" s="27" t="s">
        <v>29</v>
      </c>
      <c r="H391" s="27" t="s">
        <v>29</v>
      </c>
      <c r="I391" s="27" t="s">
        <v>22</v>
      </c>
      <c r="J391" s="27" t="s">
        <v>142</v>
      </c>
      <c r="K391" s="27" t="s">
        <v>142</v>
      </c>
      <c r="L391" s="27" t="s">
        <v>142</v>
      </c>
      <c r="M391" s="27">
        <v>990</v>
      </c>
      <c r="N391" s="27">
        <v>50</v>
      </c>
    </row>
    <row r="392" spans="1:14" x14ac:dyDescent="0.25">
      <c r="E392" s="27" t="s">
        <v>24</v>
      </c>
      <c r="F392" s="27" t="s">
        <v>147</v>
      </c>
      <c r="G392" s="27">
        <v>0</v>
      </c>
      <c r="H392" s="27">
        <v>0</v>
      </c>
    </row>
    <row r="393" spans="1:14" x14ac:dyDescent="0.25">
      <c r="E393" s="27" t="s">
        <v>20</v>
      </c>
      <c r="F393" s="27" t="s">
        <v>26</v>
      </c>
      <c r="G393" s="27" t="s">
        <v>27</v>
      </c>
      <c r="H393" s="27" t="s">
        <v>28</v>
      </c>
    </row>
    <row r="394" spans="1:14" x14ac:dyDescent="0.25">
      <c r="E394" s="27" t="s">
        <v>24</v>
      </c>
      <c r="F394" s="27" t="s">
        <v>25</v>
      </c>
      <c r="G394" s="27" t="s">
        <v>30</v>
      </c>
      <c r="H394" s="27" t="s">
        <v>30</v>
      </c>
    </row>
    <row r="395" spans="1:14" ht="15.6" customHeight="1" x14ac:dyDescent="0.25">
      <c r="A395" s="27" t="s">
        <v>47</v>
      </c>
      <c r="B395" s="27" t="s">
        <v>124</v>
      </c>
      <c r="C395" s="27">
        <v>40</v>
      </c>
      <c r="D395" s="27">
        <v>65</v>
      </c>
      <c r="E395" s="27" t="s">
        <v>20</v>
      </c>
      <c r="F395" s="27" t="s">
        <v>26</v>
      </c>
      <c r="G395" s="27" t="s">
        <v>21</v>
      </c>
      <c r="H395" s="27" t="s">
        <v>30</v>
      </c>
      <c r="I395" s="27" t="s">
        <v>149</v>
      </c>
      <c r="J395" s="27" t="s">
        <v>104</v>
      </c>
      <c r="K395" s="27" t="s">
        <v>104</v>
      </c>
      <c r="L395" s="27" t="s">
        <v>104</v>
      </c>
      <c r="M395" s="27">
        <v>830</v>
      </c>
      <c r="N395" s="27">
        <v>50</v>
      </c>
    </row>
    <row r="396" spans="1:14" x14ac:dyDescent="0.25">
      <c r="E396" s="27" t="s">
        <v>24</v>
      </c>
      <c r="F396" s="27">
        <v>0</v>
      </c>
      <c r="G396" s="27">
        <v>0</v>
      </c>
      <c r="H396" s="27">
        <v>0</v>
      </c>
    </row>
    <row r="397" spans="1:14" x14ac:dyDescent="0.25">
      <c r="E397" s="27" t="s">
        <v>20</v>
      </c>
      <c r="F397" s="27">
        <v>0</v>
      </c>
      <c r="G397" s="27" t="s">
        <v>26</v>
      </c>
      <c r="H397" s="27">
        <v>0</v>
      </c>
    </row>
    <row r="398" spans="1:14" x14ac:dyDescent="0.25">
      <c r="E398" s="27" t="s">
        <v>24</v>
      </c>
      <c r="F398" s="27" t="s">
        <v>30</v>
      </c>
      <c r="G398" s="27" t="s">
        <v>30</v>
      </c>
      <c r="H398" s="27" t="s">
        <v>27</v>
      </c>
    </row>
    <row r="399" spans="1:14" x14ac:dyDescent="0.25">
      <c r="A399" s="27" t="s">
        <v>47</v>
      </c>
      <c r="B399" s="27" t="s">
        <v>125</v>
      </c>
      <c r="C399" s="27">
        <v>40</v>
      </c>
      <c r="D399" s="27">
        <v>65</v>
      </c>
      <c r="E399" s="27" t="s">
        <v>20</v>
      </c>
      <c r="F399" s="27" t="s">
        <v>30</v>
      </c>
      <c r="G399" s="27" t="s">
        <v>21</v>
      </c>
      <c r="H399" s="27" t="s">
        <v>25</v>
      </c>
      <c r="I399" s="27" t="s">
        <v>149</v>
      </c>
      <c r="J399" s="27" t="s">
        <v>130</v>
      </c>
      <c r="K399" s="27" t="s">
        <v>130</v>
      </c>
      <c r="L399" s="27" t="s">
        <v>130</v>
      </c>
      <c r="M399" s="27">
        <v>830</v>
      </c>
      <c r="N399" s="27">
        <v>50</v>
      </c>
    </row>
    <row r="400" spans="1:14" x14ac:dyDescent="0.25">
      <c r="E400" s="27" t="s">
        <v>24</v>
      </c>
      <c r="F400" s="27">
        <v>0</v>
      </c>
      <c r="G400" s="27">
        <v>0</v>
      </c>
      <c r="H400" s="27" t="s">
        <v>26</v>
      </c>
    </row>
    <row r="401" spans="1:14" x14ac:dyDescent="0.25">
      <c r="E401" s="27" t="s">
        <v>20</v>
      </c>
      <c r="F401" s="27">
        <v>0</v>
      </c>
      <c r="G401" s="27">
        <v>0</v>
      </c>
      <c r="H401" s="27">
        <v>0</v>
      </c>
    </row>
    <row r="402" spans="1:14" x14ac:dyDescent="0.25">
      <c r="E402" s="27" t="s">
        <v>24</v>
      </c>
      <c r="F402" s="27" t="s">
        <v>27</v>
      </c>
      <c r="G402" s="27" t="s">
        <v>30</v>
      </c>
      <c r="H402" s="27" t="s">
        <v>28</v>
      </c>
    </row>
    <row r="403" spans="1:14" x14ac:dyDescent="0.25">
      <c r="A403" s="27" t="s">
        <v>47</v>
      </c>
      <c r="B403" s="27" t="s">
        <v>126</v>
      </c>
      <c r="C403" s="27">
        <v>40</v>
      </c>
      <c r="D403" s="27">
        <v>65</v>
      </c>
      <c r="E403" s="27" t="s">
        <v>20</v>
      </c>
      <c r="F403" s="27" t="s">
        <v>25</v>
      </c>
      <c r="G403" s="27" t="s">
        <v>21</v>
      </c>
      <c r="H403" s="27" t="s">
        <v>30</v>
      </c>
      <c r="I403" s="27" t="s">
        <v>149</v>
      </c>
      <c r="J403" s="27" t="s">
        <v>130</v>
      </c>
      <c r="K403" s="27" t="s">
        <v>130</v>
      </c>
      <c r="L403" s="27" t="s">
        <v>130</v>
      </c>
      <c r="M403" s="27">
        <v>830</v>
      </c>
      <c r="N403" s="27">
        <v>50</v>
      </c>
    </row>
    <row r="404" spans="1:14" x14ac:dyDescent="0.25">
      <c r="E404" s="27" t="s">
        <v>24</v>
      </c>
      <c r="F404" s="27" t="s">
        <v>26</v>
      </c>
      <c r="G404" s="27">
        <v>0</v>
      </c>
      <c r="H404" s="27">
        <v>0</v>
      </c>
    </row>
    <row r="405" spans="1:14" x14ac:dyDescent="0.25">
      <c r="E405" s="27" t="s">
        <v>20</v>
      </c>
      <c r="F405" s="27">
        <v>0</v>
      </c>
      <c r="G405" s="27">
        <v>0</v>
      </c>
      <c r="H405" s="27">
        <v>0</v>
      </c>
    </row>
    <row r="406" spans="1:14" x14ac:dyDescent="0.25">
      <c r="E406" s="27" t="s">
        <v>24</v>
      </c>
      <c r="F406" s="27" t="s">
        <v>28</v>
      </c>
      <c r="G406" s="27" t="s">
        <v>30</v>
      </c>
      <c r="H406" s="27" t="s">
        <v>28</v>
      </c>
    </row>
    <row r="407" spans="1:14" x14ac:dyDescent="0.25">
      <c r="A407" s="27" t="s">
        <v>47</v>
      </c>
      <c r="B407" s="27" t="s">
        <v>127</v>
      </c>
      <c r="C407" s="27">
        <v>40</v>
      </c>
      <c r="D407" s="27">
        <v>65</v>
      </c>
      <c r="E407" s="27" t="s">
        <v>20</v>
      </c>
      <c r="F407" s="27" t="s">
        <v>30</v>
      </c>
      <c r="G407" s="27" t="s">
        <v>21</v>
      </c>
      <c r="H407" s="27" t="s">
        <v>25</v>
      </c>
      <c r="I407" s="27" t="s">
        <v>149</v>
      </c>
      <c r="J407" s="27" t="s">
        <v>130</v>
      </c>
      <c r="K407" s="27" t="s">
        <v>130</v>
      </c>
      <c r="L407" s="27" t="s">
        <v>130</v>
      </c>
      <c r="M407" s="27">
        <v>830</v>
      </c>
      <c r="N407" s="27">
        <v>50</v>
      </c>
    </row>
    <row r="408" spans="1:14" x14ac:dyDescent="0.25">
      <c r="E408" s="27" t="s">
        <v>24</v>
      </c>
      <c r="F408" s="27">
        <v>0</v>
      </c>
      <c r="G408" s="27">
        <v>0</v>
      </c>
      <c r="H408" s="27" t="s">
        <v>26</v>
      </c>
    </row>
    <row r="409" spans="1:14" x14ac:dyDescent="0.25">
      <c r="E409" s="27" t="s">
        <v>20</v>
      </c>
      <c r="F409" s="27">
        <v>0</v>
      </c>
      <c r="G409" s="27">
        <v>0</v>
      </c>
      <c r="H409" s="27">
        <v>0</v>
      </c>
    </row>
    <row r="410" spans="1:14" x14ac:dyDescent="0.25">
      <c r="E410" s="27" t="s">
        <v>24</v>
      </c>
      <c r="F410" s="27" t="s">
        <v>28</v>
      </c>
      <c r="G410" s="27" t="s">
        <v>30</v>
      </c>
      <c r="H410" s="27" t="s">
        <v>28</v>
      </c>
    </row>
    <row r="411" spans="1:14" x14ac:dyDescent="0.25">
      <c r="A411" s="27" t="s">
        <v>47</v>
      </c>
      <c r="B411" s="27" t="s">
        <v>128</v>
      </c>
      <c r="C411" s="27">
        <v>40</v>
      </c>
      <c r="D411" s="27">
        <v>65</v>
      </c>
      <c r="E411" s="27" t="s">
        <v>20</v>
      </c>
      <c r="F411" s="27" t="s">
        <v>25</v>
      </c>
      <c r="G411" s="27" t="s">
        <v>21</v>
      </c>
      <c r="H411" s="27" t="s">
        <v>27</v>
      </c>
      <c r="I411" s="27" t="s">
        <v>149</v>
      </c>
      <c r="J411" s="27" t="s">
        <v>130</v>
      </c>
      <c r="K411" s="27" t="s">
        <v>130</v>
      </c>
      <c r="L411" s="27" t="s">
        <v>130</v>
      </c>
      <c r="M411" s="27">
        <v>830</v>
      </c>
      <c r="N411" s="27">
        <v>50</v>
      </c>
    </row>
    <row r="412" spans="1:14" x14ac:dyDescent="0.25">
      <c r="E412" s="27" t="s">
        <v>24</v>
      </c>
      <c r="F412" s="27" t="s">
        <v>26</v>
      </c>
      <c r="G412" s="27">
        <v>0</v>
      </c>
      <c r="H412" s="27">
        <v>0</v>
      </c>
    </row>
    <row r="413" spans="1:14" x14ac:dyDescent="0.25">
      <c r="E413" s="27" t="s">
        <v>20</v>
      </c>
      <c r="F413" s="27">
        <v>0</v>
      </c>
      <c r="G413" s="27">
        <v>0</v>
      </c>
      <c r="H413" s="27">
        <v>0</v>
      </c>
    </row>
    <row r="414" spans="1:14" x14ac:dyDescent="0.25">
      <c r="E414" s="27" t="s">
        <v>24</v>
      </c>
      <c r="F414" s="27" t="s">
        <v>28</v>
      </c>
      <c r="G414" s="27" t="s">
        <v>30</v>
      </c>
      <c r="H414" s="27" t="s">
        <v>27</v>
      </c>
    </row>
    <row r="415" spans="1:14" ht="15.6" customHeight="1" x14ac:dyDescent="0.25">
      <c r="A415" s="27" t="s">
        <v>47</v>
      </c>
      <c r="B415" s="27" t="s">
        <v>129</v>
      </c>
      <c r="C415" s="27">
        <v>40</v>
      </c>
      <c r="D415" s="27">
        <v>65</v>
      </c>
      <c r="E415" s="27" t="s">
        <v>20</v>
      </c>
      <c r="F415" s="27" t="s">
        <v>33</v>
      </c>
      <c r="G415" s="27" t="s">
        <v>29</v>
      </c>
      <c r="H415" s="27" t="s">
        <v>32</v>
      </c>
      <c r="I415" s="27" t="s">
        <v>149</v>
      </c>
      <c r="J415" s="27" t="s">
        <v>104</v>
      </c>
      <c r="K415" s="27" t="s">
        <v>104</v>
      </c>
      <c r="L415" s="27" t="s">
        <v>104</v>
      </c>
      <c r="M415" s="27">
        <v>830</v>
      </c>
      <c r="N415" s="27">
        <v>50</v>
      </c>
    </row>
    <row r="416" spans="1:14" x14ac:dyDescent="0.25">
      <c r="E416" s="27" t="s">
        <v>24</v>
      </c>
      <c r="F416" s="27">
        <v>0</v>
      </c>
      <c r="G416" s="27">
        <v>0</v>
      </c>
      <c r="H416" s="27" t="s">
        <v>147</v>
      </c>
    </row>
    <row r="417" spans="1:14" x14ac:dyDescent="0.25">
      <c r="E417" s="27" t="s">
        <v>20</v>
      </c>
      <c r="F417" s="27">
        <v>0</v>
      </c>
      <c r="G417" s="27" t="s">
        <v>26</v>
      </c>
      <c r="H417" s="27">
        <v>0</v>
      </c>
    </row>
    <row r="418" spans="1:14" x14ac:dyDescent="0.25">
      <c r="E418" s="27" t="s">
        <v>24</v>
      </c>
      <c r="F418" s="27" t="s">
        <v>27</v>
      </c>
      <c r="G418" s="27" t="s">
        <v>30</v>
      </c>
      <c r="H418" s="27" t="s">
        <v>21</v>
      </c>
    </row>
    <row r="419" spans="1:14" ht="15.6" customHeight="1" x14ac:dyDescent="0.25">
      <c r="A419" s="27" t="s">
        <v>47</v>
      </c>
      <c r="B419" s="27" t="s">
        <v>110</v>
      </c>
      <c r="C419" s="27">
        <v>40</v>
      </c>
      <c r="D419" s="27">
        <v>65</v>
      </c>
      <c r="E419" s="27" t="s">
        <v>20</v>
      </c>
      <c r="F419" s="27" t="s">
        <v>26</v>
      </c>
      <c r="G419" s="27" t="s">
        <v>21</v>
      </c>
      <c r="H419" s="27" t="s">
        <v>30</v>
      </c>
      <c r="I419" s="27" t="s">
        <v>22</v>
      </c>
      <c r="J419" s="27" t="s">
        <v>104</v>
      </c>
      <c r="K419" s="27" t="s">
        <v>104</v>
      </c>
      <c r="L419" s="27" t="s">
        <v>104</v>
      </c>
      <c r="M419" s="27">
        <v>1260</v>
      </c>
      <c r="N419" s="27">
        <v>50</v>
      </c>
    </row>
    <row r="420" spans="1:14" x14ac:dyDescent="0.25">
      <c r="E420" s="27" t="s">
        <v>24</v>
      </c>
      <c r="F420" s="27">
        <v>0</v>
      </c>
      <c r="G420" s="27">
        <v>0</v>
      </c>
      <c r="H420" s="27" t="s">
        <v>21</v>
      </c>
    </row>
    <row r="421" spans="1:14" x14ac:dyDescent="0.25">
      <c r="E421" s="27" t="s">
        <v>20</v>
      </c>
      <c r="F421" s="27">
        <v>0</v>
      </c>
      <c r="G421" s="27">
        <v>0</v>
      </c>
      <c r="H421" s="27">
        <v>0</v>
      </c>
    </row>
    <row r="422" spans="1:14" x14ac:dyDescent="0.25">
      <c r="E422" s="27" t="s">
        <v>24</v>
      </c>
      <c r="F422" s="27" t="s">
        <v>25</v>
      </c>
      <c r="G422" s="27" t="s">
        <v>30</v>
      </c>
      <c r="H422" s="27" t="s">
        <v>30</v>
      </c>
    </row>
    <row r="423" spans="1:14" x14ac:dyDescent="0.25">
      <c r="A423" s="27" t="s">
        <v>47</v>
      </c>
      <c r="B423" s="27" t="s">
        <v>109</v>
      </c>
      <c r="C423" s="27">
        <v>40</v>
      </c>
      <c r="D423" s="27">
        <v>65</v>
      </c>
      <c r="E423" s="27" t="s">
        <v>20</v>
      </c>
      <c r="F423" s="27" t="s">
        <v>30</v>
      </c>
      <c r="G423" s="27" t="s">
        <v>21</v>
      </c>
      <c r="H423" s="27" t="s">
        <v>30</v>
      </c>
      <c r="I423" s="27" t="s">
        <v>22</v>
      </c>
      <c r="J423" s="27" t="s">
        <v>104</v>
      </c>
      <c r="K423" s="27" t="s">
        <v>104</v>
      </c>
      <c r="L423" s="27" t="s">
        <v>104</v>
      </c>
      <c r="M423" s="27">
        <v>830</v>
      </c>
      <c r="N423" s="27">
        <v>50</v>
      </c>
    </row>
    <row r="424" spans="1:14" x14ac:dyDescent="0.25">
      <c r="E424" s="27" t="s">
        <v>24</v>
      </c>
      <c r="F424" s="27" t="s">
        <v>21</v>
      </c>
      <c r="G424" s="27">
        <v>0</v>
      </c>
      <c r="H424" s="27" t="s">
        <v>21</v>
      </c>
    </row>
    <row r="425" spans="1:14" x14ac:dyDescent="0.25">
      <c r="E425" s="27" t="s">
        <v>20</v>
      </c>
      <c r="F425" s="27">
        <v>0</v>
      </c>
      <c r="G425" s="27">
        <v>0</v>
      </c>
      <c r="H425" s="27">
        <v>0</v>
      </c>
    </row>
    <row r="426" spans="1:14" x14ac:dyDescent="0.25">
      <c r="E426" s="27" t="s">
        <v>24</v>
      </c>
      <c r="F426" s="27" t="s">
        <v>30</v>
      </c>
      <c r="G426" s="27" t="s">
        <v>30</v>
      </c>
      <c r="H426" s="27" t="s">
        <v>30</v>
      </c>
    </row>
    <row r="427" spans="1:14" ht="15.6" customHeight="1" x14ac:dyDescent="0.25">
      <c r="A427" s="27" t="s">
        <v>47</v>
      </c>
      <c r="B427" s="27" t="s">
        <v>110</v>
      </c>
      <c r="C427" s="27">
        <v>40</v>
      </c>
      <c r="D427" s="27">
        <v>65</v>
      </c>
      <c r="E427" s="27" t="s">
        <v>20</v>
      </c>
      <c r="F427" s="27" t="s">
        <v>26</v>
      </c>
      <c r="G427" s="27" t="s">
        <v>21</v>
      </c>
      <c r="H427" s="27" t="s">
        <v>30</v>
      </c>
      <c r="I427" s="27" t="s">
        <v>22</v>
      </c>
      <c r="J427" s="27" t="s">
        <v>104</v>
      </c>
      <c r="K427" s="27" t="s">
        <v>104</v>
      </c>
      <c r="L427" s="27" t="s">
        <v>104</v>
      </c>
      <c r="M427" s="27">
        <v>1260</v>
      </c>
      <c r="N427" s="27">
        <v>50</v>
      </c>
    </row>
    <row r="428" spans="1:14" x14ac:dyDescent="0.25">
      <c r="E428" s="27" t="s">
        <v>24</v>
      </c>
      <c r="F428" s="27">
        <v>0</v>
      </c>
      <c r="G428" s="27">
        <v>0</v>
      </c>
      <c r="H428" s="27" t="s">
        <v>21</v>
      </c>
    </row>
    <row r="429" spans="1:14" x14ac:dyDescent="0.25">
      <c r="E429" s="27" t="s">
        <v>20</v>
      </c>
      <c r="F429" s="27">
        <v>0</v>
      </c>
      <c r="G429" s="27">
        <v>0</v>
      </c>
      <c r="H429" s="27">
        <v>0</v>
      </c>
    </row>
    <row r="430" spans="1:14" x14ac:dyDescent="0.25">
      <c r="E430" s="27" t="s">
        <v>24</v>
      </c>
      <c r="F430" s="27" t="s">
        <v>25</v>
      </c>
      <c r="G430" s="27" t="s">
        <v>30</v>
      </c>
      <c r="H430" s="27" t="s">
        <v>30</v>
      </c>
    </row>
    <row r="431" spans="1:14" x14ac:dyDescent="0.25">
      <c r="A431" s="27" t="s">
        <v>47</v>
      </c>
      <c r="B431" s="27" t="s">
        <v>109</v>
      </c>
      <c r="C431" s="27">
        <v>40</v>
      </c>
      <c r="D431" s="27">
        <v>65</v>
      </c>
      <c r="E431" s="27" t="s">
        <v>20</v>
      </c>
      <c r="F431" s="27" t="s">
        <v>30</v>
      </c>
      <c r="G431" s="27" t="s">
        <v>21</v>
      </c>
      <c r="H431" s="27" t="s">
        <v>30</v>
      </c>
      <c r="I431" s="27" t="s">
        <v>22</v>
      </c>
      <c r="J431" s="27" t="s">
        <v>104</v>
      </c>
      <c r="K431" s="27" t="s">
        <v>104</v>
      </c>
      <c r="L431" s="27" t="s">
        <v>104</v>
      </c>
      <c r="M431" s="27">
        <v>830</v>
      </c>
      <c r="N431" s="27">
        <v>50</v>
      </c>
    </row>
    <row r="432" spans="1:14" x14ac:dyDescent="0.25">
      <c r="E432" s="27" t="s">
        <v>24</v>
      </c>
      <c r="F432" s="27" t="s">
        <v>21</v>
      </c>
      <c r="G432" s="27">
        <v>0</v>
      </c>
      <c r="H432" s="27" t="s">
        <v>21</v>
      </c>
    </row>
    <row r="433" spans="1:14" x14ac:dyDescent="0.25">
      <c r="E433" s="27" t="s">
        <v>20</v>
      </c>
      <c r="F433" s="27">
        <v>0</v>
      </c>
      <c r="G433" s="27">
        <v>0</v>
      </c>
      <c r="H433" s="27">
        <v>0</v>
      </c>
    </row>
    <row r="434" spans="1:14" x14ac:dyDescent="0.25">
      <c r="E434" s="27" t="s">
        <v>24</v>
      </c>
      <c r="F434" s="27" t="s">
        <v>30</v>
      </c>
      <c r="G434" s="27" t="s">
        <v>30</v>
      </c>
      <c r="H434" s="27" t="s">
        <v>30</v>
      </c>
    </row>
    <row r="435" spans="1:14" x14ac:dyDescent="0.25">
      <c r="A435" s="27" t="s">
        <v>47</v>
      </c>
      <c r="B435" s="27" t="s">
        <v>109</v>
      </c>
      <c r="C435" s="27">
        <v>40</v>
      </c>
      <c r="D435" s="27">
        <v>65</v>
      </c>
      <c r="E435" s="27" t="s">
        <v>20</v>
      </c>
      <c r="F435" s="27" t="s">
        <v>30</v>
      </c>
      <c r="G435" s="27" t="s">
        <v>21</v>
      </c>
      <c r="H435" s="27" t="s">
        <v>30</v>
      </c>
      <c r="I435" s="27" t="s">
        <v>22</v>
      </c>
      <c r="J435" s="27" t="s">
        <v>104</v>
      </c>
      <c r="K435" s="27" t="s">
        <v>104</v>
      </c>
      <c r="L435" s="27" t="s">
        <v>104</v>
      </c>
      <c r="M435" s="27">
        <v>1260</v>
      </c>
      <c r="N435" s="27">
        <v>50</v>
      </c>
    </row>
    <row r="436" spans="1:14" x14ac:dyDescent="0.25">
      <c r="E436" s="27" t="s">
        <v>24</v>
      </c>
      <c r="F436" s="27" t="s">
        <v>21</v>
      </c>
      <c r="G436" s="27">
        <v>0</v>
      </c>
      <c r="H436" s="27" t="s">
        <v>21</v>
      </c>
    </row>
    <row r="437" spans="1:14" x14ac:dyDescent="0.25">
      <c r="E437" s="27" t="s">
        <v>20</v>
      </c>
      <c r="F437" s="27">
        <v>0</v>
      </c>
      <c r="G437" s="27">
        <v>0</v>
      </c>
      <c r="H437" s="27">
        <v>0</v>
      </c>
    </row>
    <row r="438" spans="1:14" x14ac:dyDescent="0.25">
      <c r="E438" s="27" t="s">
        <v>24</v>
      </c>
      <c r="F438" s="27" t="s">
        <v>30</v>
      </c>
      <c r="G438" s="27" t="s">
        <v>30</v>
      </c>
      <c r="H438" s="27" t="s">
        <v>30</v>
      </c>
    </row>
    <row r="439" spans="1:14" x14ac:dyDescent="0.25">
      <c r="A439" s="27" t="s">
        <v>47</v>
      </c>
      <c r="B439" s="27" t="s">
        <v>115</v>
      </c>
      <c r="C439" s="27">
        <v>40</v>
      </c>
      <c r="D439" s="27">
        <v>65</v>
      </c>
      <c r="E439" s="27" t="s">
        <v>20</v>
      </c>
      <c r="F439" s="27" t="s">
        <v>30</v>
      </c>
      <c r="G439" s="27" t="s">
        <v>21</v>
      </c>
      <c r="H439" s="27" t="s">
        <v>25</v>
      </c>
      <c r="I439" s="27" t="s">
        <v>22</v>
      </c>
      <c r="J439" s="27" t="s">
        <v>104</v>
      </c>
      <c r="K439" s="27" t="s">
        <v>104</v>
      </c>
      <c r="L439" s="27" t="s">
        <v>104</v>
      </c>
      <c r="M439" s="27">
        <v>830</v>
      </c>
      <c r="N439" s="27">
        <v>50</v>
      </c>
    </row>
    <row r="440" spans="1:14" x14ac:dyDescent="0.25">
      <c r="E440" s="27" t="s">
        <v>24</v>
      </c>
      <c r="F440" s="27" t="s">
        <v>21</v>
      </c>
      <c r="G440" s="27">
        <v>0</v>
      </c>
      <c r="H440" s="27">
        <v>0</v>
      </c>
    </row>
    <row r="441" spans="1:14" x14ac:dyDescent="0.25">
      <c r="E441" s="27" t="s">
        <v>20</v>
      </c>
      <c r="F441" s="27">
        <v>0</v>
      </c>
      <c r="G441" s="27">
        <v>0</v>
      </c>
      <c r="H441" s="27">
        <v>0</v>
      </c>
    </row>
    <row r="442" spans="1:14" x14ac:dyDescent="0.25">
      <c r="E442" s="27" t="s">
        <v>24</v>
      </c>
      <c r="F442" s="27" t="s">
        <v>21</v>
      </c>
      <c r="G442" s="27" t="s">
        <v>28</v>
      </c>
      <c r="H442" s="27" t="s">
        <v>21</v>
      </c>
    </row>
    <row r="443" spans="1:14" ht="15.6" customHeight="1" x14ac:dyDescent="0.25">
      <c r="A443" s="27" t="s">
        <v>47</v>
      </c>
      <c r="B443" s="27" t="s">
        <v>110</v>
      </c>
      <c r="C443" s="27">
        <v>40</v>
      </c>
      <c r="D443" s="27">
        <v>65</v>
      </c>
      <c r="E443" s="27" t="s">
        <v>20</v>
      </c>
      <c r="F443" s="27" t="s">
        <v>26</v>
      </c>
      <c r="G443" s="27" t="s">
        <v>21</v>
      </c>
      <c r="H443" s="27" t="s">
        <v>30</v>
      </c>
      <c r="I443" s="27" t="s">
        <v>22</v>
      </c>
      <c r="J443" s="27" t="s">
        <v>104</v>
      </c>
      <c r="K443" s="27" t="s">
        <v>104</v>
      </c>
      <c r="L443" s="27" t="s">
        <v>104</v>
      </c>
      <c r="M443" s="27">
        <v>1260</v>
      </c>
      <c r="N443" s="27">
        <v>50</v>
      </c>
    </row>
    <row r="444" spans="1:14" x14ac:dyDescent="0.25">
      <c r="E444" s="27" t="s">
        <v>24</v>
      </c>
      <c r="F444" s="27">
        <v>0</v>
      </c>
      <c r="G444" s="27">
        <v>0</v>
      </c>
      <c r="H444" s="27" t="s">
        <v>21</v>
      </c>
    </row>
    <row r="445" spans="1:14" x14ac:dyDescent="0.25">
      <c r="E445" s="27" t="s">
        <v>20</v>
      </c>
      <c r="F445" s="27">
        <v>0</v>
      </c>
      <c r="G445" s="27">
        <v>0</v>
      </c>
      <c r="H445" s="27">
        <v>0</v>
      </c>
    </row>
    <row r="446" spans="1:14" x14ac:dyDescent="0.25">
      <c r="E446" s="27" t="s">
        <v>24</v>
      </c>
      <c r="F446" s="27" t="s">
        <v>25</v>
      </c>
      <c r="G446" s="27" t="s">
        <v>30</v>
      </c>
      <c r="H446" s="27" t="s">
        <v>30</v>
      </c>
    </row>
    <row r="447" spans="1:14" x14ac:dyDescent="0.25">
      <c r="A447" s="27" t="s">
        <v>47</v>
      </c>
      <c r="B447" s="27" t="s">
        <v>109</v>
      </c>
      <c r="C447" s="27">
        <v>40</v>
      </c>
      <c r="D447" s="27">
        <v>65</v>
      </c>
      <c r="E447" s="27" t="s">
        <v>20</v>
      </c>
      <c r="F447" s="27" t="s">
        <v>30</v>
      </c>
      <c r="G447" s="27" t="s">
        <v>21</v>
      </c>
      <c r="H447" s="27" t="s">
        <v>30</v>
      </c>
      <c r="I447" s="27" t="s">
        <v>22</v>
      </c>
      <c r="J447" s="27" t="s">
        <v>104</v>
      </c>
      <c r="K447" s="27" t="s">
        <v>104</v>
      </c>
      <c r="L447" s="27" t="s">
        <v>104</v>
      </c>
      <c r="M447" s="27">
        <v>830</v>
      </c>
      <c r="N447" s="27">
        <v>50</v>
      </c>
    </row>
    <row r="448" spans="1:14" x14ac:dyDescent="0.25">
      <c r="E448" s="27" t="s">
        <v>24</v>
      </c>
      <c r="F448" s="27" t="s">
        <v>21</v>
      </c>
      <c r="G448" s="27">
        <v>0</v>
      </c>
      <c r="H448" s="27" t="s">
        <v>21</v>
      </c>
    </row>
    <row r="449" spans="1:14" x14ac:dyDescent="0.25">
      <c r="E449" s="27" t="s">
        <v>20</v>
      </c>
      <c r="F449" s="27">
        <v>0</v>
      </c>
      <c r="G449" s="27">
        <v>0</v>
      </c>
      <c r="H449" s="27">
        <v>0</v>
      </c>
    </row>
    <row r="450" spans="1:14" x14ac:dyDescent="0.25">
      <c r="E450" s="27" t="s">
        <v>24</v>
      </c>
      <c r="F450" s="27" t="s">
        <v>30</v>
      </c>
      <c r="G450" s="27" t="s">
        <v>30</v>
      </c>
      <c r="H450" s="27" t="s">
        <v>30</v>
      </c>
    </row>
    <row r="451" spans="1:14" x14ac:dyDescent="0.25">
      <c r="A451" s="27" t="s">
        <v>47</v>
      </c>
      <c r="B451" s="27" t="s">
        <v>109</v>
      </c>
      <c r="C451" s="27">
        <v>40</v>
      </c>
      <c r="D451" s="27">
        <v>65</v>
      </c>
      <c r="E451" s="27" t="s">
        <v>20</v>
      </c>
      <c r="F451" s="27" t="s">
        <v>30</v>
      </c>
      <c r="G451" s="27" t="s">
        <v>21</v>
      </c>
      <c r="H451" s="27" t="s">
        <v>30</v>
      </c>
      <c r="I451" s="27" t="s">
        <v>22</v>
      </c>
      <c r="J451" s="27" t="s">
        <v>104</v>
      </c>
      <c r="K451" s="27" t="s">
        <v>104</v>
      </c>
      <c r="L451" s="27" t="s">
        <v>104</v>
      </c>
      <c r="M451" s="27">
        <v>1260</v>
      </c>
      <c r="N451" s="27">
        <v>50</v>
      </c>
    </row>
    <row r="452" spans="1:14" x14ac:dyDescent="0.25">
      <c r="E452" s="27" t="s">
        <v>24</v>
      </c>
      <c r="F452" s="27" t="s">
        <v>21</v>
      </c>
      <c r="G452" s="27">
        <v>0</v>
      </c>
      <c r="H452" s="27" t="s">
        <v>21</v>
      </c>
    </row>
    <row r="453" spans="1:14" x14ac:dyDescent="0.25">
      <c r="E453" s="27" t="s">
        <v>20</v>
      </c>
      <c r="F453" s="27">
        <v>0</v>
      </c>
      <c r="G453" s="27">
        <v>0</v>
      </c>
      <c r="H453" s="27">
        <v>0</v>
      </c>
    </row>
    <row r="454" spans="1:14" x14ac:dyDescent="0.25">
      <c r="E454" s="27" t="s">
        <v>24</v>
      </c>
      <c r="F454" s="27" t="s">
        <v>30</v>
      </c>
      <c r="G454" s="27" t="s">
        <v>30</v>
      </c>
      <c r="H454" s="27" t="s">
        <v>30</v>
      </c>
    </row>
    <row r="455" spans="1:14" x14ac:dyDescent="0.25">
      <c r="A455" s="27" t="s">
        <v>47</v>
      </c>
      <c r="B455" s="27" t="s">
        <v>115</v>
      </c>
      <c r="C455" s="27">
        <v>40</v>
      </c>
      <c r="D455" s="27">
        <v>65</v>
      </c>
      <c r="E455" s="27" t="s">
        <v>20</v>
      </c>
      <c r="F455" s="27" t="s">
        <v>30</v>
      </c>
      <c r="G455" s="27" t="s">
        <v>21</v>
      </c>
      <c r="H455" s="27" t="s">
        <v>25</v>
      </c>
      <c r="I455" s="27" t="s">
        <v>22</v>
      </c>
      <c r="J455" s="27" t="s">
        <v>104</v>
      </c>
      <c r="K455" s="27" t="s">
        <v>104</v>
      </c>
      <c r="L455" s="27" t="s">
        <v>104</v>
      </c>
      <c r="M455" s="27">
        <v>830</v>
      </c>
      <c r="N455" s="27">
        <v>50</v>
      </c>
    </row>
    <row r="456" spans="1:14" x14ac:dyDescent="0.25">
      <c r="E456" s="27" t="s">
        <v>24</v>
      </c>
      <c r="F456" s="27" t="s">
        <v>21</v>
      </c>
      <c r="G456" s="27">
        <v>0</v>
      </c>
      <c r="H456" s="27">
        <v>0</v>
      </c>
    </row>
    <row r="457" spans="1:14" x14ac:dyDescent="0.25">
      <c r="E457" s="27" t="s">
        <v>20</v>
      </c>
      <c r="F457" s="27">
        <v>0</v>
      </c>
      <c r="G457" s="27">
        <v>0</v>
      </c>
      <c r="H457" s="27">
        <v>0</v>
      </c>
    </row>
    <row r="458" spans="1:14" x14ac:dyDescent="0.25">
      <c r="E458" s="27" t="s">
        <v>24</v>
      </c>
      <c r="F458" s="27" t="s">
        <v>21</v>
      </c>
      <c r="G458" s="27" t="s">
        <v>28</v>
      </c>
      <c r="H458" s="27" t="s">
        <v>21</v>
      </c>
    </row>
    <row r="459" spans="1:14" x14ac:dyDescent="0.25">
      <c r="A459" s="27" t="s">
        <v>47</v>
      </c>
      <c r="B459" s="27" t="s">
        <v>109</v>
      </c>
      <c r="C459" s="27">
        <v>40</v>
      </c>
      <c r="D459" s="27">
        <v>65</v>
      </c>
      <c r="E459" s="27" t="s">
        <v>20</v>
      </c>
      <c r="F459" s="27" t="s">
        <v>30</v>
      </c>
      <c r="G459" s="27" t="s">
        <v>21</v>
      </c>
      <c r="H459" s="27" t="s">
        <v>30</v>
      </c>
      <c r="I459" s="27" t="s">
        <v>22</v>
      </c>
      <c r="J459" s="27" t="s">
        <v>104</v>
      </c>
      <c r="K459" s="27" t="s">
        <v>104</v>
      </c>
      <c r="L459" s="27" t="s">
        <v>104</v>
      </c>
      <c r="M459" s="27">
        <v>1260</v>
      </c>
      <c r="N459" s="27">
        <v>50</v>
      </c>
    </row>
    <row r="460" spans="1:14" x14ac:dyDescent="0.25">
      <c r="E460" s="27" t="s">
        <v>24</v>
      </c>
      <c r="F460" s="27" t="s">
        <v>21</v>
      </c>
      <c r="G460" s="27">
        <v>0</v>
      </c>
      <c r="H460" s="27" t="s">
        <v>21</v>
      </c>
    </row>
    <row r="461" spans="1:14" x14ac:dyDescent="0.25">
      <c r="E461" s="27" t="s">
        <v>20</v>
      </c>
      <c r="F461" s="27">
        <v>0</v>
      </c>
      <c r="G461" s="27">
        <v>0</v>
      </c>
      <c r="H461" s="27">
        <v>0</v>
      </c>
    </row>
    <row r="462" spans="1:14" x14ac:dyDescent="0.25">
      <c r="E462" s="27" t="s">
        <v>24</v>
      </c>
      <c r="F462" s="27" t="s">
        <v>30</v>
      </c>
      <c r="G462" s="27" t="s">
        <v>30</v>
      </c>
      <c r="H462" s="27" t="s">
        <v>30</v>
      </c>
    </row>
    <row r="463" spans="1:14" x14ac:dyDescent="0.25">
      <c r="A463" s="27" t="s">
        <v>47</v>
      </c>
      <c r="B463" s="27" t="s">
        <v>115</v>
      </c>
      <c r="C463" s="27">
        <v>40</v>
      </c>
      <c r="D463" s="27">
        <v>65</v>
      </c>
      <c r="E463" s="27" t="s">
        <v>20</v>
      </c>
      <c r="F463" s="27" t="s">
        <v>30</v>
      </c>
      <c r="G463" s="27" t="s">
        <v>21</v>
      </c>
      <c r="H463" s="27" t="s">
        <v>25</v>
      </c>
      <c r="I463" s="27" t="s">
        <v>22</v>
      </c>
      <c r="J463" s="27" t="s">
        <v>104</v>
      </c>
      <c r="K463" s="27" t="s">
        <v>104</v>
      </c>
      <c r="L463" s="27" t="s">
        <v>104</v>
      </c>
      <c r="M463" s="27">
        <v>830</v>
      </c>
      <c r="N463" s="27">
        <v>50</v>
      </c>
    </row>
    <row r="464" spans="1:14" x14ac:dyDescent="0.25">
      <c r="E464" s="27" t="s">
        <v>24</v>
      </c>
      <c r="F464" s="27" t="s">
        <v>21</v>
      </c>
      <c r="G464" s="27">
        <v>0</v>
      </c>
      <c r="H464" s="27">
        <v>0</v>
      </c>
    </row>
    <row r="465" spans="1:14" x14ac:dyDescent="0.25">
      <c r="E465" s="27" t="s">
        <v>20</v>
      </c>
      <c r="F465" s="27">
        <v>0</v>
      </c>
      <c r="G465" s="27">
        <v>0</v>
      </c>
      <c r="H465" s="27">
        <v>0</v>
      </c>
    </row>
    <row r="466" spans="1:14" x14ac:dyDescent="0.25">
      <c r="E466" s="27" t="s">
        <v>24</v>
      </c>
      <c r="F466" s="27" t="s">
        <v>21</v>
      </c>
      <c r="G466" s="27" t="s">
        <v>28</v>
      </c>
      <c r="H466" s="27" t="s">
        <v>21</v>
      </c>
    </row>
    <row r="467" spans="1:14" ht="15.6" customHeight="1" x14ac:dyDescent="0.25">
      <c r="A467" s="27" t="s">
        <v>47</v>
      </c>
      <c r="B467" s="27" t="s">
        <v>131</v>
      </c>
      <c r="C467" s="27">
        <v>40</v>
      </c>
      <c r="D467" s="27">
        <v>65</v>
      </c>
      <c r="E467" s="27" t="s">
        <v>20</v>
      </c>
      <c r="F467" s="27" t="s">
        <v>26</v>
      </c>
      <c r="G467" s="27" t="s">
        <v>21</v>
      </c>
      <c r="H467" s="27" t="s">
        <v>27</v>
      </c>
      <c r="I467" s="27" t="s">
        <v>149</v>
      </c>
      <c r="J467" s="27" t="s">
        <v>104</v>
      </c>
      <c r="K467" s="27" t="s">
        <v>104</v>
      </c>
      <c r="L467" s="27" t="s">
        <v>104</v>
      </c>
      <c r="M467" s="27">
        <v>830</v>
      </c>
      <c r="N467" s="27">
        <v>50</v>
      </c>
    </row>
    <row r="468" spans="1:14" x14ac:dyDescent="0.25">
      <c r="E468" s="27" t="s">
        <v>24</v>
      </c>
      <c r="F468" s="27">
        <v>0</v>
      </c>
      <c r="G468" s="27">
        <v>0</v>
      </c>
      <c r="H468" s="27">
        <v>0</v>
      </c>
    </row>
    <row r="469" spans="1:14" x14ac:dyDescent="0.25">
      <c r="E469" s="27" t="s">
        <v>20</v>
      </c>
      <c r="F469" s="27">
        <v>0</v>
      </c>
      <c r="G469" s="27">
        <v>0</v>
      </c>
      <c r="H469" s="27">
        <v>0</v>
      </c>
    </row>
    <row r="470" spans="1:14" x14ac:dyDescent="0.25">
      <c r="E470" s="27" t="s">
        <v>24</v>
      </c>
      <c r="F470" s="27" t="s">
        <v>28</v>
      </c>
      <c r="G470" s="27" t="s">
        <v>27</v>
      </c>
      <c r="H470" s="27" t="s">
        <v>21</v>
      </c>
    </row>
    <row r="471" spans="1:14" x14ac:dyDescent="0.25">
      <c r="A471" s="27" t="s">
        <v>47</v>
      </c>
      <c r="B471" s="27" t="s">
        <v>150</v>
      </c>
      <c r="C471" s="27">
        <v>40</v>
      </c>
      <c r="D471" s="27">
        <v>65</v>
      </c>
      <c r="E471" s="27" t="s">
        <v>20</v>
      </c>
      <c r="F471" s="27" t="s">
        <v>27</v>
      </c>
      <c r="G471" s="27" t="s">
        <v>21</v>
      </c>
      <c r="H471" s="27" t="s">
        <v>27</v>
      </c>
      <c r="I471" s="27" t="s">
        <v>149</v>
      </c>
      <c r="J471" s="27" t="s">
        <v>104</v>
      </c>
      <c r="K471" s="27" t="s">
        <v>104</v>
      </c>
      <c r="L471" s="27" t="s">
        <v>104</v>
      </c>
      <c r="M471" s="27">
        <v>830</v>
      </c>
      <c r="N471" s="27">
        <v>50</v>
      </c>
    </row>
    <row r="472" spans="1:14" x14ac:dyDescent="0.25">
      <c r="E472" s="27" t="s">
        <v>24</v>
      </c>
      <c r="F472" s="27">
        <v>0</v>
      </c>
      <c r="G472" s="27">
        <v>0</v>
      </c>
      <c r="H472" s="27">
        <v>0</v>
      </c>
    </row>
    <row r="473" spans="1:14" x14ac:dyDescent="0.25">
      <c r="E473" s="27" t="s">
        <v>20</v>
      </c>
      <c r="F473" s="27">
        <v>0</v>
      </c>
      <c r="G473" s="27">
        <v>0</v>
      </c>
      <c r="H473" s="27">
        <v>0</v>
      </c>
    </row>
    <row r="474" spans="1:14" x14ac:dyDescent="0.25">
      <c r="E474" s="27" t="s">
        <v>24</v>
      </c>
      <c r="F474" s="27" t="s">
        <v>21</v>
      </c>
      <c r="G474" s="27" t="s">
        <v>28</v>
      </c>
      <c r="H474" s="27" t="s">
        <v>21</v>
      </c>
    </row>
    <row r="475" spans="1:14" x14ac:dyDescent="0.25">
      <c r="A475" s="27" t="s">
        <v>47</v>
      </c>
      <c r="B475" s="27" t="s">
        <v>151</v>
      </c>
      <c r="C475" s="27">
        <v>40</v>
      </c>
      <c r="D475" s="27">
        <v>65</v>
      </c>
      <c r="E475" s="27" t="s">
        <v>20</v>
      </c>
      <c r="F475" s="27" t="s">
        <v>27</v>
      </c>
      <c r="G475" s="27" t="s">
        <v>21</v>
      </c>
      <c r="H475" s="27" t="s">
        <v>27</v>
      </c>
      <c r="I475" s="27" t="s">
        <v>149</v>
      </c>
      <c r="J475" s="27" t="s">
        <v>104</v>
      </c>
      <c r="K475" s="27" t="s">
        <v>104</v>
      </c>
      <c r="L475" s="27" t="s">
        <v>104</v>
      </c>
      <c r="M475" s="27">
        <v>830</v>
      </c>
      <c r="N475" s="27">
        <v>50</v>
      </c>
    </row>
    <row r="476" spans="1:14" x14ac:dyDescent="0.25">
      <c r="E476" s="27" t="s">
        <v>24</v>
      </c>
      <c r="F476" s="27">
        <v>0</v>
      </c>
      <c r="G476" s="27">
        <v>0</v>
      </c>
      <c r="H476" s="27">
        <v>0</v>
      </c>
    </row>
    <row r="477" spans="1:14" x14ac:dyDescent="0.25">
      <c r="E477" s="27" t="s">
        <v>20</v>
      </c>
      <c r="F477" s="27">
        <v>0</v>
      </c>
      <c r="G477" s="27">
        <v>0</v>
      </c>
      <c r="H477" s="27">
        <v>0</v>
      </c>
    </row>
    <row r="478" spans="1:14" x14ac:dyDescent="0.25">
      <c r="E478" s="27" t="s">
        <v>24</v>
      </c>
      <c r="F478" s="27" t="s">
        <v>21</v>
      </c>
      <c r="G478" s="27" t="s">
        <v>28</v>
      </c>
      <c r="H478" s="27" t="s">
        <v>21</v>
      </c>
    </row>
    <row r="479" spans="1:14" x14ac:dyDescent="0.25">
      <c r="A479" s="27" t="s">
        <v>47</v>
      </c>
      <c r="B479" s="27" t="s">
        <v>152</v>
      </c>
      <c r="C479" s="27">
        <v>40</v>
      </c>
      <c r="D479" s="27">
        <v>65</v>
      </c>
      <c r="E479" s="27" t="s">
        <v>20</v>
      </c>
      <c r="F479" s="27" t="s">
        <v>27</v>
      </c>
      <c r="G479" s="27" t="s">
        <v>21</v>
      </c>
      <c r="H479" s="27" t="s">
        <v>27</v>
      </c>
      <c r="I479" s="27" t="s">
        <v>149</v>
      </c>
      <c r="J479" s="27" t="s">
        <v>104</v>
      </c>
      <c r="K479" s="27" t="s">
        <v>104</v>
      </c>
      <c r="L479" s="27" t="s">
        <v>104</v>
      </c>
      <c r="M479" s="27">
        <v>830</v>
      </c>
      <c r="N479" s="27">
        <v>50</v>
      </c>
    </row>
    <row r="480" spans="1:14" x14ac:dyDescent="0.25">
      <c r="E480" s="27" t="s">
        <v>24</v>
      </c>
      <c r="F480" s="27">
        <v>0</v>
      </c>
      <c r="G480" s="27">
        <v>0</v>
      </c>
      <c r="H480" s="27">
        <v>0</v>
      </c>
    </row>
    <row r="481" spans="1:14" x14ac:dyDescent="0.25">
      <c r="E481" s="27" t="s">
        <v>20</v>
      </c>
      <c r="F481" s="27">
        <v>0</v>
      </c>
      <c r="G481" s="27">
        <v>0</v>
      </c>
      <c r="H481" s="27">
        <v>0</v>
      </c>
    </row>
    <row r="482" spans="1:14" x14ac:dyDescent="0.25">
      <c r="E482" s="27" t="s">
        <v>24</v>
      </c>
      <c r="F482" s="27" t="s">
        <v>21</v>
      </c>
      <c r="G482" s="27" t="s">
        <v>28</v>
      </c>
      <c r="H482" s="27" t="s">
        <v>21</v>
      </c>
    </row>
    <row r="483" spans="1:14" x14ac:dyDescent="0.25">
      <c r="A483" s="27" t="s">
        <v>47</v>
      </c>
      <c r="B483" s="27" t="s">
        <v>153</v>
      </c>
      <c r="C483" s="27">
        <v>40</v>
      </c>
      <c r="D483" s="27">
        <v>65</v>
      </c>
      <c r="E483" s="27" t="s">
        <v>20</v>
      </c>
      <c r="F483" s="27" t="s">
        <v>27</v>
      </c>
      <c r="G483" s="27" t="s">
        <v>21</v>
      </c>
      <c r="H483" s="27" t="s">
        <v>27</v>
      </c>
      <c r="I483" s="27" t="s">
        <v>149</v>
      </c>
      <c r="J483" s="27" t="s">
        <v>104</v>
      </c>
      <c r="K483" s="27" t="s">
        <v>104</v>
      </c>
      <c r="L483" s="27" t="s">
        <v>104</v>
      </c>
      <c r="M483" s="27">
        <v>830</v>
      </c>
      <c r="N483" s="27">
        <v>50</v>
      </c>
    </row>
    <row r="484" spans="1:14" x14ac:dyDescent="0.25">
      <c r="E484" s="27" t="s">
        <v>24</v>
      </c>
      <c r="F484" s="27">
        <v>0</v>
      </c>
      <c r="G484" s="27">
        <v>0</v>
      </c>
      <c r="H484" s="27">
        <v>0</v>
      </c>
    </row>
    <row r="485" spans="1:14" x14ac:dyDescent="0.25">
      <c r="E485" s="27" t="s">
        <v>20</v>
      </c>
      <c r="F485" s="27">
        <v>0</v>
      </c>
      <c r="G485" s="27">
        <v>0</v>
      </c>
      <c r="H485" s="27">
        <v>0</v>
      </c>
    </row>
    <row r="486" spans="1:14" x14ac:dyDescent="0.25">
      <c r="E486" s="27" t="s">
        <v>24</v>
      </c>
      <c r="F486" s="27" t="s">
        <v>21</v>
      </c>
      <c r="G486" s="27" t="s">
        <v>28</v>
      </c>
      <c r="H486" s="27" t="s">
        <v>21</v>
      </c>
    </row>
    <row r="487" spans="1:14" x14ac:dyDescent="0.25">
      <c r="A487" s="27" t="s">
        <v>47</v>
      </c>
      <c r="B487" s="27" t="s">
        <v>154</v>
      </c>
      <c r="C487" s="27">
        <v>40</v>
      </c>
      <c r="D487" s="27">
        <v>65</v>
      </c>
      <c r="E487" s="27" t="s">
        <v>20</v>
      </c>
      <c r="F487" s="27" t="s">
        <v>27</v>
      </c>
      <c r="G487" s="27" t="s">
        <v>21</v>
      </c>
      <c r="H487" s="27" t="s">
        <v>21</v>
      </c>
      <c r="I487" s="27" t="s">
        <v>149</v>
      </c>
      <c r="J487" s="27" t="s">
        <v>104</v>
      </c>
      <c r="K487" s="27" t="s">
        <v>104</v>
      </c>
      <c r="L487" s="27" t="s">
        <v>104</v>
      </c>
      <c r="M487" s="27">
        <v>830</v>
      </c>
      <c r="N487" s="27">
        <v>50</v>
      </c>
    </row>
    <row r="488" spans="1:14" x14ac:dyDescent="0.25">
      <c r="E488" s="27" t="s">
        <v>24</v>
      </c>
      <c r="F488" s="27">
        <v>0</v>
      </c>
      <c r="G488" s="27">
        <v>0</v>
      </c>
      <c r="H488" s="27">
        <v>0</v>
      </c>
    </row>
    <row r="489" spans="1:14" x14ac:dyDescent="0.25">
      <c r="E489" s="27" t="s">
        <v>20</v>
      </c>
      <c r="F489" s="27">
        <v>0</v>
      </c>
      <c r="G489" s="27">
        <v>0</v>
      </c>
      <c r="H489" s="27">
        <v>0</v>
      </c>
    </row>
    <row r="490" spans="1:14" x14ac:dyDescent="0.25">
      <c r="E490" s="27" t="s">
        <v>24</v>
      </c>
      <c r="F490" s="27" t="s">
        <v>21</v>
      </c>
      <c r="G490" s="27" t="s">
        <v>28</v>
      </c>
      <c r="H490" s="27" t="s">
        <v>21</v>
      </c>
    </row>
    <row r="491" spans="1:14" ht="15.6" customHeight="1" x14ac:dyDescent="0.25">
      <c r="A491" s="27" t="s">
        <v>47</v>
      </c>
      <c r="B491" s="27" t="s">
        <v>155</v>
      </c>
      <c r="C491" s="27">
        <v>40</v>
      </c>
      <c r="D491" s="27">
        <v>65</v>
      </c>
      <c r="E491" s="27" t="s">
        <v>20</v>
      </c>
      <c r="F491" s="27" t="s">
        <v>21</v>
      </c>
      <c r="G491" s="27" t="s">
        <v>21</v>
      </c>
      <c r="H491" s="27" t="s">
        <v>26</v>
      </c>
      <c r="I491" s="27" t="s">
        <v>22</v>
      </c>
      <c r="J491" s="27" t="s">
        <v>104</v>
      </c>
      <c r="K491" s="27" t="s">
        <v>104</v>
      </c>
      <c r="L491" s="27" t="s">
        <v>104</v>
      </c>
      <c r="M491" s="27">
        <v>575</v>
      </c>
      <c r="N491" s="27">
        <v>50</v>
      </c>
    </row>
    <row r="492" spans="1:14" x14ac:dyDescent="0.25">
      <c r="E492" s="27" t="s">
        <v>24</v>
      </c>
      <c r="F492" s="27">
        <v>0</v>
      </c>
      <c r="G492" s="27">
        <v>0</v>
      </c>
      <c r="H492" s="27">
        <v>0</v>
      </c>
    </row>
    <row r="493" spans="1:14" x14ac:dyDescent="0.25">
      <c r="E493" s="27" t="s">
        <v>20</v>
      </c>
      <c r="F493" s="27">
        <v>0</v>
      </c>
      <c r="G493" s="27">
        <v>0</v>
      </c>
      <c r="H493" s="27">
        <v>0</v>
      </c>
    </row>
    <row r="494" spans="1:14" x14ac:dyDescent="0.25">
      <c r="E494" s="27" t="s">
        <v>24</v>
      </c>
      <c r="F494" s="27" t="s">
        <v>21</v>
      </c>
      <c r="G494" s="27" t="s">
        <v>28</v>
      </c>
      <c r="H494" s="27" t="s">
        <v>21</v>
      </c>
    </row>
    <row r="495" spans="1:14" x14ac:dyDescent="0.25">
      <c r="A495" s="27" t="s">
        <v>47</v>
      </c>
      <c r="B495" s="27" t="s">
        <v>108</v>
      </c>
      <c r="C495" s="27">
        <v>40</v>
      </c>
      <c r="D495" s="27">
        <v>65</v>
      </c>
      <c r="E495" s="27" t="s">
        <v>20</v>
      </c>
      <c r="F495" s="27" t="s">
        <v>25</v>
      </c>
      <c r="G495" s="27" t="s">
        <v>21</v>
      </c>
      <c r="H495" s="27" t="s">
        <v>30</v>
      </c>
      <c r="I495" s="27" t="s">
        <v>22</v>
      </c>
      <c r="J495" s="27" t="s">
        <v>104</v>
      </c>
      <c r="K495" s="27" t="s">
        <v>104</v>
      </c>
      <c r="L495" s="27" t="s">
        <v>104</v>
      </c>
      <c r="M495" s="27">
        <v>1070</v>
      </c>
      <c r="N495" s="27">
        <v>50</v>
      </c>
    </row>
    <row r="496" spans="1:14" x14ac:dyDescent="0.25">
      <c r="E496" s="27" t="s">
        <v>24</v>
      </c>
      <c r="F496" s="27">
        <v>0</v>
      </c>
      <c r="G496" s="27">
        <v>0</v>
      </c>
      <c r="H496" s="27" t="s">
        <v>26</v>
      </c>
    </row>
    <row r="497" spans="1:14" x14ac:dyDescent="0.25">
      <c r="E497" s="27" t="s">
        <v>20</v>
      </c>
      <c r="F497" s="27">
        <v>0</v>
      </c>
      <c r="G497" s="27">
        <v>0</v>
      </c>
      <c r="H497" s="27">
        <v>0</v>
      </c>
    </row>
    <row r="498" spans="1:14" x14ac:dyDescent="0.25">
      <c r="E498" s="27" t="s">
        <v>24</v>
      </c>
      <c r="F498" s="27" t="s">
        <v>27</v>
      </c>
      <c r="G498" s="27" t="s">
        <v>25</v>
      </c>
      <c r="H498" s="27" t="s">
        <v>27</v>
      </c>
    </row>
    <row r="499" spans="1:14" x14ac:dyDescent="0.25">
      <c r="A499" s="27" t="s">
        <v>47</v>
      </c>
      <c r="B499" s="27" t="s">
        <v>108</v>
      </c>
      <c r="C499" s="27">
        <v>40</v>
      </c>
      <c r="D499" s="27">
        <v>65</v>
      </c>
      <c r="E499" s="27" t="s">
        <v>20</v>
      </c>
      <c r="F499" s="27" t="s">
        <v>25</v>
      </c>
      <c r="G499" s="27" t="s">
        <v>21</v>
      </c>
      <c r="H499" s="27" t="s">
        <v>30</v>
      </c>
      <c r="I499" s="27" t="s">
        <v>22</v>
      </c>
      <c r="J499" s="27" t="s">
        <v>104</v>
      </c>
      <c r="K499" s="27" t="s">
        <v>104</v>
      </c>
      <c r="L499" s="27" t="s">
        <v>104</v>
      </c>
      <c r="M499" s="27">
        <v>1070</v>
      </c>
      <c r="N499" s="27">
        <v>50</v>
      </c>
    </row>
    <row r="500" spans="1:14" x14ac:dyDescent="0.25">
      <c r="E500" s="27" t="s">
        <v>24</v>
      </c>
      <c r="F500" s="27">
        <v>0</v>
      </c>
      <c r="G500" s="27">
        <v>0</v>
      </c>
      <c r="H500" s="27" t="s">
        <v>26</v>
      </c>
    </row>
    <row r="501" spans="1:14" x14ac:dyDescent="0.25">
      <c r="E501" s="27" t="s">
        <v>20</v>
      </c>
      <c r="F501" s="27">
        <v>0</v>
      </c>
      <c r="G501" s="27">
        <v>0</v>
      </c>
      <c r="H501" s="27">
        <v>0</v>
      </c>
    </row>
    <row r="502" spans="1:14" x14ac:dyDescent="0.25">
      <c r="E502" s="27" t="s">
        <v>24</v>
      </c>
      <c r="F502" s="27" t="s">
        <v>27</v>
      </c>
      <c r="G502" s="27" t="s">
        <v>25</v>
      </c>
      <c r="H502" s="27" t="s">
        <v>27</v>
      </c>
    </row>
    <row r="503" spans="1:14" x14ac:dyDescent="0.25">
      <c r="A503" s="27" t="s">
        <v>47</v>
      </c>
      <c r="B503" s="27" t="s">
        <v>114</v>
      </c>
      <c r="C503" s="27">
        <v>40</v>
      </c>
      <c r="D503" s="27">
        <v>65</v>
      </c>
      <c r="E503" s="27" t="s">
        <v>20</v>
      </c>
      <c r="F503" s="27" t="s">
        <v>25</v>
      </c>
      <c r="G503" s="27" t="s">
        <v>21</v>
      </c>
      <c r="H503" s="27" t="s">
        <v>30</v>
      </c>
      <c r="I503" s="27" t="s">
        <v>22</v>
      </c>
      <c r="J503" s="27" t="s">
        <v>104</v>
      </c>
      <c r="K503" s="27" t="s">
        <v>104</v>
      </c>
      <c r="L503" s="27" t="s">
        <v>104</v>
      </c>
      <c r="M503" s="27">
        <v>1070</v>
      </c>
      <c r="N503" s="27">
        <v>50</v>
      </c>
    </row>
    <row r="504" spans="1:14" x14ac:dyDescent="0.25">
      <c r="E504" s="27" t="s">
        <v>24</v>
      </c>
      <c r="F504" s="27">
        <v>0</v>
      </c>
      <c r="G504" s="27">
        <v>0</v>
      </c>
      <c r="H504" s="27" t="s">
        <v>26</v>
      </c>
    </row>
    <row r="505" spans="1:14" x14ac:dyDescent="0.25">
      <c r="E505" s="27" t="s">
        <v>20</v>
      </c>
      <c r="F505" s="27">
        <v>0</v>
      </c>
      <c r="G505" s="27">
        <v>0</v>
      </c>
      <c r="H505" s="27">
        <v>0</v>
      </c>
    </row>
    <row r="506" spans="1:14" x14ac:dyDescent="0.25">
      <c r="E506" s="27" t="s">
        <v>24</v>
      </c>
      <c r="F506" s="27" t="s">
        <v>27</v>
      </c>
      <c r="G506" s="27" t="s">
        <v>25</v>
      </c>
      <c r="H506" s="27" t="s">
        <v>27</v>
      </c>
    </row>
    <row r="507" spans="1:14" x14ac:dyDescent="0.25">
      <c r="A507" s="27" t="s">
        <v>47</v>
      </c>
      <c r="B507" s="27" t="s">
        <v>108</v>
      </c>
      <c r="C507" s="27">
        <v>40</v>
      </c>
      <c r="D507" s="27">
        <v>65</v>
      </c>
      <c r="E507" s="27" t="s">
        <v>20</v>
      </c>
      <c r="F507" s="27" t="s">
        <v>25</v>
      </c>
      <c r="G507" s="27" t="s">
        <v>21</v>
      </c>
      <c r="H507" s="27" t="s">
        <v>30</v>
      </c>
      <c r="I507" s="27" t="s">
        <v>22</v>
      </c>
      <c r="J507" s="27" t="s">
        <v>104</v>
      </c>
      <c r="K507" s="27" t="s">
        <v>104</v>
      </c>
      <c r="L507" s="27" t="s">
        <v>104</v>
      </c>
      <c r="M507" s="27">
        <v>1070</v>
      </c>
      <c r="N507" s="27">
        <v>50</v>
      </c>
    </row>
    <row r="508" spans="1:14" x14ac:dyDescent="0.25">
      <c r="E508" s="27" t="s">
        <v>24</v>
      </c>
      <c r="F508" s="27">
        <v>0</v>
      </c>
      <c r="G508" s="27">
        <v>0</v>
      </c>
      <c r="H508" s="27" t="s">
        <v>26</v>
      </c>
    </row>
    <row r="509" spans="1:14" x14ac:dyDescent="0.25">
      <c r="E509" s="27" t="s">
        <v>20</v>
      </c>
      <c r="F509" s="27">
        <v>0</v>
      </c>
      <c r="G509" s="27">
        <v>0</v>
      </c>
      <c r="H509" s="27">
        <v>0</v>
      </c>
    </row>
    <row r="510" spans="1:14" x14ac:dyDescent="0.25">
      <c r="E510" s="27" t="s">
        <v>24</v>
      </c>
      <c r="F510" s="27" t="s">
        <v>27</v>
      </c>
      <c r="G510" s="27" t="s">
        <v>25</v>
      </c>
      <c r="H510" s="27" t="s">
        <v>27</v>
      </c>
    </row>
    <row r="511" spans="1:14" x14ac:dyDescent="0.25">
      <c r="A511" s="27" t="s">
        <v>47</v>
      </c>
      <c r="B511" s="27" t="s">
        <v>114</v>
      </c>
      <c r="C511" s="27">
        <v>40</v>
      </c>
      <c r="D511" s="27">
        <v>65</v>
      </c>
      <c r="E511" s="27" t="s">
        <v>20</v>
      </c>
      <c r="F511" s="27" t="s">
        <v>25</v>
      </c>
      <c r="G511" s="27" t="s">
        <v>21</v>
      </c>
      <c r="H511" s="27" t="s">
        <v>30</v>
      </c>
      <c r="I511" s="27" t="s">
        <v>22</v>
      </c>
      <c r="J511" s="27" t="s">
        <v>104</v>
      </c>
      <c r="K511" s="27" t="s">
        <v>104</v>
      </c>
      <c r="L511" s="27" t="s">
        <v>104</v>
      </c>
      <c r="M511" s="27">
        <v>1070</v>
      </c>
      <c r="N511" s="27">
        <v>50</v>
      </c>
    </row>
    <row r="512" spans="1:14" x14ac:dyDescent="0.25">
      <c r="E512" s="27" t="s">
        <v>24</v>
      </c>
      <c r="F512" s="27">
        <v>0</v>
      </c>
      <c r="G512" s="27">
        <v>0</v>
      </c>
      <c r="H512" s="27" t="s">
        <v>26</v>
      </c>
    </row>
    <row r="513" spans="1:14" x14ac:dyDescent="0.25">
      <c r="E513" s="27" t="s">
        <v>20</v>
      </c>
      <c r="F513" s="27">
        <v>0</v>
      </c>
      <c r="G513" s="27">
        <v>0</v>
      </c>
      <c r="H513" s="27">
        <v>0</v>
      </c>
    </row>
    <row r="514" spans="1:14" x14ac:dyDescent="0.25">
      <c r="E514" s="27" t="s">
        <v>24</v>
      </c>
      <c r="F514" s="27" t="s">
        <v>27</v>
      </c>
      <c r="G514" s="27" t="s">
        <v>25</v>
      </c>
      <c r="H514" s="27" t="s">
        <v>27</v>
      </c>
    </row>
    <row r="515" spans="1:14" x14ac:dyDescent="0.25">
      <c r="A515" s="27" t="s">
        <v>47</v>
      </c>
      <c r="B515" s="27" t="s">
        <v>114</v>
      </c>
      <c r="C515" s="27">
        <v>40</v>
      </c>
      <c r="D515" s="27">
        <v>65</v>
      </c>
      <c r="E515" s="27" t="s">
        <v>20</v>
      </c>
      <c r="F515" s="27" t="s">
        <v>25</v>
      </c>
      <c r="G515" s="27" t="s">
        <v>21</v>
      </c>
      <c r="H515" s="27" t="s">
        <v>30</v>
      </c>
      <c r="I515" s="27" t="s">
        <v>22</v>
      </c>
      <c r="J515" s="27" t="s">
        <v>104</v>
      </c>
      <c r="K515" s="27" t="s">
        <v>104</v>
      </c>
      <c r="L515" s="27" t="s">
        <v>104</v>
      </c>
      <c r="M515" s="27">
        <v>1070</v>
      </c>
      <c r="N515" s="27">
        <v>50</v>
      </c>
    </row>
    <row r="516" spans="1:14" x14ac:dyDescent="0.25">
      <c r="E516" s="27" t="s">
        <v>24</v>
      </c>
      <c r="F516" s="27">
        <v>0</v>
      </c>
      <c r="G516" s="27">
        <v>0</v>
      </c>
      <c r="H516" s="27" t="s">
        <v>26</v>
      </c>
    </row>
    <row r="517" spans="1:14" x14ac:dyDescent="0.25">
      <c r="E517" s="27" t="s">
        <v>20</v>
      </c>
      <c r="F517" s="27">
        <v>0</v>
      </c>
      <c r="G517" s="27">
        <v>0</v>
      </c>
      <c r="H517" s="27">
        <v>0</v>
      </c>
    </row>
    <row r="518" spans="1:14" x14ac:dyDescent="0.25">
      <c r="E518" s="27" t="s">
        <v>24</v>
      </c>
      <c r="F518" s="27" t="s">
        <v>27</v>
      </c>
      <c r="G518" s="27" t="s">
        <v>25</v>
      </c>
      <c r="H518" s="27" t="s">
        <v>27</v>
      </c>
    </row>
    <row r="519" spans="1:14" ht="15.6" customHeight="1" x14ac:dyDescent="0.25">
      <c r="A519" s="27" t="s">
        <v>47</v>
      </c>
      <c r="B519" s="27" t="s">
        <v>131</v>
      </c>
      <c r="C519" s="27">
        <v>40</v>
      </c>
      <c r="D519" s="27">
        <v>65</v>
      </c>
      <c r="E519" s="27" t="s">
        <v>20</v>
      </c>
      <c r="F519" s="27" t="s">
        <v>26</v>
      </c>
      <c r="G519" s="27" t="s">
        <v>21</v>
      </c>
      <c r="H519" s="27" t="s">
        <v>27</v>
      </c>
      <c r="I519" s="27" t="s">
        <v>149</v>
      </c>
      <c r="J519" s="27" t="s">
        <v>104</v>
      </c>
      <c r="K519" s="27" t="s">
        <v>104</v>
      </c>
      <c r="L519" s="27" t="s">
        <v>104</v>
      </c>
      <c r="M519" s="27">
        <v>830</v>
      </c>
      <c r="N519" s="27">
        <v>50</v>
      </c>
    </row>
    <row r="520" spans="1:14" x14ac:dyDescent="0.25">
      <c r="E520" s="27" t="s">
        <v>24</v>
      </c>
      <c r="F520" s="27">
        <v>0</v>
      </c>
      <c r="G520" s="27">
        <v>0</v>
      </c>
      <c r="H520" s="27">
        <v>0</v>
      </c>
    </row>
    <row r="521" spans="1:14" x14ac:dyDescent="0.25">
      <c r="E521" s="27" t="s">
        <v>20</v>
      </c>
      <c r="F521" s="27">
        <v>0</v>
      </c>
      <c r="G521" s="27">
        <v>0</v>
      </c>
      <c r="H521" s="27">
        <v>0</v>
      </c>
    </row>
    <row r="522" spans="1:14" x14ac:dyDescent="0.25">
      <c r="E522" s="27" t="s">
        <v>24</v>
      </c>
      <c r="F522" s="27" t="s">
        <v>28</v>
      </c>
      <c r="G522" s="27" t="s">
        <v>27</v>
      </c>
      <c r="H522" s="27" t="s">
        <v>21</v>
      </c>
    </row>
    <row r="523" spans="1:14" x14ac:dyDescent="0.25">
      <c r="A523" s="27" t="s">
        <v>47</v>
      </c>
      <c r="B523" s="27" t="s">
        <v>150</v>
      </c>
      <c r="C523" s="27">
        <v>40</v>
      </c>
      <c r="D523" s="27">
        <v>65</v>
      </c>
      <c r="E523" s="27" t="s">
        <v>20</v>
      </c>
      <c r="F523" s="27" t="s">
        <v>27</v>
      </c>
      <c r="G523" s="27" t="s">
        <v>21</v>
      </c>
      <c r="H523" s="27" t="s">
        <v>27</v>
      </c>
      <c r="I523" s="27" t="s">
        <v>149</v>
      </c>
      <c r="J523" s="27" t="s">
        <v>104</v>
      </c>
      <c r="K523" s="27" t="s">
        <v>104</v>
      </c>
      <c r="L523" s="27" t="s">
        <v>104</v>
      </c>
      <c r="M523" s="27">
        <v>830</v>
      </c>
      <c r="N523" s="27">
        <v>50</v>
      </c>
    </row>
    <row r="524" spans="1:14" x14ac:dyDescent="0.25">
      <c r="E524" s="27" t="s">
        <v>24</v>
      </c>
      <c r="F524" s="27">
        <v>0</v>
      </c>
      <c r="G524" s="27">
        <v>0</v>
      </c>
      <c r="H524" s="27">
        <v>0</v>
      </c>
    </row>
    <row r="525" spans="1:14" x14ac:dyDescent="0.25">
      <c r="E525" s="27" t="s">
        <v>20</v>
      </c>
      <c r="F525" s="27">
        <v>0</v>
      </c>
      <c r="G525" s="27">
        <v>0</v>
      </c>
      <c r="H525" s="27">
        <v>0</v>
      </c>
    </row>
    <row r="526" spans="1:14" x14ac:dyDescent="0.25">
      <c r="E526" s="27" t="s">
        <v>24</v>
      </c>
      <c r="F526" s="27" t="s">
        <v>21</v>
      </c>
      <c r="G526" s="27" t="s">
        <v>28</v>
      </c>
      <c r="H526" s="27" t="s">
        <v>21</v>
      </c>
    </row>
    <row r="527" spans="1:14" x14ac:dyDescent="0.25">
      <c r="A527" s="27" t="s">
        <v>47</v>
      </c>
      <c r="B527" s="27" t="s">
        <v>151</v>
      </c>
      <c r="C527" s="27">
        <v>40</v>
      </c>
      <c r="D527" s="27">
        <v>65</v>
      </c>
      <c r="E527" s="27" t="s">
        <v>20</v>
      </c>
      <c r="F527" s="27" t="s">
        <v>27</v>
      </c>
      <c r="G527" s="27" t="s">
        <v>21</v>
      </c>
      <c r="H527" s="27" t="s">
        <v>27</v>
      </c>
      <c r="I527" s="27" t="s">
        <v>149</v>
      </c>
      <c r="J527" s="27" t="s">
        <v>104</v>
      </c>
      <c r="K527" s="27" t="s">
        <v>104</v>
      </c>
      <c r="L527" s="27" t="s">
        <v>104</v>
      </c>
      <c r="M527" s="27">
        <v>830</v>
      </c>
      <c r="N527" s="27">
        <v>50</v>
      </c>
    </row>
    <row r="528" spans="1:14" x14ac:dyDescent="0.25">
      <c r="E528" s="27" t="s">
        <v>24</v>
      </c>
      <c r="F528" s="27">
        <v>0</v>
      </c>
      <c r="G528" s="27">
        <v>0</v>
      </c>
      <c r="H528" s="27">
        <v>0</v>
      </c>
    </row>
    <row r="529" spans="1:14" x14ac:dyDescent="0.25">
      <c r="E529" s="27" t="s">
        <v>20</v>
      </c>
      <c r="F529" s="27">
        <v>0</v>
      </c>
      <c r="G529" s="27">
        <v>0</v>
      </c>
      <c r="H529" s="27">
        <v>0</v>
      </c>
    </row>
    <row r="530" spans="1:14" x14ac:dyDescent="0.25">
      <c r="E530" s="27" t="s">
        <v>24</v>
      </c>
      <c r="F530" s="27" t="s">
        <v>21</v>
      </c>
      <c r="G530" s="27" t="s">
        <v>28</v>
      </c>
      <c r="H530" s="27" t="s">
        <v>21</v>
      </c>
    </row>
    <row r="531" spans="1:14" x14ac:dyDescent="0.25">
      <c r="A531" s="27" t="s">
        <v>47</v>
      </c>
      <c r="B531" s="27" t="s">
        <v>152</v>
      </c>
      <c r="C531" s="27">
        <v>40</v>
      </c>
      <c r="D531" s="27">
        <v>65</v>
      </c>
      <c r="E531" s="27" t="s">
        <v>20</v>
      </c>
      <c r="F531" s="27" t="s">
        <v>27</v>
      </c>
      <c r="G531" s="27" t="s">
        <v>21</v>
      </c>
      <c r="H531" s="27" t="s">
        <v>27</v>
      </c>
      <c r="I531" s="27" t="s">
        <v>149</v>
      </c>
      <c r="J531" s="27" t="s">
        <v>104</v>
      </c>
      <c r="K531" s="27" t="s">
        <v>104</v>
      </c>
      <c r="L531" s="27" t="s">
        <v>104</v>
      </c>
      <c r="M531" s="27">
        <v>830</v>
      </c>
      <c r="N531" s="27">
        <v>50</v>
      </c>
    </row>
    <row r="532" spans="1:14" x14ac:dyDescent="0.25">
      <c r="E532" s="27" t="s">
        <v>24</v>
      </c>
      <c r="F532" s="27">
        <v>0</v>
      </c>
      <c r="G532" s="27">
        <v>0</v>
      </c>
      <c r="H532" s="27">
        <v>0</v>
      </c>
    </row>
    <row r="533" spans="1:14" x14ac:dyDescent="0.25">
      <c r="E533" s="27" t="s">
        <v>20</v>
      </c>
      <c r="F533" s="27">
        <v>0</v>
      </c>
      <c r="G533" s="27">
        <v>0</v>
      </c>
      <c r="H533" s="27">
        <v>0</v>
      </c>
    </row>
    <row r="534" spans="1:14" x14ac:dyDescent="0.25">
      <c r="E534" s="27" t="s">
        <v>24</v>
      </c>
      <c r="F534" s="27" t="s">
        <v>21</v>
      </c>
      <c r="G534" s="27" t="s">
        <v>28</v>
      </c>
      <c r="H534" s="27" t="s">
        <v>21</v>
      </c>
    </row>
    <row r="535" spans="1:14" x14ac:dyDescent="0.25">
      <c r="A535" s="27" t="s">
        <v>47</v>
      </c>
      <c r="B535" s="27" t="s">
        <v>153</v>
      </c>
      <c r="C535" s="27">
        <v>40</v>
      </c>
      <c r="D535" s="27">
        <v>65</v>
      </c>
      <c r="E535" s="27" t="s">
        <v>20</v>
      </c>
      <c r="F535" s="27" t="s">
        <v>27</v>
      </c>
      <c r="G535" s="27" t="s">
        <v>21</v>
      </c>
      <c r="H535" s="27" t="s">
        <v>27</v>
      </c>
      <c r="I535" s="27" t="s">
        <v>149</v>
      </c>
      <c r="J535" s="27" t="s">
        <v>104</v>
      </c>
      <c r="K535" s="27" t="s">
        <v>104</v>
      </c>
      <c r="L535" s="27" t="s">
        <v>104</v>
      </c>
      <c r="M535" s="27">
        <v>830</v>
      </c>
      <c r="N535" s="27">
        <v>50</v>
      </c>
    </row>
    <row r="536" spans="1:14" x14ac:dyDescent="0.25">
      <c r="E536" s="27" t="s">
        <v>24</v>
      </c>
      <c r="F536" s="27">
        <v>0</v>
      </c>
      <c r="G536" s="27">
        <v>0</v>
      </c>
      <c r="H536" s="27">
        <v>0</v>
      </c>
    </row>
    <row r="537" spans="1:14" x14ac:dyDescent="0.25">
      <c r="E537" s="27" t="s">
        <v>20</v>
      </c>
      <c r="F537" s="27">
        <v>0</v>
      </c>
      <c r="G537" s="27">
        <v>0</v>
      </c>
      <c r="H537" s="27">
        <v>0</v>
      </c>
    </row>
    <row r="538" spans="1:14" x14ac:dyDescent="0.25">
      <c r="E538" s="27" t="s">
        <v>24</v>
      </c>
      <c r="F538" s="27" t="s">
        <v>21</v>
      </c>
      <c r="G538" s="27" t="s">
        <v>28</v>
      </c>
      <c r="H538" s="27" t="s">
        <v>21</v>
      </c>
    </row>
    <row r="539" spans="1:14" x14ac:dyDescent="0.25">
      <c r="A539" s="27" t="s">
        <v>47</v>
      </c>
      <c r="B539" s="27" t="s">
        <v>154</v>
      </c>
      <c r="C539" s="27">
        <v>40</v>
      </c>
      <c r="D539" s="27">
        <v>65</v>
      </c>
      <c r="E539" s="27" t="s">
        <v>20</v>
      </c>
      <c r="F539" s="27" t="s">
        <v>27</v>
      </c>
      <c r="G539" s="27" t="s">
        <v>21</v>
      </c>
      <c r="H539" s="27" t="s">
        <v>21</v>
      </c>
      <c r="I539" s="27" t="s">
        <v>149</v>
      </c>
      <c r="J539" s="27" t="s">
        <v>104</v>
      </c>
      <c r="K539" s="27" t="s">
        <v>104</v>
      </c>
      <c r="L539" s="27" t="s">
        <v>104</v>
      </c>
      <c r="M539" s="27">
        <v>830</v>
      </c>
      <c r="N539" s="27">
        <v>50</v>
      </c>
    </row>
    <row r="540" spans="1:14" x14ac:dyDescent="0.25">
      <c r="E540" s="27" t="s">
        <v>24</v>
      </c>
      <c r="F540" s="27">
        <v>0</v>
      </c>
      <c r="G540" s="27">
        <v>0</v>
      </c>
      <c r="H540" s="27">
        <v>0</v>
      </c>
    </row>
    <row r="541" spans="1:14" x14ac:dyDescent="0.25">
      <c r="E541" s="27" t="s">
        <v>20</v>
      </c>
      <c r="F541" s="27">
        <v>0</v>
      </c>
      <c r="G541" s="27">
        <v>0</v>
      </c>
      <c r="H541" s="27">
        <v>0</v>
      </c>
    </row>
    <row r="542" spans="1:14" x14ac:dyDescent="0.25">
      <c r="E542" s="27" t="s">
        <v>24</v>
      </c>
      <c r="F542" s="27" t="s">
        <v>21</v>
      </c>
      <c r="G542" s="27" t="s">
        <v>28</v>
      </c>
      <c r="H542" s="27" t="s">
        <v>21</v>
      </c>
    </row>
    <row r="543" spans="1:14" ht="15.6" customHeight="1" x14ac:dyDescent="0.25">
      <c r="A543" s="27" t="s">
        <v>47</v>
      </c>
      <c r="B543" s="27" t="s">
        <v>155</v>
      </c>
      <c r="C543" s="27">
        <v>40</v>
      </c>
      <c r="D543" s="27">
        <v>65</v>
      </c>
      <c r="E543" s="27" t="s">
        <v>20</v>
      </c>
      <c r="F543" s="27" t="s">
        <v>21</v>
      </c>
      <c r="G543" s="27" t="s">
        <v>21</v>
      </c>
      <c r="H543" s="27" t="s">
        <v>26</v>
      </c>
      <c r="I543" s="27" t="s">
        <v>22</v>
      </c>
      <c r="J543" s="27" t="s">
        <v>104</v>
      </c>
      <c r="K543" s="27" t="s">
        <v>104</v>
      </c>
      <c r="L543" s="27" t="s">
        <v>104</v>
      </c>
      <c r="M543" s="27">
        <v>575</v>
      </c>
      <c r="N543" s="27">
        <v>50</v>
      </c>
    </row>
    <row r="544" spans="1:14" x14ac:dyDescent="0.25">
      <c r="E544" s="27" t="s">
        <v>24</v>
      </c>
      <c r="F544" s="27">
        <v>0</v>
      </c>
      <c r="G544" s="27">
        <v>0</v>
      </c>
      <c r="H544" s="27">
        <v>0</v>
      </c>
    </row>
    <row r="545" spans="1:14" x14ac:dyDescent="0.25">
      <c r="E545" s="27" t="s">
        <v>20</v>
      </c>
      <c r="F545" s="27">
        <v>0</v>
      </c>
      <c r="G545" s="27">
        <v>0</v>
      </c>
      <c r="H545" s="27">
        <v>0</v>
      </c>
    </row>
    <row r="546" spans="1:14" x14ac:dyDescent="0.25">
      <c r="E546" s="27" t="s">
        <v>24</v>
      </c>
      <c r="F546" s="27" t="s">
        <v>21</v>
      </c>
      <c r="G546" s="27" t="s">
        <v>28</v>
      </c>
      <c r="H546" s="27" t="s">
        <v>21</v>
      </c>
    </row>
    <row r="547" spans="1:14" x14ac:dyDescent="0.25">
      <c r="A547" s="27" t="s">
        <v>47</v>
      </c>
      <c r="B547" s="27" t="s">
        <v>156</v>
      </c>
      <c r="C547" s="27">
        <v>40</v>
      </c>
      <c r="D547" s="27">
        <v>65</v>
      </c>
      <c r="E547" s="27" t="s">
        <v>20</v>
      </c>
      <c r="F547" s="27" t="s">
        <v>25</v>
      </c>
      <c r="G547" s="27" t="s">
        <v>21</v>
      </c>
      <c r="H547" s="27" t="s">
        <v>25</v>
      </c>
      <c r="I547" s="27" t="s">
        <v>22</v>
      </c>
      <c r="J547" s="27" t="s">
        <v>130</v>
      </c>
      <c r="K547" s="27" t="s">
        <v>130</v>
      </c>
      <c r="L547" s="27" t="s">
        <v>130</v>
      </c>
      <c r="M547" s="27">
        <v>1100</v>
      </c>
      <c r="N547" s="27">
        <v>50</v>
      </c>
    </row>
    <row r="548" spans="1:14" x14ac:dyDescent="0.25">
      <c r="E548" s="27" t="s">
        <v>24</v>
      </c>
      <c r="F548" s="27" t="s">
        <v>26</v>
      </c>
      <c r="G548" s="27">
        <v>0</v>
      </c>
      <c r="H548" s="27" t="s">
        <v>26</v>
      </c>
    </row>
    <row r="549" spans="1:14" x14ac:dyDescent="0.25">
      <c r="E549" s="27" t="s">
        <v>20</v>
      </c>
      <c r="F549" s="27">
        <v>0</v>
      </c>
      <c r="G549" s="27">
        <v>0</v>
      </c>
      <c r="H549" s="27">
        <v>0</v>
      </c>
    </row>
    <row r="550" spans="1:14" x14ac:dyDescent="0.25">
      <c r="E550" s="27" t="s">
        <v>24</v>
      </c>
      <c r="F550" s="27" t="s">
        <v>27</v>
      </c>
      <c r="G550" s="27" t="s">
        <v>25</v>
      </c>
      <c r="H550" s="27" t="s">
        <v>27</v>
      </c>
    </row>
    <row r="551" spans="1:14" x14ac:dyDescent="0.25">
      <c r="A551" s="27" t="s">
        <v>47</v>
      </c>
      <c r="B551" s="27" t="s">
        <v>113</v>
      </c>
      <c r="C551" s="27">
        <v>40</v>
      </c>
      <c r="D551" s="27">
        <v>65</v>
      </c>
      <c r="E551" s="27" t="s">
        <v>20</v>
      </c>
      <c r="F551" s="27" t="s">
        <v>30</v>
      </c>
      <c r="G551" s="27" t="s">
        <v>21</v>
      </c>
      <c r="H551" s="27" t="s">
        <v>25</v>
      </c>
      <c r="I551" s="27" t="s">
        <v>22</v>
      </c>
      <c r="J551" s="27" t="s">
        <v>104</v>
      </c>
      <c r="K551" s="27" t="s">
        <v>104</v>
      </c>
      <c r="L551" s="27" t="s">
        <v>104</v>
      </c>
      <c r="M551" s="27">
        <v>1100</v>
      </c>
      <c r="N551" s="27">
        <v>50</v>
      </c>
    </row>
    <row r="552" spans="1:14" x14ac:dyDescent="0.25">
      <c r="E552" s="27" t="s">
        <v>24</v>
      </c>
      <c r="F552" s="27" t="s">
        <v>26</v>
      </c>
      <c r="G552" s="27">
        <v>0</v>
      </c>
      <c r="H552" s="27" t="s">
        <v>26</v>
      </c>
    </row>
    <row r="553" spans="1:14" x14ac:dyDescent="0.25">
      <c r="E553" s="27" t="s">
        <v>20</v>
      </c>
      <c r="F553" s="27">
        <v>0</v>
      </c>
      <c r="G553" s="27">
        <v>0</v>
      </c>
      <c r="H553" s="27">
        <v>0</v>
      </c>
    </row>
    <row r="554" spans="1:14" x14ac:dyDescent="0.25">
      <c r="E554" s="27" t="s">
        <v>24</v>
      </c>
      <c r="F554" s="27" t="s">
        <v>27</v>
      </c>
      <c r="G554" s="27" t="s">
        <v>25</v>
      </c>
      <c r="H554" s="27" t="s">
        <v>27</v>
      </c>
    </row>
    <row r="555" spans="1:14" x14ac:dyDescent="0.25">
      <c r="A555" s="27" t="s">
        <v>47</v>
      </c>
      <c r="B555" s="27" t="s">
        <v>113</v>
      </c>
      <c r="C555" s="27">
        <v>40</v>
      </c>
      <c r="D555" s="27">
        <v>65</v>
      </c>
      <c r="E555" s="27" t="s">
        <v>20</v>
      </c>
      <c r="F555" s="27" t="s">
        <v>30</v>
      </c>
      <c r="G555" s="27" t="s">
        <v>21</v>
      </c>
      <c r="H555" s="27" t="s">
        <v>25</v>
      </c>
      <c r="I555" s="27" t="s">
        <v>22</v>
      </c>
      <c r="J555" s="27" t="s">
        <v>104</v>
      </c>
      <c r="K555" s="27" t="s">
        <v>104</v>
      </c>
      <c r="L555" s="27" t="s">
        <v>104</v>
      </c>
      <c r="M555" s="27">
        <v>1100</v>
      </c>
      <c r="N555" s="27">
        <v>50</v>
      </c>
    </row>
    <row r="556" spans="1:14" x14ac:dyDescent="0.25">
      <c r="E556" s="27" t="s">
        <v>24</v>
      </c>
      <c r="F556" s="27" t="s">
        <v>26</v>
      </c>
      <c r="G556" s="27">
        <v>0</v>
      </c>
      <c r="H556" s="27" t="s">
        <v>26</v>
      </c>
    </row>
    <row r="557" spans="1:14" x14ac:dyDescent="0.25">
      <c r="E557" s="27" t="s">
        <v>20</v>
      </c>
      <c r="F557" s="27">
        <v>0</v>
      </c>
      <c r="G557" s="27">
        <v>0</v>
      </c>
      <c r="H557" s="27">
        <v>0</v>
      </c>
    </row>
    <row r="558" spans="1:14" x14ac:dyDescent="0.25">
      <c r="E558" s="27" t="s">
        <v>24</v>
      </c>
      <c r="F558" s="27" t="s">
        <v>27</v>
      </c>
      <c r="G558" s="27" t="s">
        <v>25</v>
      </c>
      <c r="H558" s="27" t="s">
        <v>27</v>
      </c>
    </row>
    <row r="559" spans="1:14" x14ac:dyDescent="0.25">
      <c r="A559" s="27" t="s">
        <v>47</v>
      </c>
      <c r="B559" s="27" t="s">
        <v>113</v>
      </c>
      <c r="C559" s="27">
        <v>40</v>
      </c>
      <c r="D559" s="27">
        <v>65</v>
      </c>
      <c r="E559" s="27" t="s">
        <v>20</v>
      </c>
      <c r="F559" s="27" t="s">
        <v>30</v>
      </c>
      <c r="G559" s="27" t="s">
        <v>21</v>
      </c>
      <c r="H559" s="27" t="s">
        <v>25</v>
      </c>
      <c r="I559" s="27" t="s">
        <v>22</v>
      </c>
      <c r="J559" s="27" t="s">
        <v>104</v>
      </c>
      <c r="K559" s="27" t="s">
        <v>104</v>
      </c>
      <c r="L559" s="27" t="s">
        <v>104</v>
      </c>
      <c r="M559" s="27">
        <v>1100</v>
      </c>
      <c r="N559" s="27">
        <v>50</v>
      </c>
    </row>
    <row r="560" spans="1:14" x14ac:dyDescent="0.25">
      <c r="E560" s="27" t="s">
        <v>24</v>
      </c>
      <c r="F560" s="27" t="s">
        <v>26</v>
      </c>
      <c r="G560" s="27">
        <v>0</v>
      </c>
      <c r="H560" s="27" t="s">
        <v>26</v>
      </c>
    </row>
    <row r="561" spans="1:14" x14ac:dyDescent="0.25">
      <c r="E561" s="27" t="s">
        <v>20</v>
      </c>
      <c r="F561" s="27">
        <v>0</v>
      </c>
      <c r="G561" s="27">
        <v>0</v>
      </c>
      <c r="H561" s="27">
        <v>0</v>
      </c>
    </row>
    <row r="562" spans="1:14" x14ac:dyDescent="0.25">
      <c r="E562" s="27" t="s">
        <v>24</v>
      </c>
      <c r="F562" s="27" t="s">
        <v>27</v>
      </c>
      <c r="G562" s="27" t="s">
        <v>25</v>
      </c>
      <c r="H562" s="27" t="s">
        <v>27</v>
      </c>
    </row>
    <row r="563" spans="1:14" ht="15.6" customHeight="1" x14ac:dyDescent="0.25">
      <c r="A563" s="27" t="s">
        <v>47</v>
      </c>
      <c r="B563" s="27" t="s">
        <v>157</v>
      </c>
      <c r="C563" s="27">
        <v>40</v>
      </c>
      <c r="D563" s="27">
        <v>65</v>
      </c>
      <c r="E563" s="27" t="s">
        <v>20</v>
      </c>
      <c r="F563" s="27" t="s">
        <v>26</v>
      </c>
      <c r="G563" s="27" t="s">
        <v>21</v>
      </c>
      <c r="H563" s="27" t="s">
        <v>27</v>
      </c>
      <c r="I563" s="27" t="s">
        <v>22</v>
      </c>
      <c r="J563" s="27" t="s">
        <v>104</v>
      </c>
      <c r="K563" s="27" t="s">
        <v>104</v>
      </c>
      <c r="L563" s="27" t="s">
        <v>104</v>
      </c>
      <c r="M563" s="27">
        <v>830</v>
      </c>
      <c r="N563" s="27">
        <v>50</v>
      </c>
    </row>
    <row r="564" spans="1:14" x14ac:dyDescent="0.25">
      <c r="E564" s="27" t="s">
        <v>24</v>
      </c>
      <c r="F564" s="27">
        <v>0</v>
      </c>
      <c r="G564" s="27">
        <v>0</v>
      </c>
      <c r="H564" s="27">
        <v>0</v>
      </c>
    </row>
    <row r="565" spans="1:14" x14ac:dyDescent="0.25">
      <c r="E565" s="27" t="s">
        <v>20</v>
      </c>
      <c r="F565" s="27">
        <v>0</v>
      </c>
      <c r="G565" s="27">
        <v>0</v>
      </c>
      <c r="H565" s="27">
        <v>0</v>
      </c>
    </row>
    <row r="566" spans="1:14" x14ac:dyDescent="0.25">
      <c r="E566" s="27" t="s">
        <v>24</v>
      </c>
      <c r="F566" s="27" t="s">
        <v>27</v>
      </c>
      <c r="G566" s="27" t="s">
        <v>25</v>
      </c>
      <c r="H566" s="27" t="s">
        <v>28</v>
      </c>
    </row>
    <row r="567" spans="1:14" x14ac:dyDescent="0.25">
      <c r="A567" s="27" t="s">
        <v>47</v>
      </c>
      <c r="B567" s="27" t="s">
        <v>158</v>
      </c>
      <c r="C567" s="27">
        <v>40</v>
      </c>
      <c r="D567" s="27">
        <v>65</v>
      </c>
      <c r="E567" s="27" t="s">
        <v>20</v>
      </c>
      <c r="F567" s="27" t="s">
        <v>27</v>
      </c>
      <c r="G567" s="27" t="s">
        <v>21</v>
      </c>
      <c r="H567" s="27" t="s">
        <v>27</v>
      </c>
      <c r="I567" s="27" t="s">
        <v>22</v>
      </c>
      <c r="J567" s="27" t="s">
        <v>104</v>
      </c>
      <c r="K567" s="27" t="s">
        <v>104</v>
      </c>
      <c r="L567" s="27" t="s">
        <v>104</v>
      </c>
      <c r="M567" s="27">
        <v>830</v>
      </c>
      <c r="N567" s="27">
        <v>50</v>
      </c>
    </row>
    <row r="568" spans="1:14" x14ac:dyDescent="0.25">
      <c r="E568" s="27" t="s">
        <v>24</v>
      </c>
      <c r="F568" s="27">
        <v>0</v>
      </c>
      <c r="G568" s="27">
        <v>0</v>
      </c>
      <c r="H568" s="27">
        <v>0</v>
      </c>
    </row>
    <row r="569" spans="1:14" x14ac:dyDescent="0.25">
      <c r="E569" s="27" t="s">
        <v>20</v>
      </c>
      <c r="F569" s="27">
        <v>0</v>
      </c>
      <c r="G569" s="27">
        <v>0</v>
      </c>
      <c r="H569" s="27">
        <v>0</v>
      </c>
    </row>
    <row r="570" spans="1:14" x14ac:dyDescent="0.25">
      <c r="E570" s="27" t="s">
        <v>24</v>
      </c>
      <c r="F570" s="27" t="s">
        <v>28</v>
      </c>
      <c r="G570" s="27" t="s">
        <v>28</v>
      </c>
      <c r="H570" s="27" t="s">
        <v>21</v>
      </c>
    </row>
    <row r="571" spans="1:14" x14ac:dyDescent="0.25">
      <c r="A571" s="27" t="s">
        <v>47</v>
      </c>
      <c r="B571" s="27" t="s">
        <v>159</v>
      </c>
      <c r="C571" s="27">
        <v>40</v>
      </c>
      <c r="D571" s="27">
        <v>65</v>
      </c>
      <c r="E571" s="27" t="s">
        <v>20</v>
      </c>
      <c r="F571" s="27" t="s">
        <v>27</v>
      </c>
      <c r="G571" s="27" t="s">
        <v>21</v>
      </c>
      <c r="H571" s="27" t="s">
        <v>27</v>
      </c>
      <c r="I571" s="27" t="s">
        <v>22</v>
      </c>
      <c r="J571" s="27" t="s">
        <v>104</v>
      </c>
      <c r="K571" s="27" t="s">
        <v>104</v>
      </c>
      <c r="L571" s="27" t="s">
        <v>104</v>
      </c>
      <c r="M571" s="27">
        <v>830</v>
      </c>
      <c r="N571" s="27">
        <v>50</v>
      </c>
    </row>
    <row r="572" spans="1:14" x14ac:dyDescent="0.25">
      <c r="E572" s="27" t="s">
        <v>24</v>
      </c>
      <c r="F572" s="27">
        <v>0</v>
      </c>
      <c r="G572" s="27">
        <v>0</v>
      </c>
      <c r="H572" s="27">
        <v>0</v>
      </c>
    </row>
    <row r="573" spans="1:14" x14ac:dyDescent="0.25">
      <c r="E573" s="27" t="s">
        <v>20</v>
      </c>
      <c r="F573" s="27">
        <v>0</v>
      </c>
      <c r="G573" s="27">
        <v>0</v>
      </c>
      <c r="H573" s="27">
        <v>0</v>
      </c>
    </row>
    <row r="574" spans="1:14" x14ac:dyDescent="0.25">
      <c r="E574" s="27" t="s">
        <v>24</v>
      </c>
      <c r="F574" s="27" t="s">
        <v>21</v>
      </c>
      <c r="G574" s="27" t="s">
        <v>28</v>
      </c>
      <c r="H574" s="27" t="s">
        <v>21</v>
      </c>
    </row>
    <row r="575" spans="1:14" x14ac:dyDescent="0.25">
      <c r="A575" s="27" t="s">
        <v>47</v>
      </c>
      <c r="B575" s="27" t="s">
        <v>133</v>
      </c>
      <c r="C575" s="27">
        <v>40</v>
      </c>
      <c r="D575" s="27">
        <v>65</v>
      </c>
      <c r="E575" s="27" t="s">
        <v>20</v>
      </c>
      <c r="F575" s="27" t="s">
        <v>27</v>
      </c>
      <c r="G575" s="27" t="s">
        <v>21</v>
      </c>
      <c r="H575" s="27" t="s">
        <v>27</v>
      </c>
      <c r="I575" s="27" t="s">
        <v>22</v>
      </c>
      <c r="J575" s="27" t="s">
        <v>104</v>
      </c>
      <c r="K575" s="27" t="s">
        <v>104</v>
      </c>
      <c r="L575" s="27" t="s">
        <v>104</v>
      </c>
      <c r="M575" s="27">
        <v>830</v>
      </c>
      <c r="N575" s="27">
        <v>50</v>
      </c>
    </row>
    <row r="576" spans="1:14" x14ac:dyDescent="0.25">
      <c r="E576" s="27" t="s">
        <v>24</v>
      </c>
      <c r="F576" s="27">
        <v>0</v>
      </c>
      <c r="G576" s="27">
        <v>0</v>
      </c>
      <c r="H576" s="27">
        <v>0</v>
      </c>
    </row>
    <row r="577" spans="1:14" x14ac:dyDescent="0.25">
      <c r="E577" s="27" t="s">
        <v>20</v>
      </c>
      <c r="F577" s="27">
        <v>0</v>
      </c>
      <c r="G577" s="27">
        <v>0</v>
      </c>
      <c r="H577" s="27">
        <v>0</v>
      </c>
    </row>
    <row r="578" spans="1:14" x14ac:dyDescent="0.25">
      <c r="E578" s="27" t="s">
        <v>24</v>
      </c>
      <c r="F578" s="27" t="s">
        <v>21</v>
      </c>
      <c r="G578" s="27" t="s">
        <v>28</v>
      </c>
      <c r="H578" s="27" t="s">
        <v>21</v>
      </c>
    </row>
    <row r="579" spans="1:14" x14ac:dyDescent="0.25">
      <c r="A579" s="27" t="s">
        <v>47</v>
      </c>
      <c r="B579" s="27" t="s">
        <v>134</v>
      </c>
      <c r="C579" s="27">
        <v>40</v>
      </c>
      <c r="D579" s="27">
        <v>65</v>
      </c>
      <c r="E579" s="27" t="s">
        <v>20</v>
      </c>
      <c r="F579" s="27" t="s">
        <v>27</v>
      </c>
      <c r="G579" s="27" t="s">
        <v>21</v>
      </c>
      <c r="H579" s="27" t="s">
        <v>27</v>
      </c>
      <c r="I579" s="27" t="s">
        <v>22</v>
      </c>
      <c r="J579" s="27" t="s">
        <v>104</v>
      </c>
      <c r="K579" s="27" t="s">
        <v>104</v>
      </c>
      <c r="L579" s="27" t="s">
        <v>104</v>
      </c>
      <c r="M579" s="27">
        <v>830</v>
      </c>
      <c r="N579" s="27">
        <v>50</v>
      </c>
    </row>
    <row r="580" spans="1:14" x14ac:dyDescent="0.25">
      <c r="E580" s="27" t="s">
        <v>24</v>
      </c>
      <c r="F580" s="27">
        <v>0</v>
      </c>
      <c r="G580" s="27">
        <v>0</v>
      </c>
      <c r="H580" s="27">
        <v>0</v>
      </c>
    </row>
    <row r="581" spans="1:14" x14ac:dyDescent="0.25">
      <c r="E581" s="27" t="s">
        <v>20</v>
      </c>
      <c r="F581" s="27">
        <v>0</v>
      </c>
      <c r="G581" s="27">
        <v>0</v>
      </c>
      <c r="H581" s="27">
        <v>0</v>
      </c>
    </row>
    <row r="582" spans="1:14" x14ac:dyDescent="0.25">
      <c r="E582" s="27" t="s">
        <v>24</v>
      </c>
      <c r="F582" s="27" t="s">
        <v>21</v>
      </c>
      <c r="G582" s="27" t="s">
        <v>28</v>
      </c>
      <c r="H582" s="27" t="s">
        <v>21</v>
      </c>
    </row>
    <row r="583" spans="1:14" x14ac:dyDescent="0.25">
      <c r="A583" s="27" t="s">
        <v>47</v>
      </c>
      <c r="B583" s="27" t="s">
        <v>135</v>
      </c>
      <c r="C583" s="27">
        <v>40</v>
      </c>
      <c r="D583" s="27">
        <v>65</v>
      </c>
      <c r="E583" s="27" t="s">
        <v>20</v>
      </c>
      <c r="F583" s="27" t="s">
        <v>27</v>
      </c>
      <c r="G583" s="27" t="s">
        <v>21</v>
      </c>
      <c r="H583" s="27" t="s">
        <v>21</v>
      </c>
      <c r="I583" s="27" t="s">
        <v>22</v>
      </c>
      <c r="J583" s="27" t="s">
        <v>104</v>
      </c>
      <c r="K583" s="27" t="s">
        <v>104</v>
      </c>
      <c r="L583" s="27" t="s">
        <v>104</v>
      </c>
      <c r="M583" s="27">
        <v>830</v>
      </c>
      <c r="N583" s="27">
        <v>50</v>
      </c>
    </row>
    <row r="584" spans="1:14" x14ac:dyDescent="0.25">
      <c r="E584" s="27" t="s">
        <v>24</v>
      </c>
      <c r="F584" s="27">
        <v>0</v>
      </c>
      <c r="G584" s="27">
        <v>0</v>
      </c>
      <c r="H584" s="27">
        <v>0</v>
      </c>
    </row>
    <row r="585" spans="1:14" x14ac:dyDescent="0.25">
      <c r="E585" s="27" t="s">
        <v>20</v>
      </c>
      <c r="F585" s="27">
        <v>0</v>
      </c>
      <c r="G585" s="27">
        <v>0</v>
      </c>
      <c r="H585" s="27">
        <v>0</v>
      </c>
    </row>
    <row r="586" spans="1:14" x14ac:dyDescent="0.25">
      <c r="E586" s="27" t="s">
        <v>24</v>
      </c>
      <c r="F586" s="27" t="s">
        <v>21</v>
      </c>
      <c r="G586" s="27" t="s">
        <v>28</v>
      </c>
      <c r="H586" s="27" t="s">
        <v>21</v>
      </c>
    </row>
    <row r="587" spans="1:14" ht="15.6" customHeight="1" x14ac:dyDescent="0.25">
      <c r="A587" s="27" t="s">
        <v>47</v>
      </c>
      <c r="B587" s="27" t="s">
        <v>160</v>
      </c>
      <c r="C587" s="27">
        <v>40</v>
      </c>
      <c r="D587" s="27">
        <v>65</v>
      </c>
      <c r="E587" s="27" t="s">
        <v>20</v>
      </c>
      <c r="F587" s="27" t="s">
        <v>21</v>
      </c>
      <c r="G587" s="27" t="s">
        <v>21</v>
      </c>
      <c r="H587" s="27" t="s">
        <v>26</v>
      </c>
      <c r="I587" s="27" t="s">
        <v>22</v>
      </c>
      <c r="J587" s="27" t="s">
        <v>104</v>
      </c>
      <c r="K587" s="27" t="s">
        <v>104</v>
      </c>
      <c r="L587" s="27" t="s">
        <v>104</v>
      </c>
      <c r="M587" s="27">
        <v>575</v>
      </c>
      <c r="N587" s="27">
        <v>50</v>
      </c>
    </row>
    <row r="588" spans="1:14" x14ac:dyDescent="0.25">
      <c r="E588" s="27" t="s">
        <v>24</v>
      </c>
      <c r="F588" s="27">
        <v>0</v>
      </c>
      <c r="G588" s="27">
        <v>0</v>
      </c>
      <c r="H588" s="27">
        <v>0</v>
      </c>
    </row>
    <row r="589" spans="1:14" x14ac:dyDescent="0.25">
      <c r="E589" s="27" t="s">
        <v>20</v>
      </c>
      <c r="F589" s="27">
        <v>0</v>
      </c>
      <c r="G589" s="27">
        <v>0</v>
      </c>
      <c r="H589" s="27">
        <v>0</v>
      </c>
    </row>
    <row r="590" spans="1:14" x14ac:dyDescent="0.25">
      <c r="E590" s="27" t="s">
        <v>24</v>
      </c>
      <c r="F590" s="27" t="s">
        <v>21</v>
      </c>
      <c r="G590" s="27" t="s">
        <v>28</v>
      </c>
      <c r="H590" s="27" t="s">
        <v>21</v>
      </c>
    </row>
    <row r="591" spans="1:14" ht="15.6" customHeight="1" x14ac:dyDescent="0.25">
      <c r="A591" s="27" t="s">
        <v>47</v>
      </c>
      <c r="B591" s="27" t="s">
        <v>161</v>
      </c>
      <c r="C591" s="27">
        <v>40</v>
      </c>
      <c r="D591" s="27">
        <v>65</v>
      </c>
      <c r="E591" s="27" t="s">
        <v>20</v>
      </c>
      <c r="F591" s="27" t="s">
        <v>25</v>
      </c>
      <c r="G591" s="27" t="s">
        <v>21</v>
      </c>
      <c r="H591" s="27" t="s">
        <v>26</v>
      </c>
      <c r="I591" s="27" t="s">
        <v>22</v>
      </c>
      <c r="J591" s="27" t="s">
        <v>130</v>
      </c>
      <c r="K591" s="27" t="s">
        <v>130</v>
      </c>
      <c r="L591" s="27" t="s">
        <v>130</v>
      </c>
      <c r="M591" s="27">
        <v>990</v>
      </c>
      <c r="N591" s="27">
        <v>50</v>
      </c>
    </row>
    <row r="592" spans="1:14" x14ac:dyDescent="0.25">
      <c r="E592" s="27" t="s">
        <v>24</v>
      </c>
      <c r="F592" s="27" t="s">
        <v>26</v>
      </c>
      <c r="G592" s="27">
        <v>0</v>
      </c>
      <c r="H592" s="27">
        <v>0</v>
      </c>
    </row>
    <row r="593" spans="1:14" x14ac:dyDescent="0.25">
      <c r="E593" s="27" t="s">
        <v>20</v>
      </c>
      <c r="F593" s="27">
        <v>0</v>
      </c>
      <c r="G593" s="27">
        <v>0</v>
      </c>
      <c r="H593" s="27">
        <v>0</v>
      </c>
    </row>
    <row r="594" spans="1:14" x14ac:dyDescent="0.25">
      <c r="E594" s="27" t="s">
        <v>24</v>
      </c>
      <c r="F594" s="27" t="s">
        <v>27</v>
      </c>
      <c r="G594" s="27" t="s">
        <v>27</v>
      </c>
      <c r="H594" s="27" t="s">
        <v>27</v>
      </c>
    </row>
    <row r="595" spans="1:14" ht="15.6" customHeight="1" x14ac:dyDescent="0.25">
      <c r="A595" s="27" t="s">
        <v>47</v>
      </c>
      <c r="B595" s="27" t="s">
        <v>112</v>
      </c>
      <c r="C595" s="27">
        <v>40</v>
      </c>
      <c r="D595" s="27">
        <v>65</v>
      </c>
      <c r="E595" s="27" t="s">
        <v>20</v>
      </c>
      <c r="F595" s="27" t="s">
        <v>25</v>
      </c>
      <c r="G595" s="27" t="s">
        <v>21</v>
      </c>
      <c r="H595" s="27" t="s">
        <v>26</v>
      </c>
      <c r="I595" s="27" t="s">
        <v>22</v>
      </c>
      <c r="J595" s="27" t="s">
        <v>104</v>
      </c>
      <c r="K595" s="27" t="s">
        <v>104</v>
      </c>
      <c r="L595" s="27" t="s">
        <v>104</v>
      </c>
      <c r="M595" s="27">
        <v>990</v>
      </c>
      <c r="N595" s="27">
        <v>50</v>
      </c>
    </row>
    <row r="596" spans="1:14" x14ac:dyDescent="0.25">
      <c r="E596" s="27" t="s">
        <v>24</v>
      </c>
      <c r="F596" s="27" t="s">
        <v>26</v>
      </c>
      <c r="G596" s="27">
        <v>0</v>
      </c>
      <c r="H596" s="27">
        <v>0</v>
      </c>
    </row>
    <row r="597" spans="1:14" x14ac:dyDescent="0.25">
      <c r="E597" s="27" t="s">
        <v>20</v>
      </c>
      <c r="F597" s="27">
        <v>0</v>
      </c>
      <c r="G597" s="27">
        <v>0</v>
      </c>
      <c r="H597" s="27">
        <v>0</v>
      </c>
    </row>
    <row r="598" spans="1:14" x14ac:dyDescent="0.25">
      <c r="E598" s="27" t="s">
        <v>24</v>
      </c>
      <c r="F598" s="27" t="s">
        <v>27</v>
      </c>
      <c r="G598" s="27" t="s">
        <v>27</v>
      </c>
      <c r="H598" s="27" t="s">
        <v>27</v>
      </c>
    </row>
    <row r="599" spans="1:14" ht="15.6" customHeight="1" x14ac:dyDescent="0.25">
      <c r="A599" s="27" t="s">
        <v>47</v>
      </c>
      <c r="B599" s="27" t="s">
        <v>121</v>
      </c>
      <c r="C599" s="27">
        <v>40</v>
      </c>
      <c r="D599" s="27">
        <v>65</v>
      </c>
      <c r="E599" s="27" t="s">
        <v>20</v>
      </c>
      <c r="F599" s="27" t="s">
        <v>25</v>
      </c>
      <c r="G599" s="27" t="s">
        <v>21</v>
      </c>
      <c r="H599" s="27" t="s">
        <v>26</v>
      </c>
      <c r="I599" s="27" t="s">
        <v>22</v>
      </c>
      <c r="J599" s="27" t="s">
        <v>104</v>
      </c>
      <c r="K599" s="27" t="s">
        <v>104</v>
      </c>
      <c r="L599" s="27" t="s">
        <v>104</v>
      </c>
      <c r="M599" s="27">
        <v>990</v>
      </c>
      <c r="N599" s="27">
        <v>50</v>
      </c>
    </row>
    <row r="600" spans="1:14" x14ac:dyDescent="0.25">
      <c r="E600" s="27" t="s">
        <v>24</v>
      </c>
      <c r="F600" s="27" t="s">
        <v>26</v>
      </c>
      <c r="G600" s="27">
        <v>0</v>
      </c>
      <c r="H600" s="27">
        <v>0</v>
      </c>
    </row>
    <row r="601" spans="1:14" x14ac:dyDescent="0.25">
      <c r="E601" s="27" t="s">
        <v>20</v>
      </c>
      <c r="F601" s="27">
        <v>0</v>
      </c>
      <c r="G601" s="27">
        <v>0</v>
      </c>
      <c r="H601" s="27">
        <v>0</v>
      </c>
    </row>
    <row r="602" spans="1:14" x14ac:dyDescent="0.25">
      <c r="E602" s="27" t="s">
        <v>24</v>
      </c>
      <c r="F602" s="27" t="s">
        <v>21</v>
      </c>
      <c r="G602" s="27" t="s">
        <v>27</v>
      </c>
      <c r="H602" s="27" t="s">
        <v>27</v>
      </c>
    </row>
    <row r="603" spans="1:14" ht="15.6" customHeight="1" x14ac:dyDescent="0.25">
      <c r="A603" s="27" t="s">
        <v>47</v>
      </c>
      <c r="B603" s="27" t="s">
        <v>112</v>
      </c>
      <c r="C603" s="27">
        <v>40</v>
      </c>
      <c r="D603" s="27">
        <v>65</v>
      </c>
      <c r="E603" s="27" t="s">
        <v>20</v>
      </c>
      <c r="F603" s="27" t="s">
        <v>25</v>
      </c>
      <c r="G603" s="27" t="s">
        <v>21</v>
      </c>
      <c r="H603" s="27" t="s">
        <v>26</v>
      </c>
      <c r="I603" s="27" t="s">
        <v>22</v>
      </c>
      <c r="J603" s="27" t="s">
        <v>104</v>
      </c>
      <c r="K603" s="27" t="s">
        <v>104</v>
      </c>
      <c r="L603" s="27" t="s">
        <v>104</v>
      </c>
      <c r="M603" s="27">
        <v>990</v>
      </c>
      <c r="N603" s="27">
        <v>50</v>
      </c>
    </row>
    <row r="604" spans="1:14" x14ac:dyDescent="0.25">
      <c r="E604" s="27" t="s">
        <v>24</v>
      </c>
      <c r="F604" s="27" t="s">
        <v>26</v>
      </c>
      <c r="G604" s="27">
        <v>0</v>
      </c>
      <c r="H604" s="27">
        <v>0</v>
      </c>
    </row>
    <row r="605" spans="1:14" x14ac:dyDescent="0.25">
      <c r="E605" s="27" t="s">
        <v>20</v>
      </c>
      <c r="F605" s="27">
        <v>0</v>
      </c>
      <c r="G605" s="27">
        <v>0</v>
      </c>
      <c r="H605" s="27">
        <v>0</v>
      </c>
    </row>
    <row r="606" spans="1:14" x14ac:dyDescent="0.25">
      <c r="E606" s="27" t="s">
        <v>24</v>
      </c>
      <c r="F606" s="27" t="s">
        <v>27</v>
      </c>
      <c r="G606" s="27" t="s">
        <v>27</v>
      </c>
      <c r="H606" s="27" t="s">
        <v>27</v>
      </c>
    </row>
    <row r="607" spans="1:14" ht="15.6" customHeight="1" x14ac:dyDescent="0.25">
      <c r="A607" s="27" t="s">
        <v>47</v>
      </c>
      <c r="B607" s="27" t="s">
        <v>112</v>
      </c>
      <c r="C607" s="27">
        <v>40</v>
      </c>
      <c r="D607" s="27">
        <v>65</v>
      </c>
      <c r="E607" s="27" t="s">
        <v>20</v>
      </c>
      <c r="F607" s="27" t="s">
        <v>25</v>
      </c>
      <c r="G607" s="27" t="s">
        <v>21</v>
      </c>
      <c r="H607" s="27" t="s">
        <v>26</v>
      </c>
      <c r="I607" s="27" t="s">
        <v>22</v>
      </c>
      <c r="J607" s="27" t="s">
        <v>104</v>
      </c>
      <c r="K607" s="27" t="s">
        <v>104</v>
      </c>
      <c r="L607" s="27" t="s">
        <v>104</v>
      </c>
      <c r="M607" s="27">
        <v>990</v>
      </c>
      <c r="N607" s="27">
        <v>50</v>
      </c>
    </row>
    <row r="608" spans="1:14" x14ac:dyDescent="0.25">
      <c r="E608" s="27" t="s">
        <v>24</v>
      </c>
      <c r="F608" s="27" t="s">
        <v>26</v>
      </c>
      <c r="G608" s="27">
        <v>0</v>
      </c>
      <c r="H608" s="27">
        <v>0</v>
      </c>
    </row>
    <row r="609" spans="1:14" x14ac:dyDescent="0.25">
      <c r="E609" s="27" t="s">
        <v>20</v>
      </c>
      <c r="F609" s="27">
        <v>0</v>
      </c>
      <c r="G609" s="27">
        <v>0</v>
      </c>
      <c r="H609" s="27">
        <v>0</v>
      </c>
    </row>
    <row r="610" spans="1:14" x14ac:dyDescent="0.25">
      <c r="E610" s="27" t="s">
        <v>24</v>
      </c>
      <c r="F610" s="27" t="s">
        <v>27</v>
      </c>
      <c r="G610" s="27" t="s">
        <v>27</v>
      </c>
      <c r="H610" s="27" t="s">
        <v>27</v>
      </c>
    </row>
    <row r="611" spans="1:14" x14ac:dyDescent="0.25">
      <c r="A611" s="27" t="s">
        <v>47</v>
      </c>
      <c r="B611" s="27" t="s">
        <v>162</v>
      </c>
      <c r="C611" s="27">
        <v>40</v>
      </c>
      <c r="D611" s="27">
        <v>65</v>
      </c>
      <c r="E611" s="27" t="s">
        <v>20</v>
      </c>
      <c r="F611" s="27" t="s">
        <v>21</v>
      </c>
      <c r="G611" s="27" t="s">
        <v>21</v>
      </c>
      <c r="H611" s="27" t="s">
        <v>25</v>
      </c>
      <c r="I611" s="27" t="s">
        <v>22</v>
      </c>
      <c r="J611" s="27" t="s">
        <v>104</v>
      </c>
      <c r="K611" s="27" t="s">
        <v>104</v>
      </c>
      <c r="L611" s="27" t="s">
        <v>104</v>
      </c>
      <c r="M611" s="27">
        <v>830</v>
      </c>
      <c r="N611" s="27">
        <v>50</v>
      </c>
    </row>
    <row r="612" spans="1:14" x14ac:dyDescent="0.25">
      <c r="E612" s="27" t="s">
        <v>24</v>
      </c>
      <c r="F612" s="27">
        <v>0</v>
      </c>
      <c r="G612" s="27">
        <v>0</v>
      </c>
      <c r="H612" s="27">
        <v>0</v>
      </c>
    </row>
    <row r="613" spans="1:14" x14ac:dyDescent="0.25">
      <c r="E613" s="27" t="s">
        <v>20</v>
      </c>
      <c r="F613" s="27">
        <v>0</v>
      </c>
      <c r="G613" s="27">
        <v>0</v>
      </c>
      <c r="H613" s="27">
        <v>0</v>
      </c>
    </row>
    <row r="614" spans="1:14" x14ac:dyDescent="0.25">
      <c r="E614" s="27" t="s">
        <v>24</v>
      </c>
      <c r="F614" s="27" t="s">
        <v>28</v>
      </c>
      <c r="G614" s="27" t="s">
        <v>27</v>
      </c>
      <c r="H614" s="27" t="s">
        <v>21</v>
      </c>
    </row>
    <row r="615" spans="1:14" x14ac:dyDescent="0.25">
      <c r="A615" s="27" t="s">
        <v>47</v>
      </c>
      <c r="B615" s="27" t="s">
        <v>163</v>
      </c>
      <c r="C615" s="27">
        <v>40</v>
      </c>
      <c r="D615" s="27">
        <v>65</v>
      </c>
      <c r="E615" s="27" t="s">
        <v>20</v>
      </c>
      <c r="F615" s="27" t="s">
        <v>25</v>
      </c>
      <c r="G615" s="27" t="s">
        <v>21</v>
      </c>
      <c r="H615" s="27" t="s">
        <v>27</v>
      </c>
      <c r="I615" s="27" t="s">
        <v>22</v>
      </c>
      <c r="J615" s="27" t="s">
        <v>104</v>
      </c>
      <c r="K615" s="27" t="s">
        <v>104</v>
      </c>
      <c r="L615" s="27" t="s">
        <v>104</v>
      </c>
      <c r="M615" s="27">
        <v>830</v>
      </c>
      <c r="N615" s="27">
        <v>50</v>
      </c>
    </row>
    <row r="616" spans="1:14" x14ac:dyDescent="0.25">
      <c r="E616" s="27" t="s">
        <v>24</v>
      </c>
      <c r="F616" s="27">
        <v>0</v>
      </c>
      <c r="G616" s="27">
        <v>0</v>
      </c>
      <c r="H616" s="27">
        <v>0</v>
      </c>
    </row>
    <row r="617" spans="1:14" x14ac:dyDescent="0.25">
      <c r="E617" s="27" t="s">
        <v>20</v>
      </c>
      <c r="F617" s="27">
        <v>0</v>
      </c>
      <c r="G617" s="27">
        <v>0</v>
      </c>
      <c r="H617" s="27">
        <v>0</v>
      </c>
    </row>
    <row r="618" spans="1:14" x14ac:dyDescent="0.25">
      <c r="E618" s="27" t="s">
        <v>24</v>
      </c>
      <c r="F618" s="27" t="s">
        <v>21</v>
      </c>
      <c r="G618" s="27" t="s">
        <v>28</v>
      </c>
      <c r="H618" s="27" t="s">
        <v>21</v>
      </c>
    </row>
    <row r="619" spans="1:14" x14ac:dyDescent="0.25">
      <c r="A619" s="27" t="s">
        <v>47</v>
      </c>
      <c r="B619" s="27" t="s">
        <v>164</v>
      </c>
      <c r="C619" s="27">
        <v>40</v>
      </c>
      <c r="D619" s="27">
        <v>65</v>
      </c>
      <c r="E619" s="27" t="s">
        <v>20</v>
      </c>
      <c r="F619" s="27" t="s">
        <v>27</v>
      </c>
      <c r="G619" s="27" t="s">
        <v>21</v>
      </c>
      <c r="H619" s="27" t="s">
        <v>27</v>
      </c>
      <c r="I619" s="27" t="s">
        <v>22</v>
      </c>
      <c r="J619" s="27" t="s">
        <v>104</v>
      </c>
      <c r="K619" s="27" t="s">
        <v>104</v>
      </c>
      <c r="L619" s="27" t="s">
        <v>104</v>
      </c>
      <c r="M619" s="27">
        <v>830</v>
      </c>
      <c r="N619" s="27">
        <v>50</v>
      </c>
    </row>
    <row r="620" spans="1:14" x14ac:dyDescent="0.25">
      <c r="E620" s="27" t="s">
        <v>24</v>
      </c>
      <c r="F620" s="27">
        <v>0</v>
      </c>
      <c r="G620" s="27">
        <v>0</v>
      </c>
      <c r="H620" s="27">
        <v>0</v>
      </c>
    </row>
    <row r="621" spans="1:14" x14ac:dyDescent="0.25">
      <c r="E621" s="27" t="s">
        <v>20</v>
      </c>
      <c r="F621" s="27">
        <v>0</v>
      </c>
      <c r="G621" s="27">
        <v>0</v>
      </c>
      <c r="H621" s="27">
        <v>0</v>
      </c>
    </row>
    <row r="622" spans="1:14" x14ac:dyDescent="0.25">
      <c r="E622" s="27" t="s">
        <v>24</v>
      </c>
      <c r="F622" s="27" t="s">
        <v>21</v>
      </c>
      <c r="G622" s="27" t="s">
        <v>27</v>
      </c>
      <c r="H622" s="27" t="s">
        <v>21</v>
      </c>
    </row>
    <row r="623" spans="1:14" x14ac:dyDescent="0.25">
      <c r="A623" s="27" t="s">
        <v>47</v>
      </c>
      <c r="B623" s="27" t="s">
        <v>165</v>
      </c>
      <c r="C623" s="27">
        <v>40</v>
      </c>
      <c r="D623" s="27">
        <v>65</v>
      </c>
      <c r="E623" s="27" t="s">
        <v>20</v>
      </c>
      <c r="F623" s="27" t="s">
        <v>27</v>
      </c>
      <c r="G623" s="27" t="s">
        <v>21</v>
      </c>
      <c r="H623" s="27" t="s">
        <v>25</v>
      </c>
      <c r="I623" s="27" t="s">
        <v>22</v>
      </c>
      <c r="J623" s="27" t="s">
        <v>104</v>
      </c>
      <c r="K623" s="27" t="s">
        <v>104</v>
      </c>
      <c r="L623" s="27" t="s">
        <v>104</v>
      </c>
      <c r="M623" s="27">
        <v>830</v>
      </c>
      <c r="N623" s="27">
        <v>50</v>
      </c>
    </row>
    <row r="624" spans="1:14" x14ac:dyDescent="0.25">
      <c r="E624" s="27" t="s">
        <v>24</v>
      </c>
      <c r="F624" s="27">
        <v>0</v>
      </c>
      <c r="G624" s="27">
        <v>0</v>
      </c>
      <c r="H624" s="27">
        <v>0</v>
      </c>
    </row>
    <row r="625" spans="1:14" x14ac:dyDescent="0.25">
      <c r="E625" s="27" t="s">
        <v>20</v>
      </c>
      <c r="F625" s="27">
        <v>0</v>
      </c>
      <c r="G625" s="27">
        <v>0</v>
      </c>
      <c r="H625" s="27">
        <v>0</v>
      </c>
    </row>
    <row r="626" spans="1:14" x14ac:dyDescent="0.25">
      <c r="E626" s="27" t="s">
        <v>24</v>
      </c>
      <c r="F626" s="27" t="s">
        <v>21</v>
      </c>
      <c r="G626" s="27" t="s">
        <v>28</v>
      </c>
      <c r="H626" s="27" t="s">
        <v>21</v>
      </c>
    </row>
    <row r="627" spans="1:14" x14ac:dyDescent="0.25">
      <c r="A627" s="27" t="s">
        <v>47</v>
      </c>
      <c r="B627" s="27" t="s">
        <v>166</v>
      </c>
      <c r="C627" s="27">
        <v>40</v>
      </c>
      <c r="D627" s="27">
        <v>65</v>
      </c>
      <c r="E627" s="27" t="s">
        <v>20</v>
      </c>
      <c r="F627" s="27" t="s">
        <v>25</v>
      </c>
      <c r="G627" s="27" t="s">
        <v>21</v>
      </c>
      <c r="H627" s="27" t="s">
        <v>28</v>
      </c>
      <c r="I627" s="27" t="s">
        <v>22</v>
      </c>
      <c r="J627" s="27" t="s">
        <v>104</v>
      </c>
      <c r="K627" s="27" t="s">
        <v>104</v>
      </c>
      <c r="L627" s="27" t="s">
        <v>104</v>
      </c>
      <c r="M627" s="27">
        <v>830</v>
      </c>
      <c r="N627" s="27">
        <v>50</v>
      </c>
    </row>
    <row r="628" spans="1:14" x14ac:dyDescent="0.25">
      <c r="E628" s="27" t="s">
        <v>24</v>
      </c>
      <c r="F628" s="27">
        <v>0</v>
      </c>
      <c r="G628" s="27">
        <v>0</v>
      </c>
      <c r="H628" s="27">
        <v>0</v>
      </c>
    </row>
    <row r="629" spans="1:14" x14ac:dyDescent="0.25">
      <c r="E629" s="27" t="s">
        <v>20</v>
      </c>
      <c r="F629" s="27">
        <v>0</v>
      </c>
      <c r="G629" s="27">
        <v>0</v>
      </c>
      <c r="H629" s="27">
        <v>0</v>
      </c>
    </row>
    <row r="630" spans="1:14" x14ac:dyDescent="0.25">
      <c r="E630" s="27" t="s">
        <v>24</v>
      </c>
      <c r="F630" s="27" t="s">
        <v>21</v>
      </c>
      <c r="G630" s="27" t="s">
        <v>28</v>
      </c>
      <c r="H630" s="27" t="s">
        <v>21</v>
      </c>
    </row>
    <row r="631" spans="1:14" ht="15.6" customHeight="1" x14ac:dyDescent="0.25">
      <c r="A631" s="27" t="s">
        <v>47</v>
      </c>
      <c r="B631" s="27" t="s">
        <v>167</v>
      </c>
      <c r="C631" s="27">
        <v>40</v>
      </c>
      <c r="D631" s="27">
        <v>65</v>
      </c>
      <c r="E631" s="27" t="s">
        <v>20</v>
      </c>
      <c r="F631" s="27" t="s">
        <v>28</v>
      </c>
      <c r="G631" s="27" t="s">
        <v>21</v>
      </c>
      <c r="H631" s="27" t="s">
        <v>26</v>
      </c>
      <c r="I631" s="27" t="s">
        <v>22</v>
      </c>
      <c r="J631" s="27" t="s">
        <v>104</v>
      </c>
      <c r="K631" s="27" t="s">
        <v>104</v>
      </c>
      <c r="L631" s="27" t="s">
        <v>104</v>
      </c>
      <c r="M631" s="27">
        <v>575</v>
      </c>
      <c r="N631" s="27">
        <v>50</v>
      </c>
    </row>
    <row r="632" spans="1:14" x14ac:dyDescent="0.25">
      <c r="E632" s="27" t="s">
        <v>24</v>
      </c>
      <c r="F632" s="27">
        <v>0</v>
      </c>
      <c r="G632" s="27">
        <v>0</v>
      </c>
      <c r="H632" s="27">
        <v>0</v>
      </c>
    </row>
    <row r="633" spans="1:14" x14ac:dyDescent="0.25">
      <c r="E633" s="27" t="s">
        <v>20</v>
      </c>
      <c r="F633" s="27">
        <v>0</v>
      </c>
      <c r="G633" s="27">
        <v>0</v>
      </c>
      <c r="H633" s="27">
        <v>0</v>
      </c>
    </row>
    <row r="634" spans="1:14" x14ac:dyDescent="0.25">
      <c r="E634" s="27" t="s">
        <v>24</v>
      </c>
      <c r="F634" s="27" t="s">
        <v>21</v>
      </c>
      <c r="G634" s="27" t="s">
        <v>21</v>
      </c>
      <c r="H634" s="27" t="s">
        <v>21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C3:X633"/>
  <sheetViews>
    <sheetView topLeftCell="C1" workbookViewId="0">
      <selection activeCell="G5" sqref="G5"/>
    </sheetView>
  </sheetViews>
  <sheetFormatPr defaultColWidth="8.875" defaultRowHeight="15.75" x14ac:dyDescent="0.25"/>
  <cols>
    <col min="1" max="16384" width="8.875" style="6"/>
  </cols>
  <sheetData>
    <row r="3" spans="3:24" x14ac:dyDescent="0.25">
      <c r="C3" s="6" t="s">
        <v>50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</row>
    <row r="5" spans="3:24" x14ac:dyDescent="0.25">
      <c r="C5" s="6" t="s">
        <v>51</v>
      </c>
      <c r="D5" s="6">
        <v>12</v>
      </c>
      <c r="E5" s="6">
        <v>11</v>
      </c>
      <c r="F5" s="6">
        <v>10</v>
      </c>
      <c r="G5" s="6">
        <v>9</v>
      </c>
      <c r="H5" s="6">
        <v>9</v>
      </c>
      <c r="I5" s="6">
        <v>11</v>
      </c>
      <c r="J5" s="6">
        <v>12</v>
      </c>
      <c r="K5" s="6">
        <v>13</v>
      </c>
      <c r="L5" s="6">
        <v>14</v>
      </c>
      <c r="M5" s="6">
        <v>14</v>
      </c>
      <c r="N5" s="6">
        <v>14</v>
      </c>
      <c r="O5" s="6">
        <v>14</v>
      </c>
      <c r="P5" s="6">
        <v>14</v>
      </c>
      <c r="Q5" s="6">
        <v>13</v>
      </c>
      <c r="R5" s="6">
        <v>12</v>
      </c>
      <c r="S5" s="6">
        <v>11</v>
      </c>
      <c r="T5" s="6">
        <v>9</v>
      </c>
      <c r="U5" s="6">
        <v>9</v>
      </c>
      <c r="V5" s="6">
        <v>10</v>
      </c>
      <c r="W5" s="6">
        <v>11</v>
      </c>
      <c r="X5" s="6">
        <v>12</v>
      </c>
    </row>
    <row r="7" spans="3:24" x14ac:dyDescent="0.25">
      <c r="C7" s="6" t="s">
        <v>50</v>
      </c>
      <c r="D7" s="6">
        <v>4</v>
      </c>
      <c r="E7" s="6">
        <v>4</v>
      </c>
      <c r="F7" s="6">
        <v>4</v>
      </c>
      <c r="G7" s="6">
        <v>3</v>
      </c>
      <c r="H7" s="6">
        <v>3</v>
      </c>
      <c r="I7" s="6">
        <v>3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</row>
    <row r="9" spans="3:24" x14ac:dyDescent="0.25">
      <c r="C9" s="6" t="s">
        <v>51</v>
      </c>
      <c r="D9" s="6">
        <v>3</v>
      </c>
      <c r="E9" s="6">
        <v>3</v>
      </c>
      <c r="F9" s="6">
        <v>3</v>
      </c>
      <c r="G9" s="6">
        <v>3</v>
      </c>
      <c r="H9" s="6">
        <v>3</v>
      </c>
      <c r="I9" s="6">
        <v>3</v>
      </c>
      <c r="J9" s="6">
        <v>4</v>
      </c>
      <c r="K9" s="6">
        <v>4</v>
      </c>
      <c r="L9" s="6">
        <v>4</v>
      </c>
      <c r="M9" s="6">
        <v>4</v>
      </c>
      <c r="N9" s="6">
        <v>4</v>
      </c>
      <c r="O9" s="6">
        <v>4</v>
      </c>
      <c r="P9" s="6">
        <v>4</v>
      </c>
      <c r="Q9" s="6">
        <v>4</v>
      </c>
      <c r="R9" s="6">
        <v>4</v>
      </c>
      <c r="S9" s="6">
        <v>3</v>
      </c>
      <c r="T9" s="6">
        <v>3</v>
      </c>
      <c r="U9" s="6">
        <v>3</v>
      </c>
      <c r="V9" s="6">
        <v>4</v>
      </c>
      <c r="W9" s="6">
        <v>4</v>
      </c>
      <c r="X9" s="6">
        <v>4</v>
      </c>
    </row>
    <row r="11" spans="3:24" x14ac:dyDescent="0.25">
      <c r="C11" s="6" t="s">
        <v>50</v>
      </c>
      <c r="D11" s="6">
        <v>4</v>
      </c>
      <c r="E11" s="6">
        <v>4</v>
      </c>
      <c r="F11" s="6">
        <v>4</v>
      </c>
      <c r="G11" s="6">
        <v>3</v>
      </c>
      <c r="H11" s="6">
        <v>3</v>
      </c>
      <c r="I11" s="6">
        <v>3</v>
      </c>
      <c r="J11" s="6">
        <v>2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</row>
    <row r="13" spans="3:24" x14ac:dyDescent="0.25">
      <c r="C13" s="6" t="s">
        <v>51</v>
      </c>
      <c r="D13" s="6">
        <v>3</v>
      </c>
      <c r="E13" s="6">
        <v>3</v>
      </c>
      <c r="F13" s="6">
        <v>3</v>
      </c>
      <c r="G13" s="6">
        <v>3</v>
      </c>
      <c r="H13" s="6">
        <v>3</v>
      </c>
      <c r="I13" s="6">
        <v>3</v>
      </c>
      <c r="J13" s="6">
        <v>4</v>
      </c>
      <c r="K13" s="6">
        <v>4</v>
      </c>
      <c r="L13" s="6">
        <v>4</v>
      </c>
      <c r="M13" s="6">
        <v>4</v>
      </c>
      <c r="N13" s="6">
        <v>4</v>
      </c>
      <c r="O13" s="6">
        <v>4</v>
      </c>
      <c r="P13" s="6">
        <v>4</v>
      </c>
      <c r="Q13" s="6">
        <v>4</v>
      </c>
      <c r="R13" s="6">
        <v>4</v>
      </c>
      <c r="S13" s="6">
        <v>3</v>
      </c>
      <c r="T13" s="6">
        <v>3</v>
      </c>
      <c r="U13" s="6">
        <v>3</v>
      </c>
      <c r="V13" s="6">
        <v>4</v>
      </c>
      <c r="W13" s="6">
        <v>4</v>
      </c>
      <c r="X13" s="6">
        <v>4</v>
      </c>
    </row>
    <row r="15" spans="3:24" x14ac:dyDescent="0.25">
      <c r="C15" s="6" t="s">
        <v>50</v>
      </c>
      <c r="D15" s="6">
        <v>4</v>
      </c>
      <c r="E15" s="6">
        <v>4</v>
      </c>
      <c r="F15" s="6">
        <v>4</v>
      </c>
      <c r="G15" s="6">
        <v>3</v>
      </c>
      <c r="H15" s="6">
        <v>3</v>
      </c>
      <c r="I15" s="6">
        <v>3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3</v>
      </c>
      <c r="U15" s="6">
        <v>3</v>
      </c>
      <c r="V15" s="6">
        <v>4</v>
      </c>
      <c r="W15" s="6">
        <v>4</v>
      </c>
      <c r="X15" s="6">
        <v>4</v>
      </c>
    </row>
    <row r="17" spans="3:24" x14ac:dyDescent="0.25">
      <c r="C17" s="6" t="s">
        <v>51</v>
      </c>
      <c r="D17" s="6">
        <v>3</v>
      </c>
      <c r="E17" s="6">
        <v>3</v>
      </c>
      <c r="F17" s="6">
        <v>3</v>
      </c>
      <c r="G17" s="6">
        <v>3</v>
      </c>
      <c r="H17" s="6">
        <v>2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3</v>
      </c>
      <c r="P17" s="6">
        <v>3</v>
      </c>
      <c r="Q17" s="6">
        <v>3</v>
      </c>
      <c r="R17" s="6">
        <v>3</v>
      </c>
      <c r="S17" s="6">
        <v>3</v>
      </c>
      <c r="T17" s="6">
        <v>2</v>
      </c>
      <c r="U17" s="6">
        <v>3</v>
      </c>
      <c r="V17" s="6">
        <v>3</v>
      </c>
      <c r="W17" s="6">
        <v>3</v>
      </c>
      <c r="X17" s="6">
        <v>3</v>
      </c>
    </row>
    <row r="19" spans="3:24" x14ac:dyDescent="0.25">
      <c r="C19" s="6" t="s">
        <v>50</v>
      </c>
      <c r="D19" s="6">
        <v>4</v>
      </c>
      <c r="E19" s="6">
        <v>4</v>
      </c>
      <c r="F19" s="6">
        <v>4</v>
      </c>
      <c r="G19" s="6">
        <v>3</v>
      </c>
      <c r="H19" s="6">
        <v>3</v>
      </c>
      <c r="I19" s="6">
        <v>3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3</v>
      </c>
      <c r="U19" s="6">
        <v>3</v>
      </c>
      <c r="V19" s="6">
        <v>4</v>
      </c>
      <c r="W19" s="6">
        <v>4</v>
      </c>
      <c r="X19" s="6">
        <v>4</v>
      </c>
    </row>
    <row r="21" spans="3:24" x14ac:dyDescent="0.25">
      <c r="C21" s="6" t="s">
        <v>51</v>
      </c>
      <c r="D21" s="6">
        <v>3</v>
      </c>
      <c r="E21" s="6">
        <v>3</v>
      </c>
      <c r="F21" s="6">
        <v>3</v>
      </c>
      <c r="G21" s="6">
        <v>3</v>
      </c>
      <c r="H21" s="6">
        <v>2</v>
      </c>
      <c r="I21" s="6">
        <v>3</v>
      </c>
      <c r="J21" s="6">
        <v>3</v>
      </c>
      <c r="K21" s="6">
        <v>3</v>
      </c>
      <c r="L21" s="6">
        <v>3</v>
      </c>
      <c r="M21" s="6">
        <v>3</v>
      </c>
      <c r="N21" s="6">
        <v>3</v>
      </c>
      <c r="O21" s="6">
        <v>3</v>
      </c>
      <c r="P21" s="6">
        <v>3</v>
      </c>
      <c r="Q21" s="6">
        <v>3</v>
      </c>
      <c r="R21" s="6">
        <v>3</v>
      </c>
      <c r="S21" s="6">
        <v>3</v>
      </c>
      <c r="T21" s="6">
        <v>2</v>
      </c>
      <c r="U21" s="6">
        <v>3</v>
      </c>
      <c r="V21" s="6">
        <v>3</v>
      </c>
      <c r="W21" s="6">
        <v>3</v>
      </c>
      <c r="X21" s="6">
        <v>3</v>
      </c>
    </row>
    <row r="23" spans="3:24" x14ac:dyDescent="0.25">
      <c r="C23" s="6" t="s">
        <v>50</v>
      </c>
      <c r="D23" s="6">
        <v>4</v>
      </c>
      <c r="E23" s="6">
        <v>4</v>
      </c>
      <c r="F23" s="6">
        <v>4</v>
      </c>
      <c r="G23" s="6">
        <v>3</v>
      </c>
      <c r="H23" s="6">
        <v>3</v>
      </c>
      <c r="I23" s="6">
        <v>3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3</v>
      </c>
      <c r="U23" s="6">
        <v>3</v>
      </c>
      <c r="V23" s="6">
        <v>4</v>
      </c>
      <c r="W23" s="6">
        <v>4</v>
      </c>
      <c r="X23" s="6">
        <v>4</v>
      </c>
    </row>
    <row r="25" spans="3:24" x14ac:dyDescent="0.25">
      <c r="C25" s="6" t="s">
        <v>51</v>
      </c>
      <c r="D25" s="6">
        <v>3</v>
      </c>
      <c r="E25" s="6">
        <v>3</v>
      </c>
      <c r="F25" s="6">
        <v>3</v>
      </c>
      <c r="G25" s="6">
        <v>3</v>
      </c>
      <c r="H25" s="6">
        <v>2</v>
      </c>
      <c r="I25" s="6">
        <v>3</v>
      </c>
      <c r="J25" s="6">
        <v>3</v>
      </c>
      <c r="K25" s="6">
        <v>3</v>
      </c>
      <c r="L25" s="6">
        <v>3</v>
      </c>
      <c r="M25" s="6">
        <v>3</v>
      </c>
      <c r="N25" s="6">
        <v>3</v>
      </c>
      <c r="O25" s="6">
        <v>3</v>
      </c>
      <c r="P25" s="6">
        <v>3</v>
      </c>
      <c r="Q25" s="6">
        <v>3</v>
      </c>
      <c r="R25" s="6">
        <v>3</v>
      </c>
      <c r="S25" s="6">
        <v>3</v>
      </c>
      <c r="T25" s="6">
        <v>2</v>
      </c>
      <c r="U25" s="6">
        <v>3</v>
      </c>
      <c r="V25" s="6">
        <v>3</v>
      </c>
      <c r="W25" s="6">
        <v>3</v>
      </c>
      <c r="X25" s="6">
        <v>3</v>
      </c>
    </row>
    <row r="27" spans="3:24" x14ac:dyDescent="0.25">
      <c r="C27" s="6" t="s">
        <v>50</v>
      </c>
      <c r="D27" s="6">
        <v>4</v>
      </c>
      <c r="E27" s="6">
        <v>4</v>
      </c>
      <c r="F27" s="6">
        <v>4</v>
      </c>
      <c r="G27" s="6">
        <v>3</v>
      </c>
      <c r="H27" s="6">
        <v>3</v>
      </c>
      <c r="I27" s="6">
        <v>3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2</v>
      </c>
      <c r="Q27" s="6">
        <v>2</v>
      </c>
      <c r="R27" s="6">
        <v>2</v>
      </c>
      <c r="S27" s="6">
        <v>2</v>
      </c>
      <c r="T27" s="6">
        <v>3</v>
      </c>
      <c r="U27" s="6">
        <v>3</v>
      </c>
      <c r="V27" s="6">
        <v>4</v>
      </c>
      <c r="W27" s="6">
        <v>4</v>
      </c>
      <c r="X27" s="6">
        <v>4</v>
      </c>
    </row>
    <row r="29" spans="3:24" x14ac:dyDescent="0.25">
      <c r="C29" s="6" t="s">
        <v>51</v>
      </c>
      <c r="D29" s="6">
        <v>3</v>
      </c>
      <c r="E29" s="6">
        <v>3</v>
      </c>
      <c r="F29" s="6">
        <v>3</v>
      </c>
      <c r="G29" s="6">
        <v>3</v>
      </c>
      <c r="H29" s="6">
        <v>2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3</v>
      </c>
      <c r="O29" s="6">
        <v>3</v>
      </c>
      <c r="P29" s="6">
        <v>3</v>
      </c>
      <c r="Q29" s="6">
        <v>3</v>
      </c>
      <c r="R29" s="6">
        <v>3</v>
      </c>
      <c r="S29" s="6">
        <v>3</v>
      </c>
      <c r="T29" s="6">
        <v>2</v>
      </c>
      <c r="U29" s="6">
        <v>3</v>
      </c>
      <c r="V29" s="6">
        <v>3</v>
      </c>
      <c r="W29" s="6">
        <v>3</v>
      </c>
      <c r="X29" s="6">
        <v>3</v>
      </c>
    </row>
    <row r="31" spans="3:24" x14ac:dyDescent="0.25">
      <c r="C31" s="6" t="s">
        <v>50</v>
      </c>
      <c r="D31" s="6">
        <v>4</v>
      </c>
      <c r="E31" s="6">
        <v>4</v>
      </c>
      <c r="F31" s="6">
        <v>4</v>
      </c>
      <c r="G31" s="6">
        <v>3</v>
      </c>
      <c r="H31" s="6">
        <v>3</v>
      </c>
      <c r="I31" s="6">
        <v>3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2</v>
      </c>
      <c r="S31" s="6">
        <v>2</v>
      </c>
      <c r="T31" s="6">
        <v>3</v>
      </c>
      <c r="U31" s="6">
        <v>3</v>
      </c>
      <c r="V31" s="6">
        <v>4</v>
      </c>
      <c r="W31" s="6">
        <v>4</v>
      </c>
      <c r="X31" s="6">
        <v>4</v>
      </c>
    </row>
    <row r="33" spans="3:24" x14ac:dyDescent="0.25">
      <c r="C33" s="6" t="s">
        <v>51</v>
      </c>
      <c r="D33" s="6">
        <v>3</v>
      </c>
      <c r="E33" s="6">
        <v>3</v>
      </c>
      <c r="F33" s="6">
        <v>3</v>
      </c>
      <c r="G33" s="6">
        <v>3</v>
      </c>
      <c r="H33" s="6">
        <v>2</v>
      </c>
      <c r="I33" s="6">
        <v>3</v>
      </c>
      <c r="J33" s="6">
        <v>3</v>
      </c>
      <c r="K33" s="6">
        <v>3</v>
      </c>
      <c r="L33" s="6">
        <v>3</v>
      </c>
      <c r="M33" s="6">
        <v>3</v>
      </c>
      <c r="N33" s="6">
        <v>3</v>
      </c>
      <c r="O33" s="6">
        <v>3</v>
      </c>
      <c r="P33" s="6">
        <v>3</v>
      </c>
      <c r="Q33" s="6">
        <v>3</v>
      </c>
      <c r="R33" s="6">
        <v>3</v>
      </c>
      <c r="S33" s="6">
        <v>3</v>
      </c>
      <c r="T33" s="6">
        <v>2</v>
      </c>
      <c r="U33" s="6">
        <v>3</v>
      </c>
      <c r="V33" s="6">
        <v>3</v>
      </c>
      <c r="W33" s="6">
        <v>3</v>
      </c>
      <c r="X33" s="6">
        <v>3</v>
      </c>
    </row>
    <row r="35" spans="3:24" x14ac:dyDescent="0.25">
      <c r="C35" s="6" t="s">
        <v>50</v>
      </c>
      <c r="D35" s="6">
        <v>4</v>
      </c>
      <c r="E35" s="6">
        <v>4</v>
      </c>
      <c r="F35" s="6">
        <v>4</v>
      </c>
      <c r="G35" s="6">
        <v>3</v>
      </c>
      <c r="H35" s="6">
        <v>3</v>
      </c>
      <c r="I35" s="6">
        <v>3</v>
      </c>
      <c r="J35" s="6">
        <v>2</v>
      </c>
      <c r="K35" s="6">
        <v>2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3</v>
      </c>
      <c r="U35" s="6">
        <v>3</v>
      </c>
      <c r="V35" s="6">
        <v>4</v>
      </c>
      <c r="W35" s="6">
        <v>4</v>
      </c>
      <c r="X35" s="6">
        <v>4</v>
      </c>
    </row>
    <row r="37" spans="3:24" x14ac:dyDescent="0.25">
      <c r="C37" s="6" t="s">
        <v>51</v>
      </c>
      <c r="D37" s="6">
        <v>3</v>
      </c>
      <c r="E37" s="6">
        <v>3</v>
      </c>
      <c r="F37" s="6">
        <v>3</v>
      </c>
      <c r="G37" s="6">
        <v>3</v>
      </c>
      <c r="H37" s="6">
        <v>2</v>
      </c>
      <c r="I37" s="6">
        <v>3</v>
      </c>
      <c r="J37" s="6">
        <v>3</v>
      </c>
      <c r="K37" s="6">
        <v>3</v>
      </c>
      <c r="L37" s="6">
        <v>3</v>
      </c>
      <c r="M37" s="6">
        <v>3</v>
      </c>
      <c r="N37" s="6">
        <v>3</v>
      </c>
      <c r="O37" s="6">
        <v>3</v>
      </c>
      <c r="P37" s="6">
        <v>3</v>
      </c>
      <c r="Q37" s="6">
        <v>3</v>
      </c>
      <c r="R37" s="6">
        <v>3</v>
      </c>
      <c r="S37" s="6">
        <v>3</v>
      </c>
      <c r="T37" s="6">
        <v>2</v>
      </c>
      <c r="U37" s="6">
        <v>3</v>
      </c>
      <c r="V37" s="6">
        <v>3</v>
      </c>
      <c r="W37" s="6">
        <v>3</v>
      </c>
      <c r="X37" s="6">
        <v>3</v>
      </c>
    </row>
    <row r="39" spans="3:24" x14ac:dyDescent="0.25">
      <c r="C39" s="6" t="s">
        <v>50</v>
      </c>
      <c r="D39" s="6">
        <v>4</v>
      </c>
      <c r="E39" s="6">
        <v>4</v>
      </c>
      <c r="F39" s="6">
        <v>4</v>
      </c>
      <c r="G39" s="6">
        <v>3</v>
      </c>
      <c r="H39" s="6">
        <v>3</v>
      </c>
      <c r="I39" s="6">
        <v>3</v>
      </c>
      <c r="J39" s="6">
        <v>2</v>
      </c>
      <c r="K39" s="6">
        <v>2</v>
      </c>
      <c r="L39" s="6">
        <v>2</v>
      </c>
      <c r="M39" s="6">
        <v>2</v>
      </c>
      <c r="N39" s="6">
        <v>2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3</v>
      </c>
      <c r="U39" s="6">
        <v>3</v>
      </c>
      <c r="V39" s="6">
        <v>4</v>
      </c>
      <c r="W39" s="6">
        <v>4</v>
      </c>
      <c r="X39" s="6">
        <v>4</v>
      </c>
    </row>
    <row r="41" spans="3:24" x14ac:dyDescent="0.25">
      <c r="C41" s="6" t="s">
        <v>51</v>
      </c>
      <c r="D41" s="6">
        <v>3</v>
      </c>
      <c r="E41" s="6">
        <v>3</v>
      </c>
      <c r="F41" s="6">
        <v>3</v>
      </c>
      <c r="G41" s="6">
        <v>3</v>
      </c>
      <c r="H41" s="6">
        <v>2</v>
      </c>
      <c r="I41" s="6">
        <v>3</v>
      </c>
      <c r="J41" s="6">
        <v>3</v>
      </c>
      <c r="K41" s="6">
        <v>3</v>
      </c>
      <c r="L41" s="6">
        <v>3</v>
      </c>
      <c r="M41" s="6">
        <v>3</v>
      </c>
      <c r="N41" s="6">
        <v>3</v>
      </c>
      <c r="O41" s="6">
        <v>3</v>
      </c>
      <c r="P41" s="6">
        <v>3</v>
      </c>
      <c r="Q41" s="6">
        <v>3</v>
      </c>
      <c r="R41" s="6">
        <v>3</v>
      </c>
      <c r="S41" s="6">
        <v>3</v>
      </c>
      <c r="T41" s="6">
        <v>2</v>
      </c>
      <c r="U41" s="6">
        <v>3</v>
      </c>
      <c r="V41" s="6">
        <v>3</v>
      </c>
      <c r="W41" s="6">
        <v>3</v>
      </c>
      <c r="X41" s="6">
        <v>3</v>
      </c>
    </row>
    <row r="43" spans="3:24" x14ac:dyDescent="0.25">
      <c r="C43" s="6" t="s">
        <v>50</v>
      </c>
      <c r="D43" s="6">
        <v>4</v>
      </c>
      <c r="E43" s="6">
        <v>4</v>
      </c>
      <c r="F43" s="6">
        <v>4</v>
      </c>
      <c r="G43" s="6">
        <v>3</v>
      </c>
      <c r="H43" s="6">
        <v>3</v>
      </c>
      <c r="I43" s="6">
        <v>3</v>
      </c>
      <c r="J43" s="6">
        <v>2</v>
      </c>
      <c r="K43" s="6">
        <v>2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3</v>
      </c>
      <c r="U43" s="6">
        <v>3</v>
      </c>
      <c r="V43" s="6">
        <v>4</v>
      </c>
      <c r="W43" s="6">
        <v>4</v>
      </c>
      <c r="X43" s="6">
        <v>4</v>
      </c>
    </row>
    <row r="45" spans="3:24" x14ac:dyDescent="0.25">
      <c r="C45" s="6" t="s">
        <v>51</v>
      </c>
      <c r="D45" s="6">
        <v>3</v>
      </c>
      <c r="E45" s="6">
        <v>3</v>
      </c>
      <c r="F45" s="6">
        <v>3</v>
      </c>
      <c r="G45" s="6">
        <v>3</v>
      </c>
      <c r="H45" s="6">
        <v>2</v>
      </c>
      <c r="I45" s="6">
        <v>3</v>
      </c>
      <c r="J45" s="6">
        <v>3</v>
      </c>
      <c r="K45" s="6">
        <v>3</v>
      </c>
      <c r="L45" s="6">
        <v>3</v>
      </c>
      <c r="M45" s="6">
        <v>3</v>
      </c>
      <c r="N45" s="6">
        <v>3</v>
      </c>
      <c r="O45" s="6">
        <v>3</v>
      </c>
      <c r="P45" s="6">
        <v>3</v>
      </c>
      <c r="Q45" s="6">
        <v>3</v>
      </c>
      <c r="R45" s="6">
        <v>3</v>
      </c>
      <c r="S45" s="6">
        <v>3</v>
      </c>
      <c r="T45" s="6">
        <v>2</v>
      </c>
      <c r="U45" s="6">
        <v>3</v>
      </c>
      <c r="V45" s="6">
        <v>3</v>
      </c>
      <c r="W45" s="6">
        <v>3</v>
      </c>
      <c r="X45" s="6">
        <v>3</v>
      </c>
    </row>
    <row r="47" spans="3:24" x14ac:dyDescent="0.25">
      <c r="C47" s="6" t="s">
        <v>50</v>
      </c>
      <c r="D47" s="6">
        <v>2</v>
      </c>
      <c r="E47" s="6">
        <v>2</v>
      </c>
      <c r="F47" s="6">
        <v>2</v>
      </c>
      <c r="G47" s="6">
        <v>2</v>
      </c>
      <c r="H47" s="6">
        <v>2</v>
      </c>
      <c r="I47" s="6">
        <v>2</v>
      </c>
      <c r="J47" s="6">
        <v>2</v>
      </c>
      <c r="K47" s="6">
        <v>2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2</v>
      </c>
      <c r="S47" s="6">
        <v>2</v>
      </c>
      <c r="T47" s="6">
        <v>3</v>
      </c>
      <c r="U47" s="6">
        <v>3</v>
      </c>
      <c r="V47" s="6">
        <v>4</v>
      </c>
      <c r="W47" s="6">
        <v>4</v>
      </c>
      <c r="X47" s="6">
        <v>4</v>
      </c>
    </row>
    <row r="49" spans="3:24" x14ac:dyDescent="0.25">
      <c r="C49" s="6" t="s">
        <v>51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4</v>
      </c>
      <c r="K49" s="6">
        <v>4</v>
      </c>
      <c r="L49" s="6">
        <v>4</v>
      </c>
      <c r="M49" s="6">
        <v>4</v>
      </c>
      <c r="N49" s="6">
        <v>4</v>
      </c>
      <c r="O49" s="6">
        <v>4</v>
      </c>
      <c r="P49" s="6">
        <v>4</v>
      </c>
      <c r="Q49" s="6">
        <v>4</v>
      </c>
      <c r="R49" s="6">
        <v>4</v>
      </c>
      <c r="S49" s="6">
        <v>3</v>
      </c>
      <c r="T49" s="6">
        <v>3</v>
      </c>
      <c r="U49" s="6">
        <v>3</v>
      </c>
      <c r="V49" s="6">
        <v>3</v>
      </c>
      <c r="W49" s="6">
        <v>3</v>
      </c>
      <c r="X49" s="6">
        <v>3</v>
      </c>
    </row>
    <row r="51" spans="3:24" x14ac:dyDescent="0.25">
      <c r="C51" s="6" t="s">
        <v>50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2</v>
      </c>
      <c r="Q51" s="6">
        <v>2</v>
      </c>
      <c r="R51" s="6">
        <v>2</v>
      </c>
      <c r="S51" s="6">
        <v>2</v>
      </c>
      <c r="T51" s="6">
        <v>3</v>
      </c>
      <c r="U51" s="6">
        <v>3</v>
      </c>
      <c r="V51" s="6">
        <v>4</v>
      </c>
      <c r="W51" s="6">
        <v>4</v>
      </c>
      <c r="X51" s="6">
        <v>4</v>
      </c>
    </row>
    <row r="53" spans="3:24" x14ac:dyDescent="0.25">
      <c r="C53" s="6" t="s">
        <v>51</v>
      </c>
      <c r="D53" s="6">
        <v>3</v>
      </c>
      <c r="E53" s="6">
        <v>3</v>
      </c>
      <c r="F53" s="6">
        <v>3</v>
      </c>
      <c r="G53" s="6">
        <v>3</v>
      </c>
      <c r="H53" s="6">
        <v>3</v>
      </c>
      <c r="I53" s="6">
        <v>3</v>
      </c>
      <c r="J53" s="6">
        <v>4</v>
      </c>
      <c r="K53" s="6">
        <v>4</v>
      </c>
      <c r="L53" s="6">
        <v>4</v>
      </c>
      <c r="M53" s="6">
        <v>4</v>
      </c>
      <c r="N53" s="6">
        <v>4</v>
      </c>
      <c r="O53" s="6">
        <v>4</v>
      </c>
      <c r="P53" s="6">
        <v>4</v>
      </c>
      <c r="Q53" s="6">
        <v>4</v>
      </c>
      <c r="R53" s="6">
        <v>4</v>
      </c>
      <c r="S53" s="6">
        <v>3</v>
      </c>
      <c r="T53" s="6">
        <v>3</v>
      </c>
      <c r="U53" s="6">
        <v>3</v>
      </c>
      <c r="V53" s="6">
        <v>3</v>
      </c>
      <c r="W53" s="6">
        <v>3</v>
      </c>
      <c r="X53" s="6">
        <v>3</v>
      </c>
    </row>
    <row r="55" spans="3:24" x14ac:dyDescent="0.25">
      <c r="C55" s="6" t="s">
        <v>50</v>
      </c>
      <c r="D55" s="6">
        <v>5</v>
      </c>
      <c r="E55" s="6">
        <v>5</v>
      </c>
      <c r="F55" s="6">
        <v>4</v>
      </c>
      <c r="G55" s="6">
        <v>4</v>
      </c>
      <c r="H55" s="6">
        <v>4</v>
      </c>
      <c r="I55" s="6">
        <v>3</v>
      </c>
      <c r="J55" s="6">
        <v>3</v>
      </c>
      <c r="K55" s="6">
        <v>2</v>
      </c>
      <c r="L55" s="6">
        <v>2</v>
      </c>
      <c r="M55" s="6">
        <v>2</v>
      </c>
      <c r="N55" s="6">
        <v>2</v>
      </c>
      <c r="O55" s="6">
        <v>2</v>
      </c>
      <c r="P55" s="6">
        <v>2</v>
      </c>
      <c r="Q55" s="6">
        <v>2</v>
      </c>
      <c r="R55" s="6">
        <v>2</v>
      </c>
      <c r="S55" s="6">
        <v>2</v>
      </c>
      <c r="T55" s="6">
        <v>2</v>
      </c>
      <c r="U55" s="6">
        <v>2</v>
      </c>
      <c r="V55" s="6">
        <v>2</v>
      </c>
      <c r="W55" s="6">
        <v>2</v>
      </c>
      <c r="X55" s="6">
        <v>2</v>
      </c>
    </row>
    <row r="57" spans="3:24" x14ac:dyDescent="0.25">
      <c r="C57" s="6" t="s">
        <v>51</v>
      </c>
      <c r="D57" s="6">
        <v>3</v>
      </c>
      <c r="E57" s="6">
        <v>3</v>
      </c>
      <c r="F57" s="6">
        <v>3</v>
      </c>
      <c r="G57" s="6">
        <v>3</v>
      </c>
      <c r="H57" s="6">
        <v>4</v>
      </c>
      <c r="I57" s="6">
        <v>4</v>
      </c>
      <c r="J57" s="6">
        <v>5</v>
      </c>
      <c r="K57" s="6">
        <v>5</v>
      </c>
      <c r="L57" s="6">
        <v>5</v>
      </c>
      <c r="M57" s="6">
        <v>5</v>
      </c>
      <c r="N57" s="6">
        <v>5</v>
      </c>
      <c r="O57" s="6">
        <v>5</v>
      </c>
      <c r="P57" s="6">
        <v>5</v>
      </c>
      <c r="Q57" s="6">
        <v>5</v>
      </c>
      <c r="R57" s="6">
        <v>5</v>
      </c>
      <c r="S57" s="6">
        <v>4</v>
      </c>
      <c r="T57" s="6">
        <v>4</v>
      </c>
      <c r="U57" s="6">
        <v>3</v>
      </c>
      <c r="V57" s="6">
        <v>4</v>
      </c>
      <c r="W57" s="6">
        <v>4</v>
      </c>
      <c r="X57" s="6">
        <v>4</v>
      </c>
    </row>
    <row r="59" spans="3:24" x14ac:dyDescent="0.25">
      <c r="C59" s="6" t="s">
        <v>50</v>
      </c>
      <c r="D59" s="6">
        <v>5</v>
      </c>
      <c r="E59" s="6">
        <v>5</v>
      </c>
      <c r="F59" s="6">
        <v>4</v>
      </c>
      <c r="G59" s="6">
        <v>4</v>
      </c>
      <c r="H59" s="6">
        <v>4</v>
      </c>
      <c r="I59" s="6">
        <v>3</v>
      </c>
      <c r="J59" s="6">
        <v>3</v>
      </c>
      <c r="K59" s="6">
        <v>2</v>
      </c>
      <c r="L59" s="6">
        <v>2</v>
      </c>
      <c r="M59" s="6">
        <v>2</v>
      </c>
      <c r="N59" s="6">
        <v>2</v>
      </c>
      <c r="O59" s="6">
        <v>2</v>
      </c>
      <c r="P59" s="6">
        <v>2</v>
      </c>
      <c r="Q59" s="6">
        <v>2</v>
      </c>
      <c r="R59" s="6">
        <v>2</v>
      </c>
      <c r="S59" s="6">
        <v>2</v>
      </c>
      <c r="T59" s="6">
        <v>2</v>
      </c>
      <c r="U59" s="6">
        <v>2</v>
      </c>
      <c r="V59" s="6">
        <v>2</v>
      </c>
      <c r="W59" s="6">
        <v>2</v>
      </c>
      <c r="X59" s="6">
        <v>2</v>
      </c>
    </row>
    <row r="61" spans="3:24" x14ac:dyDescent="0.25">
      <c r="C61" s="6" t="s">
        <v>51</v>
      </c>
      <c r="D61" s="6">
        <v>3</v>
      </c>
      <c r="E61" s="6">
        <v>3</v>
      </c>
      <c r="F61" s="6">
        <v>3</v>
      </c>
      <c r="G61" s="6">
        <v>3</v>
      </c>
      <c r="H61" s="6">
        <v>4</v>
      </c>
      <c r="I61" s="6">
        <v>4</v>
      </c>
      <c r="J61" s="6">
        <v>5</v>
      </c>
      <c r="K61" s="6">
        <v>5</v>
      </c>
      <c r="L61" s="6">
        <v>5</v>
      </c>
      <c r="M61" s="6">
        <v>5</v>
      </c>
      <c r="N61" s="6">
        <v>5</v>
      </c>
      <c r="O61" s="6">
        <v>5</v>
      </c>
      <c r="P61" s="6">
        <v>5</v>
      </c>
      <c r="Q61" s="6">
        <v>5</v>
      </c>
      <c r="R61" s="6">
        <v>5</v>
      </c>
      <c r="S61" s="6">
        <v>4</v>
      </c>
      <c r="T61" s="6">
        <v>4</v>
      </c>
      <c r="U61" s="6">
        <v>3</v>
      </c>
      <c r="V61" s="6">
        <v>4</v>
      </c>
      <c r="W61" s="6">
        <v>4</v>
      </c>
      <c r="X61" s="6">
        <v>4</v>
      </c>
    </row>
    <row r="63" spans="3:24" x14ac:dyDescent="0.25">
      <c r="C63" s="6" t="s">
        <v>50</v>
      </c>
      <c r="D63" s="6">
        <v>4</v>
      </c>
      <c r="E63" s="6">
        <v>4</v>
      </c>
      <c r="F63" s="6">
        <v>4</v>
      </c>
      <c r="G63" s="6">
        <v>3</v>
      </c>
      <c r="H63" s="6">
        <v>3</v>
      </c>
      <c r="I63" s="6">
        <v>3</v>
      </c>
      <c r="J63" s="6">
        <v>2</v>
      </c>
      <c r="K63" s="6">
        <v>2</v>
      </c>
      <c r="L63" s="6">
        <v>2</v>
      </c>
      <c r="M63" s="6">
        <v>2</v>
      </c>
      <c r="N63" s="6">
        <v>2</v>
      </c>
      <c r="O63" s="6">
        <v>2</v>
      </c>
      <c r="P63" s="6">
        <v>2</v>
      </c>
      <c r="Q63" s="6">
        <v>2</v>
      </c>
      <c r="R63" s="6">
        <v>2</v>
      </c>
      <c r="S63" s="6">
        <v>3</v>
      </c>
      <c r="T63" s="6">
        <v>3</v>
      </c>
      <c r="U63" s="6">
        <v>4</v>
      </c>
      <c r="V63" s="6">
        <v>4</v>
      </c>
      <c r="W63" s="6">
        <v>5</v>
      </c>
      <c r="X63" s="6">
        <v>5</v>
      </c>
    </row>
    <row r="65" spans="3:24" x14ac:dyDescent="0.25">
      <c r="C65" s="6" t="s">
        <v>51</v>
      </c>
      <c r="D65" s="6">
        <v>3</v>
      </c>
      <c r="E65" s="6">
        <v>3</v>
      </c>
      <c r="F65" s="6">
        <v>3</v>
      </c>
      <c r="G65" s="6">
        <v>3</v>
      </c>
      <c r="H65" s="6">
        <v>2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2</v>
      </c>
      <c r="U65" s="6">
        <v>3</v>
      </c>
      <c r="V65" s="6">
        <v>3</v>
      </c>
      <c r="W65" s="6">
        <v>3</v>
      </c>
      <c r="X65" s="6">
        <v>3</v>
      </c>
    </row>
    <row r="67" spans="3:24" x14ac:dyDescent="0.25">
      <c r="C67" s="6" t="s">
        <v>50</v>
      </c>
      <c r="D67" s="6">
        <v>4</v>
      </c>
      <c r="E67" s="6">
        <v>4</v>
      </c>
      <c r="F67" s="6">
        <v>4</v>
      </c>
      <c r="G67" s="6">
        <v>3</v>
      </c>
      <c r="H67" s="6">
        <v>3</v>
      </c>
      <c r="I67" s="6">
        <v>3</v>
      </c>
      <c r="J67" s="6">
        <v>2</v>
      </c>
      <c r="K67" s="6">
        <v>2</v>
      </c>
      <c r="L67" s="6">
        <v>2</v>
      </c>
      <c r="M67" s="6">
        <v>2</v>
      </c>
      <c r="N67" s="6">
        <v>2</v>
      </c>
      <c r="O67" s="6">
        <v>2</v>
      </c>
      <c r="P67" s="6">
        <v>2</v>
      </c>
      <c r="Q67" s="6">
        <v>2</v>
      </c>
      <c r="R67" s="6">
        <v>2</v>
      </c>
      <c r="S67" s="6">
        <v>3</v>
      </c>
      <c r="T67" s="6">
        <v>3</v>
      </c>
      <c r="U67" s="6">
        <v>4</v>
      </c>
      <c r="V67" s="6">
        <v>4</v>
      </c>
      <c r="W67" s="6">
        <v>5</v>
      </c>
      <c r="X67" s="6">
        <v>5</v>
      </c>
    </row>
    <row r="69" spans="3:24" x14ac:dyDescent="0.25">
      <c r="C69" s="6" t="s">
        <v>51</v>
      </c>
      <c r="D69" s="6">
        <v>3</v>
      </c>
      <c r="E69" s="6">
        <v>3</v>
      </c>
      <c r="F69" s="6">
        <v>3</v>
      </c>
      <c r="G69" s="6">
        <v>3</v>
      </c>
      <c r="H69" s="6">
        <v>2</v>
      </c>
      <c r="I69" s="6">
        <v>3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3</v>
      </c>
      <c r="S69" s="6">
        <v>3</v>
      </c>
      <c r="T69" s="6">
        <v>2</v>
      </c>
      <c r="U69" s="6">
        <v>3</v>
      </c>
      <c r="V69" s="6">
        <v>3</v>
      </c>
      <c r="W69" s="6">
        <v>3</v>
      </c>
      <c r="X69" s="6">
        <v>3</v>
      </c>
    </row>
    <row r="71" spans="3:24" x14ac:dyDescent="0.25">
      <c r="C71" s="6" t="s">
        <v>50</v>
      </c>
      <c r="D71" s="6">
        <v>4</v>
      </c>
      <c r="E71" s="6">
        <v>4</v>
      </c>
      <c r="F71" s="6">
        <v>4</v>
      </c>
      <c r="G71" s="6">
        <v>3</v>
      </c>
      <c r="H71" s="6">
        <v>3</v>
      </c>
      <c r="I71" s="6">
        <v>3</v>
      </c>
      <c r="J71" s="6">
        <v>2</v>
      </c>
      <c r="K71" s="6">
        <v>2</v>
      </c>
      <c r="L71" s="6">
        <v>2</v>
      </c>
      <c r="M71" s="6">
        <v>2</v>
      </c>
      <c r="N71" s="6">
        <v>2</v>
      </c>
      <c r="O71" s="6">
        <v>2</v>
      </c>
      <c r="P71" s="6">
        <v>2</v>
      </c>
      <c r="Q71" s="6">
        <v>2</v>
      </c>
      <c r="R71" s="6">
        <v>2</v>
      </c>
      <c r="S71" s="6">
        <v>2</v>
      </c>
      <c r="T71" s="6">
        <v>3</v>
      </c>
      <c r="U71" s="6">
        <v>3</v>
      </c>
      <c r="V71" s="6">
        <v>4</v>
      </c>
      <c r="W71" s="6">
        <v>4</v>
      </c>
      <c r="X71" s="6">
        <v>4</v>
      </c>
    </row>
    <row r="73" spans="3:24" x14ac:dyDescent="0.25">
      <c r="C73" s="6" t="s">
        <v>51</v>
      </c>
      <c r="D73" s="6">
        <v>3</v>
      </c>
      <c r="E73" s="6">
        <v>3</v>
      </c>
      <c r="F73" s="6">
        <v>3</v>
      </c>
      <c r="G73" s="6">
        <v>3</v>
      </c>
      <c r="H73" s="6">
        <v>2</v>
      </c>
      <c r="I73" s="6">
        <v>3</v>
      </c>
      <c r="J73" s="6">
        <v>3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2</v>
      </c>
      <c r="U73" s="6">
        <v>3</v>
      </c>
      <c r="V73" s="6">
        <v>3</v>
      </c>
      <c r="W73" s="6">
        <v>3</v>
      </c>
      <c r="X73" s="6">
        <v>3</v>
      </c>
    </row>
    <row r="75" spans="3:24" x14ac:dyDescent="0.25">
      <c r="C75" s="6" t="s">
        <v>50</v>
      </c>
      <c r="D75" s="6">
        <v>4</v>
      </c>
      <c r="E75" s="6">
        <v>4</v>
      </c>
      <c r="F75" s="6">
        <v>4</v>
      </c>
      <c r="G75" s="6">
        <v>3</v>
      </c>
      <c r="H75" s="6">
        <v>3</v>
      </c>
      <c r="I75" s="6">
        <v>3</v>
      </c>
      <c r="J75" s="6">
        <v>2</v>
      </c>
      <c r="K75" s="6">
        <v>2</v>
      </c>
      <c r="L75" s="6">
        <v>2</v>
      </c>
      <c r="M75" s="6">
        <v>2</v>
      </c>
      <c r="N75" s="6">
        <v>2</v>
      </c>
      <c r="O75" s="6">
        <v>2</v>
      </c>
      <c r="P75" s="6">
        <v>2</v>
      </c>
      <c r="Q75" s="6">
        <v>2</v>
      </c>
      <c r="R75" s="6">
        <v>2</v>
      </c>
      <c r="S75" s="6">
        <v>2</v>
      </c>
      <c r="T75" s="6">
        <v>3</v>
      </c>
      <c r="U75" s="6">
        <v>3</v>
      </c>
      <c r="V75" s="6">
        <v>4</v>
      </c>
      <c r="W75" s="6">
        <v>4</v>
      </c>
      <c r="X75" s="6">
        <v>4</v>
      </c>
    </row>
    <row r="77" spans="3:24" x14ac:dyDescent="0.25">
      <c r="C77" s="6" t="s">
        <v>51</v>
      </c>
      <c r="D77" s="6">
        <v>3</v>
      </c>
      <c r="E77" s="6">
        <v>3</v>
      </c>
      <c r="F77" s="6">
        <v>3</v>
      </c>
      <c r="G77" s="6">
        <v>3</v>
      </c>
      <c r="H77" s="6">
        <v>2</v>
      </c>
      <c r="I77" s="6">
        <v>3</v>
      </c>
      <c r="J77" s="6">
        <v>3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3</v>
      </c>
      <c r="T77" s="6">
        <v>2</v>
      </c>
      <c r="U77" s="6">
        <v>3</v>
      </c>
      <c r="V77" s="6">
        <v>3</v>
      </c>
      <c r="W77" s="6">
        <v>3</v>
      </c>
      <c r="X77" s="6">
        <v>3</v>
      </c>
    </row>
    <row r="79" spans="3:24" x14ac:dyDescent="0.25">
      <c r="C79" s="6" t="s">
        <v>50</v>
      </c>
      <c r="D79" s="6">
        <v>4</v>
      </c>
      <c r="E79" s="6">
        <v>4</v>
      </c>
      <c r="F79" s="6">
        <v>4</v>
      </c>
      <c r="G79" s="6">
        <v>3</v>
      </c>
      <c r="H79" s="6">
        <v>3</v>
      </c>
      <c r="I79" s="6">
        <v>3</v>
      </c>
      <c r="J79" s="6">
        <v>2</v>
      </c>
      <c r="K79" s="6">
        <v>2</v>
      </c>
      <c r="L79" s="6">
        <v>2</v>
      </c>
      <c r="M79" s="6">
        <v>2</v>
      </c>
      <c r="N79" s="6">
        <v>2</v>
      </c>
      <c r="O79" s="6">
        <v>2</v>
      </c>
      <c r="P79" s="6">
        <v>2</v>
      </c>
      <c r="Q79" s="6">
        <v>2</v>
      </c>
      <c r="R79" s="6">
        <v>2</v>
      </c>
      <c r="S79" s="6">
        <v>2</v>
      </c>
      <c r="T79" s="6">
        <v>3</v>
      </c>
      <c r="U79" s="6">
        <v>3</v>
      </c>
      <c r="V79" s="6">
        <v>4</v>
      </c>
      <c r="W79" s="6">
        <v>4</v>
      </c>
      <c r="X79" s="6">
        <v>4</v>
      </c>
    </row>
    <row r="81" spans="3:24" x14ac:dyDescent="0.25">
      <c r="C81" s="6" t="s">
        <v>51</v>
      </c>
      <c r="D81" s="6">
        <v>3</v>
      </c>
      <c r="E81" s="6">
        <v>3</v>
      </c>
      <c r="F81" s="6">
        <v>3</v>
      </c>
      <c r="G81" s="6">
        <v>3</v>
      </c>
      <c r="H81" s="6">
        <v>2</v>
      </c>
      <c r="I81" s="6">
        <v>3</v>
      </c>
      <c r="J81" s="6">
        <v>3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2</v>
      </c>
      <c r="U81" s="6">
        <v>3</v>
      </c>
      <c r="V81" s="6">
        <v>3</v>
      </c>
      <c r="W81" s="6">
        <v>3</v>
      </c>
      <c r="X81" s="6">
        <v>3</v>
      </c>
    </row>
    <row r="83" spans="3:24" x14ac:dyDescent="0.25">
      <c r="C83" s="6" t="s">
        <v>50</v>
      </c>
      <c r="D83" s="6">
        <v>4</v>
      </c>
      <c r="E83" s="6">
        <v>4</v>
      </c>
      <c r="F83" s="6">
        <v>4</v>
      </c>
      <c r="G83" s="6">
        <v>3</v>
      </c>
      <c r="H83" s="6">
        <v>3</v>
      </c>
      <c r="I83" s="6">
        <v>3</v>
      </c>
      <c r="J83" s="6">
        <v>2</v>
      </c>
      <c r="K83" s="6">
        <v>2</v>
      </c>
      <c r="L83" s="6">
        <v>2</v>
      </c>
      <c r="M83" s="6">
        <v>2</v>
      </c>
      <c r="N83" s="6">
        <v>2</v>
      </c>
      <c r="O83" s="6">
        <v>2</v>
      </c>
      <c r="P83" s="6">
        <v>2</v>
      </c>
      <c r="Q83" s="6">
        <v>2</v>
      </c>
      <c r="R83" s="6">
        <v>2</v>
      </c>
      <c r="S83" s="6">
        <v>2</v>
      </c>
      <c r="T83" s="6">
        <v>3</v>
      </c>
      <c r="U83" s="6">
        <v>3</v>
      </c>
      <c r="V83" s="6">
        <v>4</v>
      </c>
      <c r="W83" s="6">
        <v>4</v>
      </c>
      <c r="X83" s="6">
        <v>4</v>
      </c>
    </row>
    <row r="85" spans="3:24" x14ac:dyDescent="0.25">
      <c r="C85" s="6" t="s">
        <v>51</v>
      </c>
      <c r="D85" s="6">
        <v>3</v>
      </c>
      <c r="E85" s="6">
        <v>3</v>
      </c>
      <c r="F85" s="6">
        <v>3</v>
      </c>
      <c r="G85" s="6">
        <v>3</v>
      </c>
      <c r="H85" s="6">
        <v>2</v>
      </c>
      <c r="I85" s="6">
        <v>3</v>
      </c>
      <c r="J85" s="6">
        <v>3</v>
      </c>
      <c r="K85" s="6">
        <v>3</v>
      </c>
      <c r="L85" s="6">
        <v>3</v>
      </c>
      <c r="M85" s="6">
        <v>3</v>
      </c>
      <c r="N85" s="6">
        <v>3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2</v>
      </c>
      <c r="U85" s="6">
        <v>3</v>
      </c>
      <c r="V85" s="6">
        <v>3</v>
      </c>
      <c r="W85" s="6">
        <v>3</v>
      </c>
      <c r="X85" s="6">
        <v>3</v>
      </c>
    </row>
    <row r="87" spans="3:24" x14ac:dyDescent="0.25">
      <c r="C87" s="6" t="s">
        <v>50</v>
      </c>
      <c r="D87" s="6">
        <v>4</v>
      </c>
      <c r="E87" s="6">
        <v>4</v>
      </c>
      <c r="F87" s="6">
        <v>4</v>
      </c>
      <c r="G87" s="6">
        <v>3</v>
      </c>
      <c r="H87" s="6">
        <v>3</v>
      </c>
      <c r="I87" s="6">
        <v>3</v>
      </c>
      <c r="J87" s="6">
        <v>2</v>
      </c>
      <c r="K87" s="6">
        <v>2</v>
      </c>
      <c r="L87" s="6">
        <v>2</v>
      </c>
      <c r="M87" s="6">
        <v>2</v>
      </c>
      <c r="N87" s="6">
        <v>2</v>
      </c>
      <c r="O87" s="6">
        <v>2</v>
      </c>
      <c r="P87" s="6">
        <v>2</v>
      </c>
      <c r="Q87" s="6">
        <v>2</v>
      </c>
      <c r="R87" s="6">
        <v>2</v>
      </c>
      <c r="S87" s="6">
        <v>2</v>
      </c>
      <c r="T87" s="6">
        <v>3</v>
      </c>
      <c r="U87" s="6">
        <v>3</v>
      </c>
      <c r="V87" s="6">
        <v>4</v>
      </c>
      <c r="W87" s="6">
        <v>4</v>
      </c>
      <c r="X87" s="6">
        <v>4</v>
      </c>
    </row>
    <row r="89" spans="3:24" x14ac:dyDescent="0.25">
      <c r="C89" s="6" t="s">
        <v>51</v>
      </c>
      <c r="D89" s="6">
        <v>3</v>
      </c>
      <c r="E89" s="6">
        <v>3</v>
      </c>
      <c r="F89" s="6">
        <v>3</v>
      </c>
      <c r="G89" s="6">
        <v>3</v>
      </c>
      <c r="H89" s="6">
        <v>2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2</v>
      </c>
      <c r="U89" s="6">
        <v>3</v>
      </c>
      <c r="V89" s="6">
        <v>3</v>
      </c>
      <c r="W89" s="6">
        <v>3</v>
      </c>
      <c r="X89" s="6">
        <v>3</v>
      </c>
    </row>
    <row r="91" spans="3:24" x14ac:dyDescent="0.25">
      <c r="C91" s="6" t="s">
        <v>50</v>
      </c>
      <c r="D91" s="6">
        <v>4</v>
      </c>
      <c r="E91" s="6">
        <v>4</v>
      </c>
      <c r="F91" s="6">
        <v>4</v>
      </c>
      <c r="G91" s="6">
        <v>3</v>
      </c>
      <c r="H91" s="6">
        <v>3</v>
      </c>
      <c r="I91" s="6">
        <v>3</v>
      </c>
      <c r="J91" s="6">
        <v>2</v>
      </c>
      <c r="K91" s="6">
        <v>2</v>
      </c>
      <c r="L91" s="6">
        <v>2</v>
      </c>
      <c r="M91" s="6">
        <v>2</v>
      </c>
      <c r="N91" s="6">
        <v>2</v>
      </c>
      <c r="O91" s="6">
        <v>2</v>
      </c>
      <c r="P91" s="6">
        <v>2</v>
      </c>
      <c r="Q91" s="6">
        <v>2</v>
      </c>
      <c r="R91" s="6">
        <v>2</v>
      </c>
      <c r="S91" s="6">
        <v>2</v>
      </c>
      <c r="T91" s="6">
        <v>3</v>
      </c>
      <c r="U91" s="6">
        <v>3</v>
      </c>
      <c r="V91" s="6">
        <v>4</v>
      </c>
      <c r="W91" s="6">
        <v>4</v>
      </c>
      <c r="X91" s="6">
        <v>4</v>
      </c>
    </row>
    <row r="93" spans="3:24" x14ac:dyDescent="0.25">
      <c r="C93" s="6" t="s">
        <v>51</v>
      </c>
      <c r="D93" s="6">
        <v>3</v>
      </c>
      <c r="E93" s="6">
        <v>3</v>
      </c>
      <c r="F93" s="6">
        <v>3</v>
      </c>
      <c r="G93" s="6">
        <v>3</v>
      </c>
      <c r="H93" s="6">
        <v>2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2</v>
      </c>
      <c r="U93" s="6">
        <v>3</v>
      </c>
      <c r="V93" s="6">
        <v>3</v>
      </c>
      <c r="W93" s="6">
        <v>3</v>
      </c>
      <c r="X93" s="6">
        <v>3</v>
      </c>
    </row>
    <row r="95" spans="3:24" x14ac:dyDescent="0.25">
      <c r="C95" s="6" t="s">
        <v>50</v>
      </c>
      <c r="D95" s="6">
        <v>2</v>
      </c>
      <c r="E95" s="6">
        <v>2</v>
      </c>
      <c r="F95" s="6">
        <v>2</v>
      </c>
      <c r="G95" s="6">
        <v>2</v>
      </c>
      <c r="H95" s="6">
        <v>2</v>
      </c>
      <c r="I95" s="6">
        <v>2</v>
      </c>
      <c r="J95" s="6">
        <v>2</v>
      </c>
      <c r="K95" s="6">
        <v>2</v>
      </c>
      <c r="L95" s="6">
        <v>2</v>
      </c>
      <c r="M95" s="6">
        <v>2</v>
      </c>
      <c r="N95" s="6">
        <v>2</v>
      </c>
      <c r="O95" s="6">
        <v>2</v>
      </c>
      <c r="P95" s="6">
        <v>2</v>
      </c>
      <c r="Q95" s="6">
        <v>2</v>
      </c>
      <c r="R95" s="6">
        <v>2</v>
      </c>
      <c r="S95" s="6">
        <v>2</v>
      </c>
      <c r="T95" s="6">
        <v>3</v>
      </c>
      <c r="U95" s="6">
        <v>3</v>
      </c>
      <c r="V95" s="6">
        <v>4</v>
      </c>
      <c r="W95" s="6">
        <v>4</v>
      </c>
      <c r="X95" s="6">
        <v>4</v>
      </c>
    </row>
    <row r="97" spans="3:24" x14ac:dyDescent="0.25">
      <c r="C97" s="6" t="s">
        <v>51</v>
      </c>
      <c r="D97" s="6">
        <v>4</v>
      </c>
      <c r="E97" s="6">
        <v>4</v>
      </c>
      <c r="F97" s="6">
        <v>4</v>
      </c>
      <c r="G97" s="6">
        <v>3</v>
      </c>
      <c r="H97" s="6">
        <v>4</v>
      </c>
      <c r="I97" s="6">
        <v>4</v>
      </c>
      <c r="J97" s="6">
        <v>5</v>
      </c>
      <c r="K97" s="6">
        <v>5</v>
      </c>
      <c r="L97" s="6">
        <v>5</v>
      </c>
      <c r="M97" s="6">
        <v>5</v>
      </c>
      <c r="N97" s="6">
        <v>5</v>
      </c>
      <c r="O97" s="6">
        <v>5</v>
      </c>
      <c r="P97" s="6">
        <v>5</v>
      </c>
      <c r="Q97" s="6">
        <v>5</v>
      </c>
      <c r="R97" s="6">
        <v>5</v>
      </c>
      <c r="S97" s="6">
        <v>4</v>
      </c>
      <c r="T97" s="6">
        <v>4</v>
      </c>
      <c r="U97" s="6">
        <v>3</v>
      </c>
      <c r="V97" s="6">
        <v>3</v>
      </c>
      <c r="W97" s="6">
        <v>3</v>
      </c>
      <c r="X97" s="6">
        <v>3</v>
      </c>
    </row>
    <row r="99" spans="3:24" x14ac:dyDescent="0.25">
      <c r="C99" s="6" t="s">
        <v>50</v>
      </c>
      <c r="D99" s="6">
        <v>2</v>
      </c>
      <c r="E99" s="6">
        <v>2</v>
      </c>
      <c r="F99" s="6">
        <v>2</v>
      </c>
      <c r="G99" s="6">
        <v>2</v>
      </c>
      <c r="H99" s="6">
        <v>2</v>
      </c>
      <c r="I99" s="6">
        <v>2</v>
      </c>
      <c r="J99" s="6">
        <v>2</v>
      </c>
      <c r="K99" s="6">
        <v>2</v>
      </c>
      <c r="L99" s="6">
        <v>2</v>
      </c>
      <c r="M99" s="6">
        <v>2</v>
      </c>
      <c r="N99" s="6">
        <v>2</v>
      </c>
      <c r="O99" s="6">
        <v>2</v>
      </c>
      <c r="P99" s="6">
        <v>2</v>
      </c>
      <c r="Q99" s="6">
        <v>2</v>
      </c>
      <c r="R99" s="6">
        <v>2</v>
      </c>
      <c r="S99" s="6">
        <v>2</v>
      </c>
      <c r="T99" s="6">
        <v>3</v>
      </c>
      <c r="U99" s="6">
        <v>3</v>
      </c>
      <c r="V99" s="6">
        <v>4</v>
      </c>
      <c r="W99" s="6">
        <v>4</v>
      </c>
      <c r="X99" s="6">
        <v>4</v>
      </c>
    </row>
    <row r="101" spans="3:24" x14ac:dyDescent="0.25">
      <c r="C101" s="6" t="s">
        <v>51</v>
      </c>
      <c r="D101" s="6">
        <v>4</v>
      </c>
      <c r="E101" s="6">
        <v>4</v>
      </c>
      <c r="F101" s="6">
        <v>4</v>
      </c>
      <c r="G101" s="6">
        <v>3</v>
      </c>
      <c r="H101" s="6">
        <v>4</v>
      </c>
      <c r="I101" s="6">
        <v>4</v>
      </c>
      <c r="J101" s="6">
        <v>5</v>
      </c>
      <c r="K101" s="6">
        <v>5</v>
      </c>
      <c r="L101" s="6">
        <v>5</v>
      </c>
      <c r="M101" s="6">
        <v>5</v>
      </c>
      <c r="N101" s="6">
        <v>5</v>
      </c>
      <c r="O101" s="6">
        <v>5</v>
      </c>
      <c r="P101" s="6">
        <v>5</v>
      </c>
      <c r="Q101" s="6">
        <v>5</v>
      </c>
      <c r="R101" s="6">
        <v>5</v>
      </c>
      <c r="S101" s="6">
        <v>4</v>
      </c>
      <c r="T101" s="6">
        <v>4</v>
      </c>
      <c r="U101" s="6">
        <v>3</v>
      </c>
      <c r="V101" s="6">
        <v>3</v>
      </c>
      <c r="W101" s="6">
        <v>3</v>
      </c>
      <c r="X101" s="6">
        <v>3</v>
      </c>
    </row>
    <row r="103" spans="3:24" x14ac:dyDescent="0.25">
      <c r="C103" s="6" t="s">
        <v>50</v>
      </c>
      <c r="D103" s="6">
        <v>2</v>
      </c>
      <c r="E103" s="6">
        <v>2</v>
      </c>
      <c r="F103" s="6">
        <v>2</v>
      </c>
      <c r="G103" s="6">
        <v>2</v>
      </c>
      <c r="H103" s="6">
        <v>2</v>
      </c>
      <c r="I103" s="6">
        <v>2</v>
      </c>
      <c r="J103" s="6">
        <v>2</v>
      </c>
      <c r="K103" s="6">
        <v>2</v>
      </c>
      <c r="L103" s="6">
        <v>2</v>
      </c>
      <c r="M103" s="6">
        <v>2</v>
      </c>
      <c r="N103" s="6">
        <v>2</v>
      </c>
      <c r="O103" s="6">
        <v>2</v>
      </c>
      <c r="P103" s="6">
        <v>2</v>
      </c>
      <c r="Q103" s="6">
        <v>2</v>
      </c>
      <c r="R103" s="6">
        <v>2</v>
      </c>
      <c r="S103" s="6">
        <v>2</v>
      </c>
      <c r="T103" s="6">
        <v>2</v>
      </c>
      <c r="U103" s="6">
        <v>2</v>
      </c>
      <c r="V103" s="6">
        <v>2</v>
      </c>
      <c r="W103" s="6">
        <v>2</v>
      </c>
      <c r="X103" s="6">
        <v>2</v>
      </c>
    </row>
    <row r="105" spans="3:24" x14ac:dyDescent="0.25">
      <c r="C105" s="6" t="s">
        <v>51</v>
      </c>
      <c r="D105" s="6">
        <v>6</v>
      </c>
      <c r="E105" s="6">
        <v>6</v>
      </c>
      <c r="F105" s="6">
        <v>5</v>
      </c>
      <c r="G105" s="6">
        <v>5</v>
      </c>
      <c r="H105" s="6">
        <v>5</v>
      </c>
      <c r="I105" s="6">
        <v>6</v>
      </c>
      <c r="J105" s="6">
        <v>6</v>
      </c>
      <c r="K105" s="6">
        <v>7</v>
      </c>
      <c r="L105" s="6">
        <v>7</v>
      </c>
      <c r="M105" s="6">
        <v>7</v>
      </c>
      <c r="N105" s="6">
        <v>7</v>
      </c>
      <c r="O105" s="6">
        <v>7</v>
      </c>
      <c r="P105" s="6">
        <v>7</v>
      </c>
      <c r="Q105" s="6">
        <v>7</v>
      </c>
      <c r="R105" s="6">
        <v>6</v>
      </c>
      <c r="S105" s="6">
        <v>6</v>
      </c>
      <c r="T105" s="6">
        <v>5</v>
      </c>
      <c r="U105" s="6">
        <v>5</v>
      </c>
      <c r="V105" s="6">
        <v>5</v>
      </c>
      <c r="W105" s="6">
        <v>6</v>
      </c>
      <c r="X105" s="6">
        <v>6</v>
      </c>
    </row>
    <row r="107" spans="3:24" x14ac:dyDescent="0.25">
      <c r="C107" s="6" t="s">
        <v>50</v>
      </c>
      <c r="D107" s="6">
        <v>2</v>
      </c>
      <c r="E107" s="6">
        <v>2</v>
      </c>
      <c r="F107" s="6">
        <v>2</v>
      </c>
      <c r="G107" s="6">
        <v>2</v>
      </c>
      <c r="H107" s="6">
        <v>2</v>
      </c>
      <c r="I107" s="6">
        <v>2</v>
      </c>
      <c r="J107" s="6">
        <v>2</v>
      </c>
      <c r="K107" s="6">
        <v>2</v>
      </c>
      <c r="L107" s="6">
        <v>2</v>
      </c>
      <c r="M107" s="6">
        <v>2</v>
      </c>
      <c r="N107" s="6">
        <v>2</v>
      </c>
      <c r="O107" s="6">
        <v>2</v>
      </c>
      <c r="P107" s="6">
        <v>2</v>
      </c>
      <c r="Q107" s="6">
        <v>2</v>
      </c>
      <c r="R107" s="6">
        <v>2</v>
      </c>
      <c r="S107" s="6">
        <v>2</v>
      </c>
      <c r="T107" s="6">
        <v>2</v>
      </c>
      <c r="U107" s="6">
        <v>2</v>
      </c>
      <c r="V107" s="6">
        <v>2</v>
      </c>
      <c r="W107" s="6">
        <v>2</v>
      </c>
      <c r="X107" s="6">
        <v>2</v>
      </c>
    </row>
    <row r="109" spans="3:24" x14ac:dyDescent="0.25">
      <c r="C109" s="6" t="s">
        <v>51</v>
      </c>
      <c r="D109" s="6">
        <v>6</v>
      </c>
      <c r="E109" s="6">
        <v>6</v>
      </c>
      <c r="F109" s="6">
        <v>5</v>
      </c>
      <c r="G109" s="6">
        <v>5</v>
      </c>
      <c r="H109" s="6">
        <v>5</v>
      </c>
      <c r="I109" s="6">
        <v>6</v>
      </c>
      <c r="J109" s="6">
        <v>6</v>
      </c>
      <c r="K109" s="6">
        <v>7</v>
      </c>
      <c r="L109" s="6">
        <v>7</v>
      </c>
      <c r="M109" s="6">
        <v>7</v>
      </c>
      <c r="N109" s="6">
        <v>7</v>
      </c>
      <c r="O109" s="6">
        <v>7</v>
      </c>
      <c r="P109" s="6">
        <v>7</v>
      </c>
      <c r="Q109" s="6">
        <v>7</v>
      </c>
      <c r="R109" s="6">
        <v>6</v>
      </c>
      <c r="S109" s="6">
        <v>6</v>
      </c>
      <c r="T109" s="6">
        <v>5</v>
      </c>
      <c r="U109" s="6">
        <v>5</v>
      </c>
      <c r="V109" s="6">
        <v>5</v>
      </c>
      <c r="W109" s="6">
        <v>6</v>
      </c>
      <c r="X109" s="6">
        <v>6</v>
      </c>
    </row>
    <row r="111" spans="3:24" x14ac:dyDescent="0.25">
      <c r="C111" s="6" t="s">
        <v>50</v>
      </c>
      <c r="D111" s="6">
        <v>2</v>
      </c>
      <c r="E111" s="6">
        <v>2</v>
      </c>
      <c r="F111" s="6">
        <v>2</v>
      </c>
      <c r="G111" s="6">
        <v>2</v>
      </c>
      <c r="H111" s="6">
        <v>2</v>
      </c>
      <c r="I111" s="6">
        <v>2</v>
      </c>
      <c r="J111" s="6">
        <v>2</v>
      </c>
      <c r="K111" s="6">
        <v>2</v>
      </c>
      <c r="L111" s="6">
        <v>2</v>
      </c>
      <c r="M111" s="6">
        <v>2</v>
      </c>
      <c r="N111" s="6">
        <v>2</v>
      </c>
      <c r="O111" s="6">
        <v>2</v>
      </c>
      <c r="P111" s="6">
        <v>2</v>
      </c>
      <c r="Q111" s="6">
        <v>2</v>
      </c>
      <c r="R111" s="6">
        <v>2</v>
      </c>
      <c r="S111" s="6">
        <v>3</v>
      </c>
      <c r="T111" s="6">
        <v>3</v>
      </c>
      <c r="U111" s="6">
        <v>4</v>
      </c>
      <c r="V111" s="6">
        <v>4</v>
      </c>
      <c r="W111" s="6">
        <v>5</v>
      </c>
      <c r="X111" s="6">
        <v>5</v>
      </c>
    </row>
    <row r="113" spans="3:24" x14ac:dyDescent="0.25">
      <c r="C113" s="6" t="s">
        <v>51</v>
      </c>
      <c r="D113" s="6">
        <v>4</v>
      </c>
      <c r="E113" s="6">
        <v>4</v>
      </c>
      <c r="F113" s="6">
        <v>4</v>
      </c>
      <c r="G113" s="6">
        <v>3</v>
      </c>
      <c r="H113" s="6">
        <v>4</v>
      </c>
      <c r="I113" s="6">
        <v>4</v>
      </c>
      <c r="J113" s="6">
        <v>5</v>
      </c>
      <c r="K113" s="6">
        <v>5</v>
      </c>
      <c r="L113" s="6">
        <v>5</v>
      </c>
      <c r="M113" s="6">
        <v>5</v>
      </c>
      <c r="N113" s="6">
        <v>5</v>
      </c>
      <c r="O113" s="6">
        <v>5</v>
      </c>
      <c r="P113" s="6">
        <v>5</v>
      </c>
      <c r="Q113" s="6">
        <v>5</v>
      </c>
      <c r="R113" s="6">
        <v>5</v>
      </c>
      <c r="S113" s="6">
        <v>4</v>
      </c>
      <c r="T113" s="6">
        <v>4</v>
      </c>
      <c r="U113" s="6">
        <v>3</v>
      </c>
      <c r="V113" s="6">
        <v>3</v>
      </c>
      <c r="W113" s="6">
        <v>3</v>
      </c>
      <c r="X113" s="6">
        <v>3</v>
      </c>
    </row>
    <row r="115" spans="3:24" x14ac:dyDescent="0.25">
      <c r="C115" s="6" t="s">
        <v>50</v>
      </c>
      <c r="D115" s="6">
        <v>2</v>
      </c>
      <c r="E115" s="6">
        <v>2</v>
      </c>
      <c r="F115" s="6">
        <v>2</v>
      </c>
      <c r="G115" s="6">
        <v>2</v>
      </c>
      <c r="H115" s="6">
        <v>2</v>
      </c>
      <c r="I115" s="6">
        <v>2</v>
      </c>
      <c r="J115" s="6">
        <v>2</v>
      </c>
      <c r="K115" s="6">
        <v>2</v>
      </c>
      <c r="L115" s="6">
        <v>2</v>
      </c>
      <c r="M115" s="6">
        <v>2</v>
      </c>
      <c r="N115" s="6">
        <v>2</v>
      </c>
      <c r="O115" s="6">
        <v>2</v>
      </c>
      <c r="P115" s="6">
        <v>2</v>
      </c>
      <c r="Q115" s="6">
        <v>2</v>
      </c>
      <c r="R115" s="6">
        <v>2</v>
      </c>
      <c r="S115" s="6">
        <v>3</v>
      </c>
      <c r="T115" s="6">
        <v>3</v>
      </c>
      <c r="U115" s="6">
        <v>4</v>
      </c>
      <c r="V115" s="6">
        <v>4</v>
      </c>
      <c r="W115" s="6">
        <v>5</v>
      </c>
      <c r="X115" s="6">
        <v>5</v>
      </c>
    </row>
    <row r="117" spans="3:24" x14ac:dyDescent="0.25">
      <c r="C117" s="6" t="s">
        <v>51</v>
      </c>
      <c r="D117" s="6">
        <v>4</v>
      </c>
      <c r="E117" s="6">
        <v>4</v>
      </c>
      <c r="F117" s="6">
        <v>4</v>
      </c>
      <c r="G117" s="6">
        <v>3</v>
      </c>
      <c r="H117" s="6">
        <v>4</v>
      </c>
      <c r="I117" s="6">
        <v>4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4</v>
      </c>
      <c r="T117" s="6">
        <v>4</v>
      </c>
      <c r="U117" s="6">
        <v>3</v>
      </c>
      <c r="V117" s="6">
        <v>3</v>
      </c>
      <c r="W117" s="6">
        <v>3</v>
      </c>
      <c r="X117" s="6">
        <v>3</v>
      </c>
    </row>
    <row r="119" spans="3:24" x14ac:dyDescent="0.25">
      <c r="C119" s="6" t="s">
        <v>50</v>
      </c>
      <c r="D119" s="6">
        <v>5</v>
      </c>
      <c r="E119" s="6">
        <v>5</v>
      </c>
      <c r="F119" s="6">
        <v>4</v>
      </c>
      <c r="G119" s="6">
        <v>4</v>
      </c>
      <c r="H119" s="6">
        <v>4</v>
      </c>
      <c r="I119" s="6">
        <v>3</v>
      </c>
      <c r="J119" s="6">
        <v>3</v>
      </c>
      <c r="K119" s="6">
        <v>2</v>
      </c>
      <c r="L119" s="6">
        <v>2</v>
      </c>
      <c r="M119" s="6">
        <v>2</v>
      </c>
      <c r="N119" s="6">
        <v>2</v>
      </c>
      <c r="O119" s="6">
        <v>2</v>
      </c>
      <c r="P119" s="6">
        <v>2</v>
      </c>
      <c r="Q119" s="6">
        <v>2</v>
      </c>
      <c r="R119" s="6">
        <v>2</v>
      </c>
      <c r="S119" s="6">
        <v>2</v>
      </c>
      <c r="T119" s="6">
        <v>2</v>
      </c>
      <c r="U119" s="6">
        <v>2</v>
      </c>
      <c r="V119" s="6">
        <v>2</v>
      </c>
      <c r="W119" s="6">
        <v>2</v>
      </c>
      <c r="X119" s="6">
        <v>2</v>
      </c>
    </row>
    <row r="121" spans="3:24" x14ac:dyDescent="0.25">
      <c r="C121" s="6" t="s">
        <v>51</v>
      </c>
      <c r="D121" s="6">
        <v>3</v>
      </c>
      <c r="E121" s="6">
        <v>3</v>
      </c>
      <c r="F121" s="6">
        <v>3</v>
      </c>
      <c r="G121" s="6">
        <v>3</v>
      </c>
      <c r="H121" s="6">
        <v>4</v>
      </c>
      <c r="I121" s="6">
        <v>4</v>
      </c>
      <c r="J121" s="6">
        <v>5</v>
      </c>
      <c r="K121" s="6">
        <v>5</v>
      </c>
      <c r="L121" s="6">
        <v>5</v>
      </c>
      <c r="M121" s="6">
        <v>5</v>
      </c>
      <c r="N121" s="6">
        <v>5</v>
      </c>
      <c r="O121" s="6">
        <v>5</v>
      </c>
      <c r="P121" s="6">
        <v>5</v>
      </c>
      <c r="Q121" s="6">
        <v>5</v>
      </c>
      <c r="R121" s="6">
        <v>5</v>
      </c>
      <c r="S121" s="6">
        <v>4</v>
      </c>
      <c r="T121" s="6">
        <v>4</v>
      </c>
      <c r="U121" s="6">
        <v>3</v>
      </c>
      <c r="V121" s="6">
        <v>4</v>
      </c>
      <c r="W121" s="6">
        <v>4</v>
      </c>
      <c r="X121" s="6">
        <v>4</v>
      </c>
    </row>
    <row r="123" spans="3:24" x14ac:dyDescent="0.25">
      <c r="C123" s="6" t="s">
        <v>50</v>
      </c>
      <c r="D123" s="6">
        <v>5</v>
      </c>
      <c r="E123" s="6">
        <v>5</v>
      </c>
      <c r="F123" s="6">
        <v>4</v>
      </c>
      <c r="G123" s="6">
        <v>4</v>
      </c>
      <c r="H123" s="6">
        <v>4</v>
      </c>
      <c r="I123" s="6">
        <v>3</v>
      </c>
      <c r="J123" s="6">
        <v>3</v>
      </c>
      <c r="K123" s="6">
        <v>2</v>
      </c>
      <c r="L123" s="6">
        <v>2</v>
      </c>
      <c r="M123" s="6">
        <v>2</v>
      </c>
      <c r="N123" s="6">
        <v>2</v>
      </c>
      <c r="O123" s="6">
        <v>2</v>
      </c>
      <c r="P123" s="6">
        <v>2</v>
      </c>
      <c r="Q123" s="6">
        <v>2</v>
      </c>
      <c r="R123" s="6">
        <v>2</v>
      </c>
      <c r="S123" s="6">
        <v>2</v>
      </c>
      <c r="T123" s="6">
        <v>2</v>
      </c>
      <c r="U123" s="6">
        <v>2</v>
      </c>
      <c r="V123" s="6">
        <v>2</v>
      </c>
      <c r="W123" s="6">
        <v>2</v>
      </c>
      <c r="X123" s="6">
        <v>2</v>
      </c>
    </row>
    <row r="125" spans="3:24" x14ac:dyDescent="0.25">
      <c r="C125" s="6" t="s">
        <v>51</v>
      </c>
      <c r="D125" s="6">
        <v>3</v>
      </c>
      <c r="E125" s="6">
        <v>3</v>
      </c>
      <c r="F125" s="6">
        <v>3</v>
      </c>
      <c r="G125" s="6">
        <v>3</v>
      </c>
      <c r="H125" s="6">
        <v>4</v>
      </c>
      <c r="I125" s="6">
        <v>4</v>
      </c>
      <c r="J125" s="6">
        <v>5</v>
      </c>
      <c r="K125" s="6">
        <v>5</v>
      </c>
      <c r="L125" s="6">
        <v>5</v>
      </c>
      <c r="M125" s="6">
        <v>5</v>
      </c>
      <c r="N125" s="6">
        <v>5</v>
      </c>
      <c r="O125" s="6">
        <v>5</v>
      </c>
      <c r="P125" s="6">
        <v>5</v>
      </c>
      <c r="Q125" s="6">
        <v>5</v>
      </c>
      <c r="R125" s="6">
        <v>5</v>
      </c>
      <c r="S125" s="6">
        <v>4</v>
      </c>
      <c r="T125" s="6">
        <v>4</v>
      </c>
      <c r="U125" s="6">
        <v>3</v>
      </c>
      <c r="V125" s="6">
        <v>4</v>
      </c>
      <c r="W125" s="6">
        <v>4</v>
      </c>
      <c r="X125" s="6">
        <v>4</v>
      </c>
    </row>
    <row r="127" spans="3:24" x14ac:dyDescent="0.25">
      <c r="C127" s="6" t="s">
        <v>50</v>
      </c>
      <c r="D127" s="6">
        <v>2</v>
      </c>
      <c r="E127" s="6">
        <v>2</v>
      </c>
      <c r="F127" s="6">
        <v>2</v>
      </c>
      <c r="G127" s="6">
        <v>2</v>
      </c>
      <c r="H127" s="6">
        <v>2</v>
      </c>
      <c r="I127" s="6">
        <v>2</v>
      </c>
      <c r="J127" s="6">
        <v>2</v>
      </c>
      <c r="K127" s="6">
        <v>2</v>
      </c>
      <c r="L127" s="6">
        <v>2</v>
      </c>
      <c r="M127" s="6">
        <v>2</v>
      </c>
      <c r="N127" s="6">
        <v>2</v>
      </c>
      <c r="O127" s="6">
        <v>2</v>
      </c>
      <c r="P127" s="6">
        <v>2</v>
      </c>
      <c r="Q127" s="6">
        <v>2</v>
      </c>
      <c r="R127" s="6">
        <v>2</v>
      </c>
      <c r="S127" s="6">
        <v>2</v>
      </c>
      <c r="T127" s="6">
        <v>2</v>
      </c>
      <c r="U127" s="6">
        <v>2</v>
      </c>
      <c r="V127" s="6">
        <v>2</v>
      </c>
      <c r="W127" s="6">
        <v>2</v>
      </c>
      <c r="X127" s="6">
        <v>2</v>
      </c>
    </row>
    <row r="129" spans="3:24" x14ac:dyDescent="0.25">
      <c r="C129" s="6" t="s">
        <v>51</v>
      </c>
      <c r="D129" s="6">
        <v>5</v>
      </c>
      <c r="E129" s="6">
        <v>5</v>
      </c>
      <c r="F129" s="6">
        <v>4</v>
      </c>
      <c r="G129" s="6">
        <v>4</v>
      </c>
      <c r="H129" s="6">
        <v>4</v>
      </c>
      <c r="I129" s="6">
        <v>5</v>
      </c>
      <c r="J129" s="6">
        <v>6</v>
      </c>
      <c r="K129" s="6">
        <v>6</v>
      </c>
      <c r="L129" s="6">
        <v>6</v>
      </c>
      <c r="M129" s="6">
        <v>6</v>
      </c>
      <c r="N129" s="6">
        <v>6</v>
      </c>
      <c r="O129" s="6">
        <v>6</v>
      </c>
      <c r="P129" s="6">
        <v>6</v>
      </c>
      <c r="Q129" s="6">
        <v>6</v>
      </c>
      <c r="R129" s="6">
        <v>6</v>
      </c>
      <c r="S129" s="6">
        <v>5</v>
      </c>
      <c r="T129" s="6">
        <v>4</v>
      </c>
      <c r="U129" s="6">
        <v>4</v>
      </c>
      <c r="V129" s="6">
        <v>4</v>
      </c>
      <c r="W129" s="6">
        <v>5</v>
      </c>
      <c r="X129" s="6">
        <v>5</v>
      </c>
    </row>
    <row r="131" spans="3:24" x14ac:dyDescent="0.25">
      <c r="C131" s="6" t="s">
        <v>50</v>
      </c>
      <c r="D131" s="6">
        <v>2</v>
      </c>
      <c r="E131" s="6">
        <v>2</v>
      </c>
      <c r="F131" s="6">
        <v>2</v>
      </c>
      <c r="G131" s="6">
        <v>2</v>
      </c>
      <c r="H131" s="6">
        <v>2</v>
      </c>
      <c r="I131" s="6">
        <v>2</v>
      </c>
      <c r="J131" s="6">
        <v>2</v>
      </c>
      <c r="K131" s="6">
        <v>2</v>
      </c>
      <c r="L131" s="6">
        <v>2</v>
      </c>
      <c r="M131" s="6">
        <v>2</v>
      </c>
      <c r="N131" s="6">
        <v>2</v>
      </c>
      <c r="O131" s="6">
        <v>2</v>
      </c>
      <c r="P131" s="6">
        <v>2</v>
      </c>
      <c r="Q131" s="6">
        <v>2</v>
      </c>
      <c r="R131" s="6">
        <v>2</v>
      </c>
      <c r="S131" s="6">
        <v>2</v>
      </c>
      <c r="T131" s="6">
        <v>2</v>
      </c>
      <c r="U131" s="6">
        <v>2</v>
      </c>
      <c r="V131" s="6">
        <v>2</v>
      </c>
      <c r="W131" s="6">
        <v>2</v>
      </c>
      <c r="X131" s="6">
        <v>2</v>
      </c>
    </row>
    <row r="133" spans="3:24" x14ac:dyDescent="0.25">
      <c r="C133" s="6" t="s">
        <v>51</v>
      </c>
      <c r="D133" s="6">
        <v>5</v>
      </c>
      <c r="E133" s="6">
        <v>5</v>
      </c>
      <c r="F133" s="6">
        <v>4</v>
      </c>
      <c r="G133" s="6">
        <v>4</v>
      </c>
      <c r="H133" s="6">
        <v>4</v>
      </c>
      <c r="I133" s="6">
        <v>5</v>
      </c>
      <c r="J133" s="6">
        <v>6</v>
      </c>
      <c r="K133" s="6">
        <v>6</v>
      </c>
      <c r="L133" s="6">
        <v>6</v>
      </c>
      <c r="M133" s="6">
        <v>6</v>
      </c>
      <c r="N133" s="6">
        <v>6</v>
      </c>
      <c r="O133" s="6">
        <v>6</v>
      </c>
      <c r="P133" s="6">
        <v>6</v>
      </c>
      <c r="Q133" s="6">
        <v>6</v>
      </c>
      <c r="R133" s="6">
        <v>6</v>
      </c>
      <c r="S133" s="6">
        <v>5</v>
      </c>
      <c r="T133" s="6">
        <v>4</v>
      </c>
      <c r="U133" s="6">
        <v>4</v>
      </c>
      <c r="V133" s="6">
        <v>4</v>
      </c>
      <c r="W133" s="6">
        <v>5</v>
      </c>
      <c r="X133" s="6">
        <v>5</v>
      </c>
    </row>
    <row r="135" spans="3:24" x14ac:dyDescent="0.25">
      <c r="C135" s="6" t="s">
        <v>50</v>
      </c>
      <c r="D135" s="6">
        <v>2</v>
      </c>
      <c r="E135" s="6">
        <v>2</v>
      </c>
      <c r="F135" s="6">
        <v>2</v>
      </c>
      <c r="G135" s="6">
        <v>2</v>
      </c>
      <c r="H135" s="6">
        <v>2</v>
      </c>
      <c r="I135" s="6">
        <v>2</v>
      </c>
      <c r="J135" s="6">
        <v>2</v>
      </c>
      <c r="K135" s="6">
        <v>2</v>
      </c>
      <c r="L135" s="6">
        <v>2</v>
      </c>
      <c r="M135" s="6">
        <v>2</v>
      </c>
      <c r="N135" s="6">
        <v>2</v>
      </c>
      <c r="O135" s="6">
        <v>2</v>
      </c>
      <c r="P135" s="6">
        <v>2</v>
      </c>
      <c r="Q135" s="6">
        <v>2</v>
      </c>
      <c r="R135" s="6">
        <v>2</v>
      </c>
      <c r="S135" s="6">
        <v>2</v>
      </c>
      <c r="T135" s="6">
        <v>2</v>
      </c>
      <c r="U135" s="6">
        <v>2</v>
      </c>
      <c r="V135" s="6">
        <v>2</v>
      </c>
      <c r="W135" s="6">
        <v>2</v>
      </c>
      <c r="X135" s="6">
        <v>2</v>
      </c>
    </row>
    <row r="137" spans="3:24" x14ac:dyDescent="0.25">
      <c r="C137" s="6" t="s">
        <v>51</v>
      </c>
      <c r="D137" s="6">
        <v>5</v>
      </c>
      <c r="E137" s="6">
        <v>5</v>
      </c>
      <c r="F137" s="6">
        <v>4</v>
      </c>
      <c r="G137" s="6">
        <v>4</v>
      </c>
      <c r="H137" s="6">
        <v>4</v>
      </c>
      <c r="I137" s="6">
        <v>5</v>
      </c>
      <c r="J137" s="6">
        <v>6</v>
      </c>
      <c r="K137" s="6">
        <v>6</v>
      </c>
      <c r="L137" s="6">
        <v>6</v>
      </c>
      <c r="M137" s="6">
        <v>6</v>
      </c>
      <c r="N137" s="6">
        <v>6</v>
      </c>
      <c r="O137" s="6">
        <v>6</v>
      </c>
      <c r="P137" s="6">
        <v>6</v>
      </c>
      <c r="Q137" s="6">
        <v>6</v>
      </c>
      <c r="R137" s="6">
        <v>6</v>
      </c>
      <c r="S137" s="6">
        <v>5</v>
      </c>
      <c r="T137" s="6">
        <v>4</v>
      </c>
      <c r="U137" s="6">
        <v>4</v>
      </c>
      <c r="V137" s="6">
        <v>4</v>
      </c>
      <c r="W137" s="6">
        <v>5</v>
      </c>
      <c r="X137" s="6">
        <v>5</v>
      </c>
    </row>
    <row r="139" spans="3:24" x14ac:dyDescent="0.25">
      <c r="C139" s="6" t="s">
        <v>50</v>
      </c>
      <c r="D139" s="6">
        <v>2</v>
      </c>
      <c r="E139" s="6">
        <v>2</v>
      </c>
      <c r="F139" s="6">
        <v>2</v>
      </c>
      <c r="G139" s="6">
        <v>2</v>
      </c>
      <c r="H139" s="6">
        <v>2</v>
      </c>
      <c r="I139" s="6">
        <v>2</v>
      </c>
      <c r="J139" s="6">
        <v>2</v>
      </c>
      <c r="K139" s="6">
        <v>2</v>
      </c>
      <c r="L139" s="6">
        <v>2</v>
      </c>
      <c r="M139" s="6">
        <v>2</v>
      </c>
      <c r="N139" s="6">
        <v>2</v>
      </c>
      <c r="O139" s="6">
        <v>2</v>
      </c>
      <c r="P139" s="6">
        <v>2</v>
      </c>
      <c r="Q139" s="6">
        <v>2</v>
      </c>
      <c r="R139" s="6">
        <v>2</v>
      </c>
      <c r="S139" s="6">
        <v>2</v>
      </c>
      <c r="T139" s="6">
        <v>2</v>
      </c>
      <c r="U139" s="6">
        <v>2</v>
      </c>
      <c r="V139" s="6">
        <v>2</v>
      </c>
      <c r="W139" s="6">
        <v>2</v>
      </c>
      <c r="X139" s="6">
        <v>2</v>
      </c>
    </row>
    <row r="141" spans="3:24" x14ac:dyDescent="0.25">
      <c r="C141" s="6" t="s">
        <v>51</v>
      </c>
      <c r="D141" s="6">
        <v>9</v>
      </c>
      <c r="E141" s="6">
        <v>9</v>
      </c>
      <c r="F141" s="6">
        <v>8</v>
      </c>
      <c r="G141" s="6">
        <v>7</v>
      </c>
      <c r="H141" s="6">
        <v>8</v>
      </c>
      <c r="I141" s="6">
        <v>9</v>
      </c>
      <c r="J141" s="6">
        <v>10</v>
      </c>
      <c r="K141" s="6">
        <v>11</v>
      </c>
      <c r="L141" s="6">
        <v>11</v>
      </c>
      <c r="M141" s="6">
        <v>11</v>
      </c>
      <c r="N141" s="6">
        <v>11</v>
      </c>
      <c r="O141" s="6">
        <v>11</v>
      </c>
      <c r="P141" s="6">
        <v>11</v>
      </c>
      <c r="Q141" s="6">
        <v>11</v>
      </c>
      <c r="R141" s="6">
        <v>10</v>
      </c>
      <c r="S141" s="6">
        <v>9</v>
      </c>
      <c r="T141" s="6">
        <v>8</v>
      </c>
      <c r="U141" s="6">
        <v>6</v>
      </c>
      <c r="V141" s="6">
        <v>7</v>
      </c>
      <c r="W141" s="6">
        <v>8</v>
      </c>
      <c r="X141" s="6">
        <v>8</v>
      </c>
    </row>
    <row r="143" spans="3:24" x14ac:dyDescent="0.25">
      <c r="C143" s="6" t="s">
        <v>50</v>
      </c>
      <c r="D143" s="6">
        <v>2</v>
      </c>
      <c r="E143" s="6">
        <v>2</v>
      </c>
      <c r="F143" s="6">
        <v>2</v>
      </c>
      <c r="G143" s="6">
        <v>2</v>
      </c>
      <c r="H143" s="6">
        <v>2</v>
      </c>
      <c r="I143" s="6">
        <v>2</v>
      </c>
      <c r="J143" s="6">
        <v>2</v>
      </c>
      <c r="K143" s="6">
        <v>2</v>
      </c>
      <c r="L143" s="6">
        <v>2</v>
      </c>
      <c r="M143" s="6">
        <v>2</v>
      </c>
      <c r="N143" s="6">
        <v>2</v>
      </c>
      <c r="O143" s="6">
        <v>2</v>
      </c>
      <c r="P143" s="6">
        <v>2</v>
      </c>
      <c r="Q143" s="6">
        <v>2</v>
      </c>
      <c r="R143" s="6">
        <v>2</v>
      </c>
      <c r="S143" s="6">
        <v>2</v>
      </c>
      <c r="T143" s="6">
        <v>2</v>
      </c>
      <c r="U143" s="6">
        <v>2</v>
      </c>
      <c r="V143" s="6">
        <v>2</v>
      </c>
      <c r="W143" s="6">
        <v>2</v>
      </c>
      <c r="X143" s="6">
        <v>2</v>
      </c>
    </row>
    <row r="145" spans="3:24" x14ac:dyDescent="0.25">
      <c r="C145" s="6" t="s">
        <v>51</v>
      </c>
      <c r="D145" s="6">
        <v>3</v>
      </c>
      <c r="E145" s="6">
        <v>3</v>
      </c>
      <c r="F145" s="6">
        <v>3</v>
      </c>
      <c r="G145" s="6">
        <v>3</v>
      </c>
      <c r="H145" s="6">
        <v>2</v>
      </c>
      <c r="I145" s="6">
        <v>3</v>
      </c>
      <c r="J145" s="6">
        <v>3</v>
      </c>
      <c r="K145" s="6">
        <v>3</v>
      </c>
      <c r="L145" s="6">
        <v>3</v>
      </c>
      <c r="M145" s="6">
        <v>3</v>
      </c>
      <c r="N145" s="6">
        <v>3</v>
      </c>
      <c r="O145" s="6">
        <v>3</v>
      </c>
      <c r="P145" s="6">
        <v>3</v>
      </c>
      <c r="Q145" s="6">
        <v>3</v>
      </c>
      <c r="R145" s="6">
        <v>3</v>
      </c>
      <c r="S145" s="6">
        <v>3</v>
      </c>
      <c r="T145" s="6">
        <v>2</v>
      </c>
      <c r="U145" s="6">
        <v>3</v>
      </c>
      <c r="V145" s="6">
        <v>3</v>
      </c>
      <c r="W145" s="6">
        <v>3</v>
      </c>
      <c r="X145" s="6">
        <v>3</v>
      </c>
    </row>
    <row r="147" spans="3:24" x14ac:dyDescent="0.25">
      <c r="C147" s="6" t="s">
        <v>50</v>
      </c>
      <c r="D147" s="6">
        <v>2</v>
      </c>
      <c r="E147" s="6">
        <v>2</v>
      </c>
      <c r="F147" s="6">
        <v>2</v>
      </c>
      <c r="G147" s="6">
        <v>2</v>
      </c>
      <c r="H147" s="6">
        <v>2</v>
      </c>
      <c r="I147" s="6">
        <v>2</v>
      </c>
      <c r="J147" s="6">
        <v>2</v>
      </c>
      <c r="K147" s="6">
        <v>2</v>
      </c>
      <c r="L147" s="6">
        <v>2</v>
      </c>
      <c r="M147" s="6">
        <v>2</v>
      </c>
      <c r="N147" s="6">
        <v>2</v>
      </c>
      <c r="O147" s="6">
        <v>2</v>
      </c>
      <c r="P147" s="6">
        <v>2</v>
      </c>
      <c r="Q147" s="6">
        <v>2</v>
      </c>
      <c r="R147" s="6">
        <v>2</v>
      </c>
      <c r="S147" s="6">
        <v>2</v>
      </c>
      <c r="T147" s="6">
        <v>2</v>
      </c>
      <c r="U147" s="6">
        <v>2</v>
      </c>
      <c r="V147" s="6">
        <v>2</v>
      </c>
      <c r="W147" s="6">
        <v>2</v>
      </c>
      <c r="X147" s="6">
        <v>2</v>
      </c>
    </row>
    <row r="149" spans="3:24" x14ac:dyDescent="0.25">
      <c r="C149" s="6" t="s">
        <v>51</v>
      </c>
      <c r="D149" s="6">
        <v>3</v>
      </c>
      <c r="E149" s="6">
        <v>3</v>
      </c>
      <c r="F149" s="6">
        <v>3</v>
      </c>
      <c r="G149" s="6">
        <v>3</v>
      </c>
      <c r="H149" s="6">
        <v>2</v>
      </c>
      <c r="I149" s="6">
        <v>3</v>
      </c>
      <c r="J149" s="6">
        <v>3</v>
      </c>
      <c r="K149" s="6">
        <v>3</v>
      </c>
      <c r="L149" s="6">
        <v>3</v>
      </c>
      <c r="M149" s="6">
        <v>3</v>
      </c>
      <c r="N149" s="6">
        <v>3</v>
      </c>
      <c r="O149" s="6">
        <v>3</v>
      </c>
      <c r="P149" s="6">
        <v>3</v>
      </c>
      <c r="Q149" s="6">
        <v>3</v>
      </c>
      <c r="R149" s="6">
        <v>3</v>
      </c>
      <c r="S149" s="6">
        <v>3</v>
      </c>
      <c r="T149" s="6">
        <v>2</v>
      </c>
      <c r="U149" s="6">
        <v>3</v>
      </c>
      <c r="V149" s="6">
        <v>3</v>
      </c>
      <c r="W149" s="6">
        <v>3</v>
      </c>
      <c r="X149" s="6">
        <v>3</v>
      </c>
    </row>
    <row r="151" spans="3:24" x14ac:dyDescent="0.25">
      <c r="C151" s="6" t="s">
        <v>50</v>
      </c>
      <c r="D151" s="6">
        <v>2</v>
      </c>
      <c r="E151" s="6">
        <v>2</v>
      </c>
      <c r="F151" s="6">
        <v>2</v>
      </c>
      <c r="G151" s="6">
        <v>2</v>
      </c>
      <c r="H151" s="6">
        <v>2</v>
      </c>
      <c r="I151" s="6">
        <v>2</v>
      </c>
      <c r="J151" s="6">
        <v>2</v>
      </c>
      <c r="K151" s="6">
        <v>2</v>
      </c>
      <c r="L151" s="6">
        <v>2</v>
      </c>
      <c r="M151" s="6">
        <v>2</v>
      </c>
      <c r="N151" s="6">
        <v>2</v>
      </c>
      <c r="O151" s="6">
        <v>2</v>
      </c>
      <c r="P151" s="6">
        <v>2</v>
      </c>
      <c r="Q151" s="6">
        <v>3</v>
      </c>
      <c r="R151" s="6">
        <v>4</v>
      </c>
      <c r="S151" s="6">
        <v>4</v>
      </c>
      <c r="T151" s="6">
        <v>5</v>
      </c>
      <c r="U151" s="6">
        <v>6</v>
      </c>
      <c r="V151" s="6">
        <v>7</v>
      </c>
      <c r="W151" s="6">
        <v>8</v>
      </c>
      <c r="X151" s="6">
        <v>8</v>
      </c>
    </row>
    <row r="153" spans="3:24" x14ac:dyDescent="0.25">
      <c r="C153" s="6" t="s">
        <v>51</v>
      </c>
      <c r="D153" s="6">
        <v>4</v>
      </c>
      <c r="E153" s="6">
        <v>4</v>
      </c>
      <c r="F153" s="6">
        <v>4</v>
      </c>
      <c r="G153" s="6">
        <v>3</v>
      </c>
      <c r="H153" s="6">
        <v>3</v>
      </c>
      <c r="I153" s="6">
        <v>3</v>
      </c>
      <c r="J153" s="6">
        <v>4</v>
      </c>
      <c r="K153" s="6">
        <v>4</v>
      </c>
      <c r="L153" s="6">
        <v>4</v>
      </c>
      <c r="M153" s="6">
        <v>4</v>
      </c>
      <c r="N153" s="6">
        <v>4</v>
      </c>
      <c r="O153" s="6">
        <v>4</v>
      </c>
      <c r="P153" s="6">
        <v>4</v>
      </c>
      <c r="Q153" s="6">
        <v>4</v>
      </c>
      <c r="R153" s="6">
        <v>4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</row>
    <row r="155" spans="3:24" x14ac:dyDescent="0.25">
      <c r="C155" s="6" t="s">
        <v>50</v>
      </c>
      <c r="D155" s="6">
        <v>2</v>
      </c>
      <c r="E155" s="6">
        <v>2</v>
      </c>
      <c r="F155" s="6">
        <v>2</v>
      </c>
      <c r="G155" s="6">
        <v>2</v>
      </c>
      <c r="H155" s="6">
        <v>2</v>
      </c>
      <c r="I155" s="6">
        <v>2</v>
      </c>
      <c r="J155" s="6">
        <v>2</v>
      </c>
      <c r="K155" s="6">
        <v>2</v>
      </c>
      <c r="L155" s="6">
        <v>2</v>
      </c>
      <c r="M155" s="6">
        <v>2</v>
      </c>
      <c r="N155" s="6">
        <v>2</v>
      </c>
      <c r="O155" s="6">
        <v>2</v>
      </c>
      <c r="P155" s="6">
        <v>2</v>
      </c>
      <c r="Q155" s="6">
        <v>3</v>
      </c>
      <c r="R155" s="6">
        <v>3</v>
      </c>
      <c r="S155" s="6">
        <v>4</v>
      </c>
      <c r="T155" s="6">
        <v>5</v>
      </c>
      <c r="U155" s="6">
        <v>5</v>
      </c>
      <c r="V155" s="6">
        <v>6</v>
      </c>
      <c r="W155" s="6">
        <v>7</v>
      </c>
      <c r="X155" s="6">
        <v>7</v>
      </c>
    </row>
    <row r="157" spans="3:24" x14ac:dyDescent="0.25">
      <c r="C157" s="6" t="s">
        <v>51</v>
      </c>
      <c r="D157" s="6">
        <v>3</v>
      </c>
      <c r="E157" s="6">
        <v>3</v>
      </c>
      <c r="F157" s="6">
        <v>3</v>
      </c>
      <c r="G157" s="6">
        <v>3</v>
      </c>
      <c r="H157" s="6">
        <v>2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2</v>
      </c>
      <c r="U157" s="6">
        <v>3</v>
      </c>
      <c r="V157" s="6">
        <v>3</v>
      </c>
      <c r="W157" s="6">
        <v>3</v>
      </c>
      <c r="X157" s="6">
        <v>3</v>
      </c>
    </row>
    <row r="159" spans="3:24" x14ac:dyDescent="0.25">
      <c r="C159" s="6" t="s">
        <v>50</v>
      </c>
      <c r="D159" s="6">
        <v>2</v>
      </c>
      <c r="E159" s="6">
        <v>2</v>
      </c>
      <c r="F159" s="6">
        <v>2</v>
      </c>
      <c r="G159" s="6">
        <v>2</v>
      </c>
      <c r="H159" s="6">
        <v>2</v>
      </c>
      <c r="I159" s="6">
        <v>2</v>
      </c>
      <c r="J159" s="6">
        <v>2</v>
      </c>
      <c r="K159" s="6">
        <v>2</v>
      </c>
      <c r="L159" s="6">
        <v>2</v>
      </c>
      <c r="M159" s="6">
        <v>2</v>
      </c>
      <c r="N159" s="6">
        <v>2</v>
      </c>
      <c r="O159" s="6">
        <v>2</v>
      </c>
      <c r="P159" s="6">
        <v>2</v>
      </c>
      <c r="Q159" s="6">
        <v>3</v>
      </c>
      <c r="R159" s="6">
        <v>4</v>
      </c>
      <c r="S159" s="6">
        <v>4</v>
      </c>
      <c r="T159" s="6">
        <v>5</v>
      </c>
      <c r="U159" s="6">
        <v>6</v>
      </c>
      <c r="V159" s="6">
        <v>7</v>
      </c>
      <c r="W159" s="6">
        <v>8</v>
      </c>
      <c r="X159" s="6">
        <v>8</v>
      </c>
    </row>
    <row r="161" spans="3:24" x14ac:dyDescent="0.25">
      <c r="C161" s="6" t="s">
        <v>51</v>
      </c>
      <c r="D161" s="6">
        <v>4</v>
      </c>
      <c r="E161" s="6">
        <v>4</v>
      </c>
      <c r="F161" s="6">
        <v>4</v>
      </c>
      <c r="G161" s="6">
        <v>3</v>
      </c>
      <c r="H161" s="6">
        <v>3</v>
      </c>
      <c r="I161" s="6">
        <v>3</v>
      </c>
      <c r="J161" s="6">
        <v>4</v>
      </c>
      <c r="K161" s="6">
        <v>4</v>
      </c>
      <c r="L161" s="6">
        <v>4</v>
      </c>
      <c r="M161" s="6">
        <v>4</v>
      </c>
      <c r="N161" s="6">
        <v>4</v>
      </c>
      <c r="O161" s="6">
        <v>4</v>
      </c>
      <c r="P161" s="6">
        <v>4</v>
      </c>
      <c r="Q161" s="6">
        <v>4</v>
      </c>
      <c r="R161" s="6">
        <v>4</v>
      </c>
      <c r="S161" s="6">
        <v>3</v>
      </c>
      <c r="T161" s="6">
        <v>3</v>
      </c>
      <c r="U161" s="6">
        <v>3</v>
      </c>
      <c r="V161" s="6">
        <v>3</v>
      </c>
      <c r="W161" s="6">
        <v>3</v>
      </c>
      <c r="X161" s="6">
        <v>3</v>
      </c>
    </row>
    <row r="163" spans="3:24" x14ac:dyDescent="0.25">
      <c r="C163" s="6" t="s">
        <v>50</v>
      </c>
      <c r="D163" s="6">
        <v>2</v>
      </c>
      <c r="E163" s="6">
        <v>2</v>
      </c>
      <c r="F163" s="6">
        <v>2</v>
      </c>
      <c r="G163" s="6">
        <v>2</v>
      </c>
      <c r="H163" s="6">
        <v>2</v>
      </c>
      <c r="I163" s="6">
        <v>2</v>
      </c>
      <c r="J163" s="6">
        <v>2</v>
      </c>
      <c r="K163" s="6">
        <v>2</v>
      </c>
      <c r="L163" s="6">
        <v>2</v>
      </c>
      <c r="M163" s="6">
        <v>2</v>
      </c>
      <c r="N163" s="6">
        <v>2</v>
      </c>
      <c r="O163" s="6">
        <v>2</v>
      </c>
      <c r="P163" s="6">
        <v>2</v>
      </c>
      <c r="Q163" s="6">
        <v>3</v>
      </c>
      <c r="R163" s="6">
        <v>3</v>
      </c>
      <c r="S163" s="6">
        <v>4</v>
      </c>
      <c r="T163" s="6">
        <v>5</v>
      </c>
      <c r="U163" s="6">
        <v>5</v>
      </c>
      <c r="V163" s="6">
        <v>6</v>
      </c>
      <c r="W163" s="6">
        <v>7</v>
      </c>
      <c r="X163" s="6">
        <v>7</v>
      </c>
    </row>
    <row r="165" spans="3:24" x14ac:dyDescent="0.25">
      <c r="C165" s="6" t="s">
        <v>51</v>
      </c>
      <c r="D165" s="6">
        <v>3</v>
      </c>
      <c r="E165" s="6">
        <v>3</v>
      </c>
      <c r="F165" s="6">
        <v>3</v>
      </c>
      <c r="G165" s="6">
        <v>3</v>
      </c>
      <c r="H165" s="6">
        <v>2</v>
      </c>
      <c r="I165" s="6">
        <v>3</v>
      </c>
      <c r="J165" s="6">
        <v>3</v>
      </c>
      <c r="K165" s="6">
        <v>3</v>
      </c>
      <c r="L165" s="6">
        <v>3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3</v>
      </c>
      <c r="S165" s="6">
        <v>3</v>
      </c>
      <c r="T165" s="6">
        <v>2</v>
      </c>
      <c r="U165" s="6">
        <v>3</v>
      </c>
      <c r="V165" s="6">
        <v>3</v>
      </c>
      <c r="W165" s="6">
        <v>3</v>
      </c>
      <c r="X165" s="6">
        <v>3</v>
      </c>
    </row>
    <row r="167" spans="3:24" x14ac:dyDescent="0.25">
      <c r="C167" s="6" t="s">
        <v>50</v>
      </c>
      <c r="D167" s="6">
        <v>2</v>
      </c>
      <c r="E167" s="6">
        <v>2</v>
      </c>
      <c r="F167" s="6">
        <v>2</v>
      </c>
      <c r="G167" s="6">
        <v>2</v>
      </c>
      <c r="H167" s="6">
        <v>2</v>
      </c>
      <c r="I167" s="6">
        <v>2</v>
      </c>
      <c r="J167" s="6">
        <v>2</v>
      </c>
      <c r="K167" s="6">
        <v>2</v>
      </c>
      <c r="L167" s="6">
        <v>2</v>
      </c>
      <c r="M167" s="6">
        <v>2</v>
      </c>
      <c r="N167" s="6">
        <v>2</v>
      </c>
      <c r="O167" s="6">
        <v>2</v>
      </c>
      <c r="P167" s="6">
        <v>2</v>
      </c>
      <c r="Q167" s="6">
        <v>3</v>
      </c>
      <c r="R167" s="6">
        <v>4</v>
      </c>
      <c r="S167" s="6">
        <v>4</v>
      </c>
      <c r="T167" s="6">
        <v>5</v>
      </c>
      <c r="U167" s="6">
        <v>6</v>
      </c>
      <c r="V167" s="6">
        <v>7</v>
      </c>
      <c r="W167" s="6">
        <v>8</v>
      </c>
      <c r="X167" s="6">
        <v>8</v>
      </c>
    </row>
    <row r="169" spans="3:24" x14ac:dyDescent="0.25">
      <c r="C169" s="6" t="s">
        <v>51</v>
      </c>
      <c r="D169" s="6">
        <v>4</v>
      </c>
      <c r="E169" s="6">
        <v>4</v>
      </c>
      <c r="F169" s="6">
        <v>4</v>
      </c>
      <c r="G169" s="6">
        <v>3</v>
      </c>
      <c r="H169" s="6">
        <v>3</v>
      </c>
      <c r="I169" s="6">
        <v>3</v>
      </c>
      <c r="J169" s="6">
        <v>4</v>
      </c>
      <c r="K169" s="6">
        <v>4</v>
      </c>
      <c r="L169" s="6">
        <v>4</v>
      </c>
      <c r="M169" s="6">
        <v>4</v>
      </c>
      <c r="N169" s="6">
        <v>4</v>
      </c>
      <c r="O169" s="6">
        <v>4</v>
      </c>
      <c r="P169" s="6">
        <v>4</v>
      </c>
      <c r="Q169" s="6">
        <v>4</v>
      </c>
      <c r="R169" s="6">
        <v>4</v>
      </c>
      <c r="S169" s="6">
        <v>3</v>
      </c>
      <c r="T169" s="6">
        <v>3</v>
      </c>
      <c r="U169" s="6">
        <v>3</v>
      </c>
      <c r="V169" s="6">
        <v>3</v>
      </c>
      <c r="W169" s="6">
        <v>3</v>
      </c>
      <c r="X169" s="6">
        <v>3</v>
      </c>
    </row>
    <row r="171" spans="3:24" x14ac:dyDescent="0.25">
      <c r="C171" s="6" t="s">
        <v>50</v>
      </c>
      <c r="D171" s="6">
        <v>2</v>
      </c>
      <c r="E171" s="6">
        <v>2</v>
      </c>
      <c r="F171" s="6">
        <v>2</v>
      </c>
      <c r="G171" s="6">
        <v>2</v>
      </c>
      <c r="H171" s="6">
        <v>2</v>
      </c>
      <c r="I171" s="6">
        <v>2</v>
      </c>
      <c r="J171" s="6">
        <v>2</v>
      </c>
      <c r="K171" s="6">
        <v>2</v>
      </c>
      <c r="L171" s="6">
        <v>2</v>
      </c>
      <c r="M171" s="6">
        <v>2</v>
      </c>
      <c r="N171" s="6">
        <v>2</v>
      </c>
      <c r="O171" s="6">
        <v>2</v>
      </c>
      <c r="P171" s="6">
        <v>2</v>
      </c>
      <c r="Q171" s="6">
        <v>3</v>
      </c>
      <c r="R171" s="6">
        <v>4</v>
      </c>
      <c r="S171" s="6">
        <v>4</v>
      </c>
      <c r="T171" s="6">
        <v>5</v>
      </c>
      <c r="U171" s="6">
        <v>6</v>
      </c>
      <c r="V171" s="6">
        <v>7</v>
      </c>
      <c r="W171" s="6">
        <v>8</v>
      </c>
      <c r="X171" s="6">
        <v>8</v>
      </c>
    </row>
    <row r="173" spans="3:24" x14ac:dyDescent="0.25">
      <c r="C173" s="6" t="s">
        <v>51</v>
      </c>
      <c r="D173" s="6">
        <v>4</v>
      </c>
      <c r="E173" s="6">
        <v>4</v>
      </c>
      <c r="F173" s="6">
        <v>4</v>
      </c>
      <c r="G173" s="6">
        <v>3</v>
      </c>
      <c r="H173" s="6">
        <v>3</v>
      </c>
      <c r="I173" s="6">
        <v>3</v>
      </c>
      <c r="J173" s="6">
        <v>4</v>
      </c>
      <c r="K173" s="6">
        <v>4</v>
      </c>
      <c r="L173" s="6">
        <v>4</v>
      </c>
      <c r="M173" s="6">
        <v>4</v>
      </c>
      <c r="N173" s="6">
        <v>4</v>
      </c>
      <c r="O173" s="6">
        <v>4</v>
      </c>
      <c r="P173" s="6">
        <v>4</v>
      </c>
      <c r="Q173" s="6">
        <v>4</v>
      </c>
      <c r="R173" s="6">
        <v>4</v>
      </c>
      <c r="S173" s="6">
        <v>3</v>
      </c>
      <c r="T173" s="6">
        <v>3</v>
      </c>
      <c r="U173" s="6">
        <v>3</v>
      </c>
      <c r="V173" s="6">
        <v>3</v>
      </c>
      <c r="W173" s="6">
        <v>3</v>
      </c>
      <c r="X173" s="6">
        <v>3</v>
      </c>
    </row>
    <row r="175" spans="3:24" x14ac:dyDescent="0.25">
      <c r="C175" s="6" t="s">
        <v>50</v>
      </c>
      <c r="D175" s="6">
        <v>2</v>
      </c>
      <c r="E175" s="6">
        <v>2</v>
      </c>
      <c r="F175" s="6">
        <v>2</v>
      </c>
      <c r="G175" s="6">
        <v>2</v>
      </c>
      <c r="H175" s="6">
        <v>2</v>
      </c>
      <c r="I175" s="6">
        <v>2</v>
      </c>
      <c r="J175" s="6">
        <v>2</v>
      </c>
      <c r="K175" s="6">
        <v>2</v>
      </c>
      <c r="L175" s="6">
        <v>2</v>
      </c>
      <c r="M175" s="6">
        <v>2</v>
      </c>
      <c r="N175" s="6">
        <v>2</v>
      </c>
      <c r="O175" s="6">
        <v>2</v>
      </c>
      <c r="P175" s="6">
        <v>2</v>
      </c>
      <c r="Q175" s="6">
        <v>2</v>
      </c>
      <c r="R175" s="6">
        <v>2</v>
      </c>
      <c r="S175" s="6">
        <v>3</v>
      </c>
      <c r="T175" s="6">
        <v>3</v>
      </c>
      <c r="U175" s="6">
        <v>4</v>
      </c>
      <c r="V175" s="6">
        <v>4</v>
      </c>
      <c r="W175" s="6">
        <v>5</v>
      </c>
      <c r="X175" s="6">
        <v>5</v>
      </c>
    </row>
    <row r="177" spans="3:24" x14ac:dyDescent="0.25">
      <c r="C177" s="6" t="s">
        <v>51</v>
      </c>
      <c r="D177" s="6">
        <v>5</v>
      </c>
      <c r="E177" s="6">
        <v>5</v>
      </c>
      <c r="F177" s="6">
        <v>4</v>
      </c>
      <c r="G177" s="6">
        <v>4</v>
      </c>
      <c r="H177" s="6">
        <v>4</v>
      </c>
      <c r="I177" s="6">
        <v>4</v>
      </c>
      <c r="J177" s="6">
        <v>5</v>
      </c>
      <c r="K177" s="6">
        <v>5</v>
      </c>
      <c r="L177" s="6">
        <v>5</v>
      </c>
      <c r="M177" s="6">
        <v>5</v>
      </c>
      <c r="N177" s="6">
        <v>5</v>
      </c>
      <c r="O177" s="6">
        <v>5</v>
      </c>
      <c r="P177" s="6">
        <v>5</v>
      </c>
      <c r="Q177" s="6">
        <v>5</v>
      </c>
      <c r="R177" s="6">
        <v>5</v>
      </c>
      <c r="S177" s="6">
        <v>4</v>
      </c>
      <c r="T177" s="6">
        <v>4</v>
      </c>
      <c r="U177" s="6">
        <v>3</v>
      </c>
      <c r="V177" s="6">
        <v>3</v>
      </c>
      <c r="W177" s="6">
        <v>3</v>
      </c>
      <c r="X177" s="6">
        <v>3</v>
      </c>
    </row>
    <row r="179" spans="3:24" x14ac:dyDescent="0.25">
      <c r="C179" s="6" t="s">
        <v>50</v>
      </c>
      <c r="D179" s="6">
        <v>5</v>
      </c>
      <c r="E179" s="6">
        <v>5</v>
      </c>
      <c r="F179" s="6">
        <v>4</v>
      </c>
      <c r="G179" s="6">
        <v>4</v>
      </c>
      <c r="H179" s="6">
        <v>4</v>
      </c>
      <c r="I179" s="6">
        <v>3</v>
      </c>
      <c r="J179" s="6">
        <v>3</v>
      </c>
      <c r="K179" s="6">
        <v>2</v>
      </c>
      <c r="L179" s="6">
        <v>2</v>
      </c>
      <c r="M179" s="6">
        <v>2</v>
      </c>
      <c r="N179" s="6">
        <v>2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4</v>
      </c>
      <c r="V179" s="6">
        <v>4</v>
      </c>
      <c r="W179" s="6">
        <v>5</v>
      </c>
      <c r="X179" s="6">
        <v>5</v>
      </c>
    </row>
    <row r="181" spans="3:24" x14ac:dyDescent="0.25">
      <c r="C181" s="6" t="s">
        <v>51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4</v>
      </c>
      <c r="K181" s="6">
        <v>4</v>
      </c>
      <c r="L181" s="6">
        <v>4</v>
      </c>
      <c r="M181" s="6">
        <v>4</v>
      </c>
      <c r="N181" s="6">
        <v>4</v>
      </c>
      <c r="O181" s="6">
        <v>4</v>
      </c>
      <c r="P181" s="6">
        <v>4</v>
      </c>
      <c r="Q181" s="6">
        <v>4</v>
      </c>
      <c r="R181" s="6">
        <v>4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</row>
    <row r="183" spans="3:24" x14ac:dyDescent="0.25">
      <c r="C183" s="6" t="s">
        <v>50</v>
      </c>
      <c r="D183" s="6">
        <v>5</v>
      </c>
      <c r="E183" s="6">
        <v>5</v>
      </c>
      <c r="F183" s="6">
        <v>4</v>
      </c>
      <c r="G183" s="6">
        <v>4</v>
      </c>
      <c r="H183" s="6">
        <v>4</v>
      </c>
      <c r="I183" s="6">
        <v>3</v>
      </c>
      <c r="J183" s="6">
        <v>3</v>
      </c>
      <c r="K183" s="6">
        <v>2</v>
      </c>
      <c r="L183" s="6">
        <v>2</v>
      </c>
      <c r="M183" s="6">
        <v>2</v>
      </c>
      <c r="N183" s="6">
        <v>2</v>
      </c>
      <c r="O183" s="6">
        <v>2</v>
      </c>
      <c r="P183" s="6">
        <v>2</v>
      </c>
      <c r="Q183" s="6">
        <v>2</v>
      </c>
      <c r="R183" s="6">
        <v>2</v>
      </c>
      <c r="S183" s="6">
        <v>3</v>
      </c>
      <c r="T183" s="6">
        <v>3</v>
      </c>
      <c r="U183" s="6">
        <v>4</v>
      </c>
      <c r="V183" s="6">
        <v>4</v>
      </c>
      <c r="W183" s="6">
        <v>5</v>
      </c>
      <c r="X183" s="6">
        <v>5</v>
      </c>
    </row>
    <row r="185" spans="3:24" x14ac:dyDescent="0.25">
      <c r="C185" s="6" t="s">
        <v>51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4</v>
      </c>
      <c r="K185" s="6">
        <v>4</v>
      </c>
      <c r="L185" s="6">
        <v>4</v>
      </c>
      <c r="M185" s="6">
        <v>4</v>
      </c>
      <c r="N185" s="6">
        <v>4</v>
      </c>
      <c r="O185" s="6">
        <v>4</v>
      </c>
      <c r="P185" s="6">
        <v>4</v>
      </c>
      <c r="Q185" s="6">
        <v>4</v>
      </c>
      <c r="R185" s="6">
        <v>4</v>
      </c>
      <c r="S185" s="6">
        <v>3</v>
      </c>
      <c r="T185" s="6">
        <v>3</v>
      </c>
      <c r="U185" s="6">
        <v>3</v>
      </c>
      <c r="V185" s="6">
        <v>3</v>
      </c>
      <c r="W185" s="6">
        <v>3</v>
      </c>
      <c r="X185" s="6">
        <v>3</v>
      </c>
    </row>
    <row r="187" spans="3:24" x14ac:dyDescent="0.25">
      <c r="C187" s="6" t="s">
        <v>50</v>
      </c>
      <c r="D187" s="6">
        <v>5</v>
      </c>
      <c r="E187" s="6">
        <v>5</v>
      </c>
      <c r="F187" s="6">
        <v>4</v>
      </c>
      <c r="G187" s="6">
        <v>4</v>
      </c>
      <c r="H187" s="6">
        <v>4</v>
      </c>
      <c r="I187" s="6">
        <v>3</v>
      </c>
      <c r="J187" s="6">
        <v>3</v>
      </c>
      <c r="K187" s="6">
        <v>2</v>
      </c>
      <c r="L187" s="6">
        <v>2</v>
      </c>
      <c r="M187" s="6">
        <v>2</v>
      </c>
      <c r="N187" s="6">
        <v>2</v>
      </c>
      <c r="O187" s="6">
        <v>2</v>
      </c>
      <c r="P187" s="6">
        <v>2</v>
      </c>
      <c r="Q187" s="6">
        <v>2</v>
      </c>
      <c r="R187" s="6">
        <v>2</v>
      </c>
      <c r="S187" s="6">
        <v>3</v>
      </c>
      <c r="T187" s="6">
        <v>3</v>
      </c>
      <c r="U187" s="6">
        <v>4</v>
      </c>
      <c r="V187" s="6">
        <v>4</v>
      </c>
      <c r="W187" s="6">
        <v>5</v>
      </c>
      <c r="X187" s="6">
        <v>5</v>
      </c>
    </row>
    <row r="189" spans="3:24" x14ac:dyDescent="0.25">
      <c r="C189" s="6" t="s">
        <v>51</v>
      </c>
      <c r="D189" s="6">
        <v>3</v>
      </c>
      <c r="E189" s="6">
        <v>3</v>
      </c>
      <c r="F189" s="6">
        <v>3</v>
      </c>
      <c r="G189" s="6">
        <v>3</v>
      </c>
      <c r="H189" s="6">
        <v>3</v>
      </c>
      <c r="I189" s="6">
        <v>3</v>
      </c>
      <c r="J189" s="6">
        <v>4</v>
      </c>
      <c r="K189" s="6">
        <v>4</v>
      </c>
      <c r="L189" s="6">
        <v>4</v>
      </c>
      <c r="M189" s="6">
        <v>4</v>
      </c>
      <c r="N189" s="6">
        <v>4</v>
      </c>
      <c r="O189" s="6">
        <v>4</v>
      </c>
      <c r="P189" s="6">
        <v>4</v>
      </c>
      <c r="Q189" s="6">
        <v>4</v>
      </c>
      <c r="R189" s="6">
        <v>4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</row>
    <row r="191" spans="3:24" x14ac:dyDescent="0.25">
      <c r="C191" s="6" t="s">
        <v>50</v>
      </c>
      <c r="D191" s="6">
        <v>5</v>
      </c>
      <c r="E191" s="6">
        <v>5</v>
      </c>
      <c r="F191" s="6">
        <v>4</v>
      </c>
      <c r="G191" s="6">
        <v>4</v>
      </c>
      <c r="H191" s="6">
        <v>4</v>
      </c>
      <c r="I191" s="6">
        <v>3</v>
      </c>
      <c r="J191" s="6">
        <v>3</v>
      </c>
      <c r="K191" s="6">
        <v>2</v>
      </c>
      <c r="L191" s="6">
        <v>2</v>
      </c>
      <c r="M191" s="6">
        <v>2</v>
      </c>
      <c r="N191" s="6">
        <v>2</v>
      </c>
      <c r="O191" s="6">
        <v>2</v>
      </c>
      <c r="P191" s="6">
        <v>2</v>
      </c>
      <c r="Q191" s="6">
        <v>2</v>
      </c>
      <c r="R191" s="6">
        <v>2</v>
      </c>
      <c r="S191" s="6">
        <v>3</v>
      </c>
      <c r="T191" s="6">
        <v>3</v>
      </c>
      <c r="U191" s="6">
        <v>4</v>
      </c>
      <c r="V191" s="6">
        <v>4</v>
      </c>
      <c r="W191" s="6">
        <v>5</v>
      </c>
      <c r="X191" s="6">
        <v>5</v>
      </c>
    </row>
    <row r="193" spans="3:24" x14ac:dyDescent="0.25">
      <c r="C193" s="6" t="s">
        <v>51</v>
      </c>
      <c r="D193" s="6">
        <v>3</v>
      </c>
      <c r="E193" s="6">
        <v>3</v>
      </c>
      <c r="F193" s="6">
        <v>3</v>
      </c>
      <c r="G193" s="6">
        <v>3</v>
      </c>
      <c r="H193" s="6">
        <v>3</v>
      </c>
      <c r="I193" s="6">
        <v>3</v>
      </c>
      <c r="J193" s="6">
        <v>4</v>
      </c>
      <c r="K193" s="6">
        <v>4</v>
      </c>
      <c r="L193" s="6">
        <v>4</v>
      </c>
      <c r="M193" s="6">
        <v>4</v>
      </c>
      <c r="N193" s="6">
        <v>4</v>
      </c>
      <c r="O193" s="6">
        <v>4</v>
      </c>
      <c r="P193" s="6">
        <v>4</v>
      </c>
      <c r="Q193" s="6">
        <v>4</v>
      </c>
      <c r="R193" s="6">
        <v>4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</row>
    <row r="195" spans="3:24" x14ac:dyDescent="0.25">
      <c r="C195" s="6" t="s">
        <v>50</v>
      </c>
      <c r="D195" s="6">
        <v>5</v>
      </c>
      <c r="E195" s="6">
        <v>5</v>
      </c>
      <c r="F195" s="6">
        <v>4</v>
      </c>
      <c r="G195" s="6">
        <v>4</v>
      </c>
      <c r="H195" s="6">
        <v>4</v>
      </c>
      <c r="I195" s="6">
        <v>3</v>
      </c>
      <c r="J195" s="6">
        <v>3</v>
      </c>
      <c r="K195" s="6">
        <v>2</v>
      </c>
      <c r="L195" s="6">
        <v>2</v>
      </c>
      <c r="M195" s="6">
        <v>2</v>
      </c>
      <c r="N195" s="6">
        <v>2</v>
      </c>
      <c r="O195" s="6">
        <v>2</v>
      </c>
      <c r="P195" s="6">
        <v>2</v>
      </c>
      <c r="Q195" s="6">
        <v>2</v>
      </c>
      <c r="R195" s="6">
        <v>2</v>
      </c>
      <c r="S195" s="6">
        <v>2</v>
      </c>
      <c r="T195" s="6">
        <v>2</v>
      </c>
      <c r="U195" s="6">
        <v>2</v>
      </c>
      <c r="V195" s="6">
        <v>2</v>
      </c>
      <c r="W195" s="6">
        <v>2</v>
      </c>
      <c r="X195" s="6">
        <v>2</v>
      </c>
    </row>
    <row r="197" spans="3:24" x14ac:dyDescent="0.25">
      <c r="C197" s="6" t="s">
        <v>51</v>
      </c>
      <c r="D197" s="6">
        <v>3</v>
      </c>
      <c r="E197" s="6">
        <v>3</v>
      </c>
      <c r="F197" s="6">
        <v>3</v>
      </c>
      <c r="G197" s="6">
        <v>3</v>
      </c>
      <c r="H197" s="6">
        <v>3</v>
      </c>
      <c r="I197" s="6">
        <v>3</v>
      </c>
      <c r="J197" s="6">
        <v>4</v>
      </c>
      <c r="K197" s="6">
        <v>4</v>
      </c>
      <c r="L197" s="6">
        <v>4</v>
      </c>
      <c r="M197" s="6">
        <v>4</v>
      </c>
      <c r="N197" s="6">
        <v>4</v>
      </c>
      <c r="O197" s="6">
        <v>4</v>
      </c>
      <c r="P197" s="6">
        <v>4</v>
      </c>
      <c r="Q197" s="6">
        <v>4</v>
      </c>
      <c r="R197" s="6">
        <v>4</v>
      </c>
      <c r="S197" s="6">
        <v>3</v>
      </c>
      <c r="T197" s="6">
        <v>3</v>
      </c>
      <c r="U197" s="6">
        <v>3</v>
      </c>
      <c r="V197" s="6">
        <v>4</v>
      </c>
      <c r="W197" s="6">
        <v>4</v>
      </c>
      <c r="X197" s="6">
        <v>4</v>
      </c>
    </row>
    <row r="199" spans="3:24" x14ac:dyDescent="0.25">
      <c r="C199" s="6" t="s">
        <v>50</v>
      </c>
      <c r="D199" s="6">
        <v>8</v>
      </c>
      <c r="E199" s="6">
        <v>8</v>
      </c>
      <c r="F199" s="6">
        <v>7</v>
      </c>
      <c r="G199" s="6">
        <v>6</v>
      </c>
      <c r="H199" s="6">
        <v>5</v>
      </c>
      <c r="I199" s="6">
        <v>5</v>
      </c>
      <c r="J199" s="6">
        <v>4</v>
      </c>
      <c r="K199" s="6">
        <v>3</v>
      </c>
      <c r="L199" s="6">
        <v>2</v>
      </c>
      <c r="M199" s="6">
        <v>2</v>
      </c>
      <c r="N199" s="6">
        <v>2</v>
      </c>
      <c r="O199" s="6">
        <v>2</v>
      </c>
      <c r="P199" s="6">
        <v>2</v>
      </c>
      <c r="Q199" s="6">
        <v>4</v>
      </c>
      <c r="R199" s="6">
        <v>4</v>
      </c>
      <c r="S199" s="6">
        <v>5</v>
      </c>
      <c r="T199" s="6">
        <v>6</v>
      </c>
      <c r="U199" s="6">
        <v>7</v>
      </c>
      <c r="V199" s="6">
        <v>8</v>
      </c>
      <c r="W199" s="6">
        <v>9</v>
      </c>
      <c r="X199" s="6">
        <v>10</v>
      </c>
    </row>
    <row r="201" spans="3:24" x14ac:dyDescent="0.25">
      <c r="C201" s="6" t="s">
        <v>51</v>
      </c>
      <c r="D201" s="6">
        <v>6</v>
      </c>
      <c r="E201" s="6">
        <v>6</v>
      </c>
      <c r="F201" s="6">
        <v>5</v>
      </c>
      <c r="G201" s="6">
        <v>5</v>
      </c>
      <c r="H201" s="6">
        <v>4</v>
      </c>
      <c r="I201" s="6">
        <v>5</v>
      </c>
      <c r="J201" s="6">
        <v>6</v>
      </c>
      <c r="K201" s="6">
        <v>6</v>
      </c>
      <c r="L201" s="6">
        <v>6</v>
      </c>
      <c r="M201" s="6">
        <v>6</v>
      </c>
      <c r="N201" s="6">
        <v>6</v>
      </c>
      <c r="O201" s="6">
        <v>6</v>
      </c>
      <c r="P201" s="6">
        <v>6</v>
      </c>
      <c r="Q201" s="6">
        <v>6</v>
      </c>
      <c r="R201" s="6">
        <v>6</v>
      </c>
      <c r="S201" s="6">
        <v>5</v>
      </c>
      <c r="T201" s="6">
        <v>4</v>
      </c>
      <c r="U201" s="6">
        <v>5</v>
      </c>
      <c r="V201" s="6">
        <v>5</v>
      </c>
      <c r="W201" s="6">
        <v>6</v>
      </c>
      <c r="X201" s="6">
        <v>6</v>
      </c>
    </row>
    <row r="203" spans="3:24" x14ac:dyDescent="0.25">
      <c r="C203" s="6" t="s">
        <v>50</v>
      </c>
      <c r="D203" s="6">
        <v>7</v>
      </c>
      <c r="E203" s="6">
        <v>7</v>
      </c>
      <c r="F203" s="6">
        <v>6</v>
      </c>
      <c r="G203" s="6">
        <v>5</v>
      </c>
      <c r="H203" s="6">
        <v>5</v>
      </c>
      <c r="I203" s="6">
        <v>4</v>
      </c>
      <c r="J203" s="6">
        <v>3</v>
      </c>
      <c r="K203" s="6">
        <v>3</v>
      </c>
      <c r="L203" s="6">
        <v>2</v>
      </c>
      <c r="M203" s="6">
        <v>2</v>
      </c>
      <c r="N203" s="6">
        <v>2</v>
      </c>
      <c r="O203" s="6">
        <v>2</v>
      </c>
      <c r="P203" s="6">
        <v>2</v>
      </c>
      <c r="Q203" s="6">
        <v>3</v>
      </c>
      <c r="R203" s="6">
        <v>4</v>
      </c>
      <c r="S203" s="6">
        <v>4</v>
      </c>
      <c r="T203" s="6">
        <v>5</v>
      </c>
      <c r="U203" s="6">
        <v>6</v>
      </c>
      <c r="V203" s="6">
        <v>7</v>
      </c>
      <c r="W203" s="6">
        <v>8</v>
      </c>
      <c r="X203" s="6">
        <v>8</v>
      </c>
    </row>
    <row r="205" spans="3:24" x14ac:dyDescent="0.25">
      <c r="C205" s="6" t="s">
        <v>51</v>
      </c>
      <c r="D205" s="6">
        <v>5</v>
      </c>
      <c r="E205" s="6">
        <v>5</v>
      </c>
      <c r="F205" s="6">
        <v>4</v>
      </c>
      <c r="G205" s="6">
        <v>4</v>
      </c>
      <c r="H205" s="6">
        <v>4</v>
      </c>
      <c r="I205" s="6">
        <v>4</v>
      </c>
      <c r="J205" s="6">
        <v>5</v>
      </c>
      <c r="K205" s="6">
        <v>5</v>
      </c>
      <c r="L205" s="6">
        <v>5</v>
      </c>
      <c r="M205" s="6">
        <v>5</v>
      </c>
      <c r="N205" s="6">
        <v>5</v>
      </c>
      <c r="O205" s="6">
        <v>5</v>
      </c>
      <c r="P205" s="6">
        <v>5</v>
      </c>
      <c r="Q205" s="6">
        <v>5</v>
      </c>
      <c r="R205" s="6">
        <v>5</v>
      </c>
      <c r="S205" s="6">
        <v>4</v>
      </c>
      <c r="T205" s="6">
        <v>4</v>
      </c>
      <c r="U205" s="6">
        <v>4</v>
      </c>
      <c r="V205" s="6">
        <v>4</v>
      </c>
      <c r="W205" s="6">
        <v>5</v>
      </c>
      <c r="X205" s="6">
        <v>5</v>
      </c>
    </row>
    <row r="207" spans="3:24" x14ac:dyDescent="0.25">
      <c r="C207" s="6" t="s">
        <v>50</v>
      </c>
      <c r="D207" s="6">
        <v>8</v>
      </c>
      <c r="E207" s="6">
        <v>8</v>
      </c>
      <c r="F207" s="6">
        <v>7</v>
      </c>
      <c r="G207" s="6">
        <v>6</v>
      </c>
      <c r="H207" s="6">
        <v>5</v>
      </c>
      <c r="I207" s="6">
        <v>5</v>
      </c>
      <c r="J207" s="6">
        <v>4</v>
      </c>
      <c r="K207" s="6">
        <v>3</v>
      </c>
      <c r="L207" s="6">
        <v>2</v>
      </c>
      <c r="M207" s="6">
        <v>2</v>
      </c>
      <c r="N207" s="6">
        <v>2</v>
      </c>
      <c r="O207" s="6">
        <v>2</v>
      </c>
      <c r="P207" s="6">
        <v>2</v>
      </c>
      <c r="Q207" s="6">
        <v>4</v>
      </c>
      <c r="R207" s="6">
        <v>4</v>
      </c>
      <c r="S207" s="6">
        <v>5</v>
      </c>
      <c r="T207" s="6">
        <v>6</v>
      </c>
      <c r="U207" s="6">
        <v>7</v>
      </c>
      <c r="V207" s="6">
        <v>8</v>
      </c>
      <c r="W207" s="6">
        <v>9</v>
      </c>
      <c r="X207" s="6">
        <v>10</v>
      </c>
    </row>
    <row r="209" spans="3:24" x14ac:dyDescent="0.25">
      <c r="C209" s="6" t="s">
        <v>51</v>
      </c>
      <c r="D209" s="6">
        <v>6</v>
      </c>
      <c r="E209" s="6">
        <v>6</v>
      </c>
      <c r="F209" s="6">
        <v>5</v>
      </c>
      <c r="G209" s="6">
        <v>5</v>
      </c>
      <c r="H209" s="6">
        <v>4</v>
      </c>
      <c r="I209" s="6">
        <v>5</v>
      </c>
      <c r="J209" s="6">
        <v>6</v>
      </c>
      <c r="K209" s="6">
        <v>6</v>
      </c>
      <c r="L209" s="6">
        <v>6</v>
      </c>
      <c r="M209" s="6">
        <v>6</v>
      </c>
      <c r="N209" s="6">
        <v>6</v>
      </c>
      <c r="O209" s="6">
        <v>6</v>
      </c>
      <c r="P209" s="6">
        <v>6</v>
      </c>
      <c r="Q209" s="6">
        <v>6</v>
      </c>
      <c r="R209" s="6">
        <v>6</v>
      </c>
      <c r="S209" s="6">
        <v>5</v>
      </c>
      <c r="T209" s="6">
        <v>4</v>
      </c>
      <c r="U209" s="6">
        <v>5</v>
      </c>
      <c r="V209" s="6">
        <v>5</v>
      </c>
      <c r="W209" s="6">
        <v>6</v>
      </c>
      <c r="X209" s="6">
        <v>6</v>
      </c>
    </row>
    <row r="211" spans="3:24" x14ac:dyDescent="0.25">
      <c r="C211" s="6" t="s">
        <v>50</v>
      </c>
      <c r="D211" s="6">
        <v>7</v>
      </c>
      <c r="E211" s="6">
        <v>7</v>
      </c>
      <c r="F211" s="6">
        <v>6</v>
      </c>
      <c r="G211" s="6">
        <v>5</v>
      </c>
      <c r="H211" s="6">
        <v>5</v>
      </c>
      <c r="I211" s="6">
        <v>4</v>
      </c>
      <c r="J211" s="6">
        <v>3</v>
      </c>
      <c r="K211" s="6">
        <v>3</v>
      </c>
      <c r="L211" s="6">
        <v>2</v>
      </c>
      <c r="M211" s="6">
        <v>2</v>
      </c>
      <c r="N211" s="6">
        <v>2</v>
      </c>
      <c r="O211" s="6">
        <v>2</v>
      </c>
      <c r="P211" s="6">
        <v>2</v>
      </c>
      <c r="Q211" s="6">
        <v>3</v>
      </c>
      <c r="R211" s="6">
        <v>4</v>
      </c>
      <c r="S211" s="6">
        <v>4</v>
      </c>
      <c r="T211" s="6">
        <v>5</v>
      </c>
      <c r="U211" s="6">
        <v>6</v>
      </c>
      <c r="V211" s="6">
        <v>7</v>
      </c>
      <c r="W211" s="6">
        <v>8</v>
      </c>
      <c r="X211" s="6">
        <v>8</v>
      </c>
    </row>
    <row r="213" spans="3:24" x14ac:dyDescent="0.25">
      <c r="C213" s="6" t="s">
        <v>51</v>
      </c>
      <c r="D213" s="6">
        <v>5</v>
      </c>
      <c r="E213" s="6">
        <v>5</v>
      </c>
      <c r="F213" s="6">
        <v>4</v>
      </c>
      <c r="G213" s="6">
        <v>4</v>
      </c>
      <c r="H213" s="6">
        <v>4</v>
      </c>
      <c r="I213" s="6">
        <v>4</v>
      </c>
      <c r="J213" s="6">
        <v>5</v>
      </c>
      <c r="K213" s="6">
        <v>5</v>
      </c>
      <c r="L213" s="6">
        <v>5</v>
      </c>
      <c r="M213" s="6">
        <v>5</v>
      </c>
      <c r="N213" s="6">
        <v>5</v>
      </c>
      <c r="O213" s="6">
        <v>5</v>
      </c>
      <c r="P213" s="6">
        <v>5</v>
      </c>
      <c r="Q213" s="6">
        <v>5</v>
      </c>
      <c r="R213" s="6">
        <v>5</v>
      </c>
      <c r="S213" s="6">
        <v>4</v>
      </c>
      <c r="T213" s="6">
        <v>4</v>
      </c>
      <c r="U213" s="6">
        <v>4</v>
      </c>
      <c r="V213" s="6">
        <v>4</v>
      </c>
      <c r="W213" s="6">
        <v>5</v>
      </c>
      <c r="X213" s="6">
        <v>5</v>
      </c>
    </row>
    <row r="215" spans="3:24" x14ac:dyDescent="0.25">
      <c r="C215" s="6" t="s">
        <v>50</v>
      </c>
      <c r="D215" s="6">
        <v>8</v>
      </c>
      <c r="E215" s="6">
        <v>8</v>
      </c>
      <c r="F215" s="6">
        <v>7</v>
      </c>
      <c r="G215" s="6">
        <v>6</v>
      </c>
      <c r="H215" s="6">
        <v>5</v>
      </c>
      <c r="I215" s="6">
        <v>5</v>
      </c>
      <c r="J215" s="6">
        <v>4</v>
      </c>
      <c r="K215" s="6">
        <v>3</v>
      </c>
      <c r="L215" s="6">
        <v>2</v>
      </c>
      <c r="M215" s="6">
        <v>2</v>
      </c>
      <c r="N215" s="6">
        <v>2</v>
      </c>
      <c r="O215" s="6">
        <v>2</v>
      </c>
      <c r="P215" s="6">
        <v>2</v>
      </c>
      <c r="Q215" s="6">
        <v>4</v>
      </c>
      <c r="R215" s="6">
        <v>4</v>
      </c>
      <c r="S215" s="6">
        <v>5</v>
      </c>
      <c r="T215" s="6">
        <v>6</v>
      </c>
      <c r="U215" s="6">
        <v>7</v>
      </c>
      <c r="V215" s="6">
        <v>8</v>
      </c>
      <c r="W215" s="6">
        <v>9</v>
      </c>
      <c r="X215" s="6">
        <v>10</v>
      </c>
    </row>
    <row r="217" spans="3:24" x14ac:dyDescent="0.25">
      <c r="C217" s="6" t="s">
        <v>51</v>
      </c>
      <c r="D217" s="6">
        <v>6</v>
      </c>
      <c r="E217" s="6">
        <v>6</v>
      </c>
      <c r="F217" s="6">
        <v>5</v>
      </c>
      <c r="G217" s="6">
        <v>5</v>
      </c>
      <c r="H217" s="6">
        <v>4</v>
      </c>
      <c r="I217" s="6">
        <v>5</v>
      </c>
      <c r="J217" s="6">
        <v>6</v>
      </c>
      <c r="K217" s="6">
        <v>6</v>
      </c>
      <c r="L217" s="6">
        <v>6</v>
      </c>
      <c r="M217" s="6">
        <v>6</v>
      </c>
      <c r="N217" s="6">
        <v>6</v>
      </c>
      <c r="O217" s="6">
        <v>6</v>
      </c>
      <c r="P217" s="6">
        <v>6</v>
      </c>
      <c r="Q217" s="6">
        <v>6</v>
      </c>
      <c r="R217" s="6">
        <v>6</v>
      </c>
      <c r="S217" s="6">
        <v>5</v>
      </c>
      <c r="T217" s="6">
        <v>4</v>
      </c>
      <c r="U217" s="6">
        <v>5</v>
      </c>
      <c r="V217" s="6">
        <v>5</v>
      </c>
      <c r="W217" s="6">
        <v>6</v>
      </c>
      <c r="X217" s="6">
        <v>6</v>
      </c>
    </row>
    <row r="219" spans="3:24" x14ac:dyDescent="0.25">
      <c r="C219" s="6" t="s">
        <v>50</v>
      </c>
      <c r="D219" s="6">
        <v>8</v>
      </c>
      <c r="E219" s="6">
        <v>8</v>
      </c>
      <c r="F219" s="6">
        <v>7</v>
      </c>
      <c r="G219" s="6">
        <v>6</v>
      </c>
      <c r="H219" s="6">
        <v>5</v>
      </c>
      <c r="I219" s="6">
        <v>5</v>
      </c>
      <c r="J219" s="6">
        <v>4</v>
      </c>
      <c r="K219" s="6">
        <v>3</v>
      </c>
      <c r="L219" s="6">
        <v>2</v>
      </c>
      <c r="M219" s="6">
        <v>2</v>
      </c>
      <c r="N219" s="6">
        <v>2</v>
      </c>
      <c r="O219" s="6">
        <v>2</v>
      </c>
      <c r="P219" s="6">
        <v>2</v>
      </c>
      <c r="Q219" s="6">
        <v>4</v>
      </c>
      <c r="R219" s="6">
        <v>4</v>
      </c>
      <c r="S219" s="6">
        <v>5</v>
      </c>
      <c r="T219" s="6">
        <v>6</v>
      </c>
      <c r="U219" s="6">
        <v>7</v>
      </c>
      <c r="V219" s="6">
        <v>8</v>
      </c>
      <c r="W219" s="6">
        <v>9</v>
      </c>
      <c r="X219" s="6">
        <v>10</v>
      </c>
    </row>
    <row r="221" spans="3:24" x14ac:dyDescent="0.25">
      <c r="C221" s="6" t="s">
        <v>51</v>
      </c>
      <c r="D221" s="6">
        <v>6</v>
      </c>
      <c r="E221" s="6">
        <v>6</v>
      </c>
      <c r="F221" s="6">
        <v>5</v>
      </c>
      <c r="G221" s="6">
        <v>5</v>
      </c>
      <c r="H221" s="6">
        <v>4</v>
      </c>
      <c r="I221" s="6">
        <v>5</v>
      </c>
      <c r="J221" s="6">
        <v>6</v>
      </c>
      <c r="K221" s="6">
        <v>6</v>
      </c>
      <c r="L221" s="6">
        <v>6</v>
      </c>
      <c r="M221" s="6">
        <v>6</v>
      </c>
      <c r="N221" s="6">
        <v>6</v>
      </c>
      <c r="O221" s="6">
        <v>6</v>
      </c>
      <c r="P221" s="6">
        <v>6</v>
      </c>
      <c r="Q221" s="6">
        <v>6</v>
      </c>
      <c r="R221" s="6">
        <v>6</v>
      </c>
      <c r="S221" s="6">
        <v>5</v>
      </c>
      <c r="T221" s="6">
        <v>4</v>
      </c>
      <c r="U221" s="6">
        <v>5</v>
      </c>
      <c r="V221" s="6">
        <v>5</v>
      </c>
      <c r="W221" s="6">
        <v>6</v>
      </c>
      <c r="X221" s="6">
        <v>6</v>
      </c>
    </row>
    <row r="223" spans="3:24" x14ac:dyDescent="0.25">
      <c r="C223" s="6" t="s">
        <v>50</v>
      </c>
      <c r="D223" s="6">
        <v>2</v>
      </c>
      <c r="E223" s="6">
        <v>2</v>
      </c>
      <c r="F223" s="6">
        <v>2</v>
      </c>
      <c r="G223" s="6">
        <v>2</v>
      </c>
      <c r="H223" s="6">
        <v>2</v>
      </c>
      <c r="I223" s="6">
        <v>2</v>
      </c>
      <c r="J223" s="6">
        <v>2</v>
      </c>
      <c r="K223" s="6">
        <v>2</v>
      </c>
      <c r="L223" s="6">
        <v>2</v>
      </c>
      <c r="M223" s="6">
        <v>2</v>
      </c>
      <c r="N223" s="6">
        <v>2</v>
      </c>
      <c r="O223" s="6">
        <v>2</v>
      </c>
      <c r="P223" s="6">
        <v>2</v>
      </c>
      <c r="Q223" s="6">
        <v>2</v>
      </c>
      <c r="R223" s="6">
        <v>2</v>
      </c>
      <c r="S223" s="6">
        <v>3</v>
      </c>
      <c r="T223" s="6">
        <v>3</v>
      </c>
      <c r="U223" s="6">
        <v>4</v>
      </c>
      <c r="V223" s="6">
        <v>4</v>
      </c>
      <c r="W223" s="6">
        <v>5</v>
      </c>
      <c r="X223" s="6">
        <v>5</v>
      </c>
    </row>
    <row r="225" spans="3:24" x14ac:dyDescent="0.25">
      <c r="C225" s="6" t="s">
        <v>51</v>
      </c>
      <c r="D225" s="6">
        <v>5</v>
      </c>
      <c r="E225" s="6">
        <v>5</v>
      </c>
      <c r="F225" s="6">
        <v>4</v>
      </c>
      <c r="G225" s="6">
        <v>4</v>
      </c>
      <c r="H225" s="6">
        <v>4</v>
      </c>
      <c r="I225" s="6">
        <v>4</v>
      </c>
      <c r="J225" s="6">
        <v>5</v>
      </c>
      <c r="K225" s="6">
        <v>5</v>
      </c>
      <c r="L225" s="6">
        <v>5</v>
      </c>
      <c r="M225" s="6">
        <v>5</v>
      </c>
      <c r="N225" s="6">
        <v>5</v>
      </c>
      <c r="O225" s="6">
        <v>5</v>
      </c>
      <c r="P225" s="6">
        <v>5</v>
      </c>
      <c r="Q225" s="6">
        <v>5</v>
      </c>
      <c r="R225" s="6">
        <v>5</v>
      </c>
      <c r="S225" s="6">
        <v>4</v>
      </c>
      <c r="T225" s="6">
        <v>4</v>
      </c>
      <c r="U225" s="6">
        <v>3</v>
      </c>
      <c r="V225" s="6">
        <v>3</v>
      </c>
      <c r="W225" s="6">
        <v>3</v>
      </c>
      <c r="X225" s="6">
        <v>3</v>
      </c>
    </row>
    <row r="227" spans="3:24" x14ac:dyDescent="0.25">
      <c r="C227" s="6" t="s">
        <v>50</v>
      </c>
      <c r="D227" s="6">
        <v>5</v>
      </c>
      <c r="E227" s="6">
        <v>5</v>
      </c>
      <c r="F227" s="6">
        <v>4</v>
      </c>
      <c r="G227" s="6">
        <v>4</v>
      </c>
      <c r="H227" s="6">
        <v>4</v>
      </c>
      <c r="I227" s="6">
        <v>3</v>
      </c>
      <c r="J227" s="6">
        <v>3</v>
      </c>
      <c r="K227" s="6">
        <v>2</v>
      </c>
      <c r="L227" s="6">
        <v>2</v>
      </c>
      <c r="M227" s="6">
        <v>2</v>
      </c>
      <c r="N227" s="6">
        <v>2</v>
      </c>
      <c r="O227" s="6">
        <v>2</v>
      </c>
      <c r="P227" s="6">
        <v>2</v>
      </c>
      <c r="Q227" s="6">
        <v>2</v>
      </c>
      <c r="R227" s="6">
        <v>2</v>
      </c>
      <c r="S227" s="6">
        <v>3</v>
      </c>
      <c r="T227" s="6">
        <v>3</v>
      </c>
      <c r="U227" s="6">
        <v>4</v>
      </c>
      <c r="V227" s="6">
        <v>4</v>
      </c>
      <c r="W227" s="6">
        <v>5</v>
      </c>
      <c r="X227" s="6">
        <v>5</v>
      </c>
    </row>
    <row r="229" spans="3:24" x14ac:dyDescent="0.25">
      <c r="C229" s="6" t="s">
        <v>51</v>
      </c>
      <c r="D229" s="6">
        <v>3</v>
      </c>
      <c r="E229" s="6">
        <v>3</v>
      </c>
      <c r="F229" s="6">
        <v>3</v>
      </c>
      <c r="G229" s="6">
        <v>3</v>
      </c>
      <c r="H229" s="6">
        <v>3</v>
      </c>
      <c r="I229" s="6">
        <v>3</v>
      </c>
      <c r="J229" s="6">
        <v>4</v>
      </c>
      <c r="K229" s="6">
        <v>4</v>
      </c>
      <c r="L229" s="6">
        <v>4</v>
      </c>
      <c r="M229" s="6">
        <v>4</v>
      </c>
      <c r="N229" s="6">
        <v>4</v>
      </c>
      <c r="O229" s="6">
        <v>4</v>
      </c>
      <c r="P229" s="6">
        <v>4</v>
      </c>
      <c r="Q229" s="6">
        <v>4</v>
      </c>
      <c r="R229" s="6">
        <v>4</v>
      </c>
      <c r="S229" s="6">
        <v>3</v>
      </c>
      <c r="T229" s="6">
        <v>3</v>
      </c>
      <c r="U229" s="6">
        <v>3</v>
      </c>
      <c r="V229" s="6">
        <v>3</v>
      </c>
      <c r="W229" s="6">
        <v>3</v>
      </c>
      <c r="X229" s="6">
        <v>3</v>
      </c>
    </row>
    <row r="231" spans="3:24" x14ac:dyDescent="0.25">
      <c r="C231" s="6" t="s">
        <v>50</v>
      </c>
      <c r="D231" s="6">
        <v>5</v>
      </c>
      <c r="E231" s="6">
        <v>5</v>
      </c>
      <c r="F231" s="6">
        <v>4</v>
      </c>
      <c r="G231" s="6">
        <v>4</v>
      </c>
      <c r="H231" s="6">
        <v>4</v>
      </c>
      <c r="I231" s="6">
        <v>3</v>
      </c>
      <c r="J231" s="6">
        <v>3</v>
      </c>
      <c r="K231" s="6">
        <v>2</v>
      </c>
      <c r="L231" s="6">
        <v>2</v>
      </c>
      <c r="M231" s="6">
        <v>2</v>
      </c>
      <c r="N231" s="6">
        <v>2</v>
      </c>
      <c r="O231" s="6">
        <v>2</v>
      </c>
      <c r="P231" s="6">
        <v>2</v>
      </c>
      <c r="Q231" s="6">
        <v>2</v>
      </c>
      <c r="R231" s="6">
        <v>2</v>
      </c>
      <c r="S231" s="6">
        <v>3</v>
      </c>
      <c r="T231" s="6">
        <v>3</v>
      </c>
      <c r="U231" s="6">
        <v>4</v>
      </c>
      <c r="V231" s="6">
        <v>4</v>
      </c>
      <c r="W231" s="6">
        <v>5</v>
      </c>
      <c r="X231" s="6">
        <v>5</v>
      </c>
    </row>
    <row r="233" spans="3:24" x14ac:dyDescent="0.25">
      <c r="C233" s="6" t="s">
        <v>51</v>
      </c>
      <c r="D233" s="6">
        <v>3</v>
      </c>
      <c r="E233" s="6">
        <v>3</v>
      </c>
      <c r="F233" s="6">
        <v>3</v>
      </c>
      <c r="G233" s="6">
        <v>3</v>
      </c>
      <c r="H233" s="6">
        <v>3</v>
      </c>
      <c r="I233" s="6">
        <v>3</v>
      </c>
      <c r="J233" s="6">
        <v>4</v>
      </c>
      <c r="K233" s="6">
        <v>4</v>
      </c>
      <c r="L233" s="6">
        <v>4</v>
      </c>
      <c r="M233" s="6">
        <v>4</v>
      </c>
      <c r="N233" s="6">
        <v>4</v>
      </c>
      <c r="O233" s="6">
        <v>4</v>
      </c>
      <c r="P233" s="6">
        <v>4</v>
      </c>
      <c r="Q233" s="6">
        <v>4</v>
      </c>
      <c r="R233" s="6">
        <v>4</v>
      </c>
      <c r="S233" s="6">
        <v>3</v>
      </c>
      <c r="T233" s="6">
        <v>3</v>
      </c>
      <c r="U233" s="6">
        <v>3</v>
      </c>
      <c r="V233" s="6">
        <v>3</v>
      </c>
      <c r="W233" s="6">
        <v>3</v>
      </c>
      <c r="X233" s="6">
        <v>3</v>
      </c>
    </row>
    <row r="235" spans="3:24" x14ac:dyDescent="0.25">
      <c r="C235" s="6" t="s">
        <v>50</v>
      </c>
      <c r="D235" s="6">
        <v>5</v>
      </c>
      <c r="E235" s="6">
        <v>5</v>
      </c>
      <c r="F235" s="6">
        <v>4</v>
      </c>
      <c r="G235" s="6">
        <v>4</v>
      </c>
      <c r="H235" s="6">
        <v>4</v>
      </c>
      <c r="I235" s="6">
        <v>3</v>
      </c>
      <c r="J235" s="6">
        <v>3</v>
      </c>
      <c r="K235" s="6">
        <v>2</v>
      </c>
      <c r="L235" s="6">
        <v>2</v>
      </c>
      <c r="M235" s="6">
        <v>2</v>
      </c>
      <c r="N235" s="6">
        <v>2</v>
      </c>
      <c r="O235" s="6">
        <v>2</v>
      </c>
      <c r="P235" s="6">
        <v>2</v>
      </c>
      <c r="Q235" s="6">
        <v>2</v>
      </c>
      <c r="R235" s="6">
        <v>2</v>
      </c>
      <c r="S235" s="6">
        <v>3</v>
      </c>
      <c r="T235" s="6">
        <v>3</v>
      </c>
      <c r="U235" s="6">
        <v>4</v>
      </c>
      <c r="V235" s="6">
        <v>4</v>
      </c>
      <c r="W235" s="6">
        <v>5</v>
      </c>
      <c r="X235" s="6">
        <v>5</v>
      </c>
    </row>
    <row r="237" spans="3:24" x14ac:dyDescent="0.25">
      <c r="C237" s="6" t="s">
        <v>51</v>
      </c>
      <c r="D237" s="6">
        <v>3</v>
      </c>
      <c r="E237" s="6">
        <v>3</v>
      </c>
      <c r="F237" s="6">
        <v>3</v>
      </c>
      <c r="G237" s="6">
        <v>3</v>
      </c>
      <c r="H237" s="6">
        <v>3</v>
      </c>
      <c r="I237" s="6">
        <v>3</v>
      </c>
      <c r="J237" s="6">
        <v>4</v>
      </c>
      <c r="K237" s="6">
        <v>4</v>
      </c>
      <c r="L237" s="6">
        <v>4</v>
      </c>
      <c r="M237" s="6">
        <v>4</v>
      </c>
      <c r="N237" s="6">
        <v>4</v>
      </c>
      <c r="O237" s="6">
        <v>4</v>
      </c>
      <c r="P237" s="6">
        <v>4</v>
      </c>
      <c r="Q237" s="6">
        <v>4</v>
      </c>
      <c r="R237" s="6">
        <v>4</v>
      </c>
      <c r="S237" s="6">
        <v>3</v>
      </c>
      <c r="T237" s="6">
        <v>3</v>
      </c>
      <c r="U237" s="6">
        <v>3</v>
      </c>
      <c r="V237" s="6">
        <v>3</v>
      </c>
      <c r="W237" s="6">
        <v>3</v>
      </c>
      <c r="X237" s="6">
        <v>3</v>
      </c>
    </row>
    <row r="239" spans="3:24" x14ac:dyDescent="0.25">
      <c r="C239" s="6" t="s">
        <v>50</v>
      </c>
      <c r="D239" s="6">
        <v>5</v>
      </c>
      <c r="E239" s="6">
        <v>5</v>
      </c>
      <c r="F239" s="6">
        <v>4</v>
      </c>
      <c r="G239" s="6">
        <v>4</v>
      </c>
      <c r="H239" s="6">
        <v>4</v>
      </c>
      <c r="I239" s="6">
        <v>3</v>
      </c>
      <c r="J239" s="6">
        <v>3</v>
      </c>
      <c r="K239" s="6">
        <v>2</v>
      </c>
      <c r="L239" s="6">
        <v>2</v>
      </c>
      <c r="M239" s="6">
        <v>2</v>
      </c>
      <c r="N239" s="6">
        <v>2</v>
      </c>
      <c r="O239" s="6">
        <v>2</v>
      </c>
      <c r="P239" s="6">
        <v>2</v>
      </c>
      <c r="Q239" s="6">
        <v>2</v>
      </c>
      <c r="R239" s="6">
        <v>2</v>
      </c>
      <c r="S239" s="6">
        <v>3</v>
      </c>
      <c r="T239" s="6">
        <v>3</v>
      </c>
      <c r="U239" s="6">
        <v>4</v>
      </c>
      <c r="V239" s="6">
        <v>4</v>
      </c>
      <c r="W239" s="6">
        <v>5</v>
      </c>
      <c r="X239" s="6">
        <v>5</v>
      </c>
    </row>
    <row r="241" spans="3:24" x14ac:dyDescent="0.25">
      <c r="C241" s="6" t="s">
        <v>51</v>
      </c>
      <c r="D241" s="6">
        <v>3</v>
      </c>
      <c r="E241" s="6">
        <v>3</v>
      </c>
      <c r="F241" s="6">
        <v>3</v>
      </c>
      <c r="G241" s="6">
        <v>3</v>
      </c>
      <c r="H241" s="6">
        <v>3</v>
      </c>
      <c r="I241" s="6">
        <v>3</v>
      </c>
      <c r="J241" s="6">
        <v>4</v>
      </c>
      <c r="K241" s="6">
        <v>4</v>
      </c>
      <c r="L241" s="6">
        <v>4</v>
      </c>
      <c r="M241" s="6">
        <v>4</v>
      </c>
      <c r="N241" s="6">
        <v>4</v>
      </c>
      <c r="O241" s="6">
        <v>4</v>
      </c>
      <c r="P241" s="6">
        <v>4</v>
      </c>
      <c r="Q241" s="6">
        <v>4</v>
      </c>
      <c r="R241" s="6">
        <v>4</v>
      </c>
      <c r="S241" s="6">
        <v>3</v>
      </c>
      <c r="T241" s="6">
        <v>3</v>
      </c>
      <c r="U241" s="6">
        <v>3</v>
      </c>
      <c r="V241" s="6">
        <v>3</v>
      </c>
      <c r="W241" s="6">
        <v>3</v>
      </c>
      <c r="X241" s="6">
        <v>3</v>
      </c>
    </row>
    <row r="243" spans="3:24" x14ac:dyDescent="0.25">
      <c r="C243" s="6" t="s">
        <v>50</v>
      </c>
      <c r="D243" s="6">
        <v>5</v>
      </c>
      <c r="E243" s="6">
        <v>5</v>
      </c>
      <c r="F243" s="6">
        <v>4</v>
      </c>
      <c r="G243" s="6">
        <v>4</v>
      </c>
      <c r="H243" s="6">
        <v>4</v>
      </c>
      <c r="I243" s="6">
        <v>3</v>
      </c>
      <c r="J243" s="6">
        <v>3</v>
      </c>
      <c r="K243" s="6">
        <v>2</v>
      </c>
      <c r="L243" s="6">
        <v>2</v>
      </c>
      <c r="M243" s="6">
        <v>2</v>
      </c>
      <c r="N243" s="6">
        <v>2</v>
      </c>
      <c r="O243" s="6">
        <v>2</v>
      </c>
      <c r="P243" s="6">
        <v>2</v>
      </c>
      <c r="Q243" s="6">
        <v>2</v>
      </c>
      <c r="R243" s="6">
        <v>2</v>
      </c>
      <c r="S243" s="6">
        <v>2</v>
      </c>
      <c r="T243" s="6">
        <v>2</v>
      </c>
      <c r="U243" s="6">
        <v>2</v>
      </c>
      <c r="V243" s="6">
        <v>2</v>
      </c>
      <c r="W243" s="6">
        <v>2</v>
      </c>
      <c r="X243" s="6">
        <v>2</v>
      </c>
    </row>
    <row r="245" spans="3:24" x14ac:dyDescent="0.25">
      <c r="C245" s="6" t="s">
        <v>51</v>
      </c>
      <c r="D245" s="6">
        <v>3</v>
      </c>
      <c r="E245" s="6">
        <v>3</v>
      </c>
      <c r="F245" s="6">
        <v>3</v>
      </c>
      <c r="G245" s="6">
        <v>3</v>
      </c>
      <c r="H245" s="6">
        <v>3</v>
      </c>
      <c r="I245" s="6">
        <v>3</v>
      </c>
      <c r="J245" s="6">
        <v>4</v>
      </c>
      <c r="K245" s="6">
        <v>4</v>
      </c>
      <c r="L245" s="6">
        <v>4</v>
      </c>
      <c r="M245" s="6">
        <v>4</v>
      </c>
      <c r="N245" s="6">
        <v>4</v>
      </c>
      <c r="O245" s="6">
        <v>4</v>
      </c>
      <c r="P245" s="6">
        <v>4</v>
      </c>
      <c r="Q245" s="6">
        <v>4</v>
      </c>
      <c r="R245" s="6">
        <v>4</v>
      </c>
      <c r="S245" s="6">
        <v>3</v>
      </c>
      <c r="T245" s="6">
        <v>3</v>
      </c>
      <c r="U245" s="6">
        <v>3</v>
      </c>
      <c r="V245" s="6">
        <v>4</v>
      </c>
      <c r="W245" s="6">
        <v>4</v>
      </c>
      <c r="X245" s="6">
        <v>4</v>
      </c>
    </row>
    <row r="247" spans="3:24" x14ac:dyDescent="0.25">
      <c r="C247" s="6" t="s">
        <v>50</v>
      </c>
      <c r="D247" s="6">
        <v>10</v>
      </c>
      <c r="E247" s="6">
        <v>9</v>
      </c>
      <c r="F247" s="6">
        <v>8</v>
      </c>
      <c r="G247" s="6">
        <v>8</v>
      </c>
      <c r="H247" s="6">
        <v>7</v>
      </c>
      <c r="I247" s="6">
        <v>6</v>
      </c>
      <c r="J247" s="6">
        <v>5</v>
      </c>
      <c r="K247" s="6">
        <v>4</v>
      </c>
      <c r="L247" s="6">
        <v>3</v>
      </c>
      <c r="M247" s="6">
        <v>2</v>
      </c>
      <c r="N247" s="6">
        <v>2</v>
      </c>
      <c r="O247" s="6">
        <v>2</v>
      </c>
      <c r="P247" s="6">
        <v>3</v>
      </c>
      <c r="Q247" s="6">
        <v>4</v>
      </c>
      <c r="R247" s="6">
        <v>5</v>
      </c>
      <c r="S247" s="6">
        <v>6</v>
      </c>
      <c r="T247" s="6">
        <v>8</v>
      </c>
      <c r="U247" s="6">
        <v>9</v>
      </c>
      <c r="V247" s="6">
        <v>10</v>
      </c>
      <c r="W247" s="6">
        <v>11</v>
      </c>
      <c r="X247" s="6">
        <v>12</v>
      </c>
    </row>
    <row r="249" spans="3:24" x14ac:dyDescent="0.25">
      <c r="C249" s="6" t="s">
        <v>51</v>
      </c>
      <c r="D249" s="6">
        <v>6</v>
      </c>
      <c r="E249" s="6">
        <v>6</v>
      </c>
      <c r="F249" s="6">
        <v>5</v>
      </c>
      <c r="G249" s="6">
        <v>5</v>
      </c>
      <c r="H249" s="6">
        <v>6</v>
      </c>
      <c r="I249" s="6">
        <v>6</v>
      </c>
      <c r="J249" s="6">
        <v>7</v>
      </c>
      <c r="K249" s="6">
        <v>8</v>
      </c>
      <c r="L249" s="6">
        <v>8</v>
      </c>
      <c r="M249" s="6">
        <v>8</v>
      </c>
      <c r="N249" s="6">
        <v>8</v>
      </c>
      <c r="O249" s="6">
        <v>8</v>
      </c>
      <c r="P249" s="6">
        <v>8</v>
      </c>
      <c r="Q249" s="6">
        <v>8</v>
      </c>
      <c r="R249" s="6">
        <v>7</v>
      </c>
      <c r="S249" s="6">
        <v>6</v>
      </c>
      <c r="T249" s="6">
        <v>6</v>
      </c>
      <c r="U249" s="6">
        <v>5</v>
      </c>
      <c r="V249" s="6">
        <v>6</v>
      </c>
      <c r="W249" s="6">
        <v>7</v>
      </c>
      <c r="X249" s="6">
        <v>7</v>
      </c>
    </row>
    <row r="251" spans="3:24" x14ac:dyDescent="0.25">
      <c r="C251" s="6" t="s">
        <v>50</v>
      </c>
      <c r="D251" s="6">
        <v>10</v>
      </c>
      <c r="E251" s="6">
        <v>9</v>
      </c>
      <c r="F251" s="6">
        <v>8</v>
      </c>
      <c r="G251" s="6">
        <v>8</v>
      </c>
      <c r="H251" s="6">
        <v>7</v>
      </c>
      <c r="I251" s="6">
        <v>6</v>
      </c>
      <c r="J251" s="6">
        <v>5</v>
      </c>
      <c r="K251" s="6">
        <v>4</v>
      </c>
      <c r="L251" s="6">
        <v>3</v>
      </c>
      <c r="M251" s="6">
        <v>2</v>
      </c>
      <c r="N251" s="6">
        <v>2</v>
      </c>
      <c r="O251" s="6">
        <v>2</v>
      </c>
      <c r="P251" s="6">
        <v>3</v>
      </c>
      <c r="Q251" s="6">
        <v>4</v>
      </c>
      <c r="R251" s="6">
        <v>5</v>
      </c>
      <c r="S251" s="6">
        <v>6</v>
      </c>
      <c r="T251" s="6">
        <v>8</v>
      </c>
      <c r="U251" s="6">
        <v>9</v>
      </c>
      <c r="V251" s="6">
        <v>10</v>
      </c>
      <c r="W251" s="6">
        <v>11</v>
      </c>
      <c r="X251" s="6">
        <v>12</v>
      </c>
    </row>
    <row r="253" spans="3:24" x14ac:dyDescent="0.25">
      <c r="C253" s="6" t="s">
        <v>51</v>
      </c>
      <c r="D253" s="6">
        <v>6</v>
      </c>
      <c r="E253" s="6">
        <v>6</v>
      </c>
      <c r="F253" s="6">
        <v>5</v>
      </c>
      <c r="G253" s="6">
        <v>5</v>
      </c>
      <c r="H253" s="6">
        <v>6</v>
      </c>
      <c r="I253" s="6">
        <v>6</v>
      </c>
      <c r="J253" s="6">
        <v>7</v>
      </c>
      <c r="K253" s="6">
        <v>8</v>
      </c>
      <c r="L253" s="6">
        <v>8</v>
      </c>
      <c r="M253" s="6">
        <v>8</v>
      </c>
      <c r="N253" s="6">
        <v>8</v>
      </c>
      <c r="O253" s="6">
        <v>8</v>
      </c>
      <c r="P253" s="6">
        <v>8</v>
      </c>
      <c r="Q253" s="6">
        <v>8</v>
      </c>
      <c r="R253" s="6">
        <v>7</v>
      </c>
      <c r="S253" s="6">
        <v>6</v>
      </c>
      <c r="T253" s="6">
        <v>6</v>
      </c>
      <c r="U253" s="6">
        <v>5</v>
      </c>
      <c r="V253" s="6">
        <v>6</v>
      </c>
      <c r="W253" s="6">
        <v>7</v>
      </c>
      <c r="X253" s="6">
        <v>7</v>
      </c>
    </row>
    <row r="255" spans="3:24" x14ac:dyDescent="0.25">
      <c r="C255" s="6" t="s">
        <v>50</v>
      </c>
      <c r="D255" s="6">
        <v>10</v>
      </c>
      <c r="E255" s="6">
        <v>9</v>
      </c>
      <c r="F255" s="6">
        <v>8</v>
      </c>
      <c r="G255" s="6">
        <v>8</v>
      </c>
      <c r="H255" s="6">
        <v>7</v>
      </c>
      <c r="I255" s="6">
        <v>6</v>
      </c>
      <c r="J255" s="6">
        <v>5</v>
      </c>
      <c r="K255" s="6">
        <v>4</v>
      </c>
      <c r="L255" s="6">
        <v>3</v>
      </c>
      <c r="M255" s="6">
        <v>2</v>
      </c>
      <c r="N255" s="6">
        <v>2</v>
      </c>
      <c r="O255" s="6">
        <v>2</v>
      </c>
      <c r="P255" s="6">
        <v>3</v>
      </c>
      <c r="Q255" s="6">
        <v>4</v>
      </c>
      <c r="R255" s="6">
        <v>5</v>
      </c>
      <c r="S255" s="6">
        <v>6</v>
      </c>
      <c r="T255" s="6">
        <v>8</v>
      </c>
      <c r="U255" s="6">
        <v>9</v>
      </c>
      <c r="V255" s="6">
        <v>10</v>
      </c>
      <c r="W255" s="6">
        <v>11</v>
      </c>
      <c r="X255" s="6">
        <v>12</v>
      </c>
    </row>
    <row r="257" spans="3:24" x14ac:dyDescent="0.25">
      <c r="C257" s="6" t="s">
        <v>51</v>
      </c>
      <c r="D257" s="6">
        <v>6</v>
      </c>
      <c r="E257" s="6">
        <v>6</v>
      </c>
      <c r="F257" s="6">
        <v>5</v>
      </c>
      <c r="G257" s="6">
        <v>5</v>
      </c>
      <c r="H257" s="6">
        <v>6</v>
      </c>
      <c r="I257" s="6">
        <v>6</v>
      </c>
      <c r="J257" s="6">
        <v>7</v>
      </c>
      <c r="K257" s="6">
        <v>8</v>
      </c>
      <c r="L257" s="6">
        <v>8</v>
      </c>
      <c r="M257" s="6">
        <v>8</v>
      </c>
      <c r="N257" s="6">
        <v>8</v>
      </c>
      <c r="O257" s="6">
        <v>8</v>
      </c>
      <c r="P257" s="6">
        <v>8</v>
      </c>
      <c r="Q257" s="6">
        <v>8</v>
      </c>
      <c r="R257" s="6">
        <v>7</v>
      </c>
      <c r="S257" s="6">
        <v>6</v>
      </c>
      <c r="T257" s="6">
        <v>6</v>
      </c>
      <c r="U257" s="6">
        <v>5</v>
      </c>
      <c r="V257" s="6">
        <v>6</v>
      </c>
      <c r="W257" s="6">
        <v>7</v>
      </c>
      <c r="X257" s="6">
        <v>7</v>
      </c>
    </row>
    <row r="259" spans="3:24" x14ac:dyDescent="0.25">
      <c r="C259" s="6" t="s">
        <v>50</v>
      </c>
      <c r="D259" s="6">
        <v>10</v>
      </c>
      <c r="E259" s="6">
        <v>9</v>
      </c>
      <c r="F259" s="6">
        <v>8</v>
      </c>
      <c r="G259" s="6">
        <v>8</v>
      </c>
      <c r="H259" s="6">
        <v>7</v>
      </c>
      <c r="I259" s="6">
        <v>6</v>
      </c>
      <c r="J259" s="6">
        <v>5</v>
      </c>
      <c r="K259" s="6">
        <v>4</v>
      </c>
      <c r="L259" s="6">
        <v>3</v>
      </c>
      <c r="M259" s="6">
        <v>2</v>
      </c>
      <c r="N259" s="6">
        <v>2</v>
      </c>
      <c r="O259" s="6">
        <v>2</v>
      </c>
      <c r="P259" s="6">
        <v>3</v>
      </c>
      <c r="Q259" s="6">
        <v>4</v>
      </c>
      <c r="R259" s="6">
        <v>5</v>
      </c>
      <c r="S259" s="6">
        <v>6</v>
      </c>
      <c r="T259" s="6">
        <v>8</v>
      </c>
      <c r="U259" s="6">
        <v>9</v>
      </c>
      <c r="V259" s="6">
        <v>10</v>
      </c>
      <c r="W259" s="6">
        <v>11</v>
      </c>
      <c r="X259" s="6">
        <v>12</v>
      </c>
    </row>
    <row r="261" spans="3:24" x14ac:dyDescent="0.25">
      <c r="C261" s="6" t="s">
        <v>51</v>
      </c>
      <c r="D261" s="6">
        <v>6</v>
      </c>
      <c r="E261" s="6">
        <v>6</v>
      </c>
      <c r="F261" s="6">
        <v>5</v>
      </c>
      <c r="G261" s="6">
        <v>5</v>
      </c>
      <c r="H261" s="6">
        <v>6</v>
      </c>
      <c r="I261" s="6">
        <v>6</v>
      </c>
      <c r="J261" s="6">
        <v>7</v>
      </c>
      <c r="K261" s="6">
        <v>8</v>
      </c>
      <c r="L261" s="6">
        <v>8</v>
      </c>
      <c r="M261" s="6">
        <v>8</v>
      </c>
      <c r="N261" s="6">
        <v>8</v>
      </c>
      <c r="O261" s="6">
        <v>8</v>
      </c>
      <c r="P261" s="6">
        <v>8</v>
      </c>
      <c r="Q261" s="6">
        <v>8</v>
      </c>
      <c r="R261" s="6">
        <v>7</v>
      </c>
      <c r="S261" s="6">
        <v>6</v>
      </c>
      <c r="T261" s="6">
        <v>6</v>
      </c>
      <c r="U261" s="6">
        <v>5</v>
      </c>
      <c r="V261" s="6">
        <v>6</v>
      </c>
      <c r="W261" s="6">
        <v>7</v>
      </c>
      <c r="X261" s="6">
        <v>7</v>
      </c>
    </row>
    <row r="263" spans="3:24" x14ac:dyDescent="0.25">
      <c r="C263" s="6" t="s">
        <v>50</v>
      </c>
      <c r="D263" s="6">
        <v>3</v>
      </c>
      <c r="E263" s="6">
        <v>3</v>
      </c>
      <c r="F263" s="6">
        <v>3</v>
      </c>
      <c r="G263" s="6">
        <v>3</v>
      </c>
      <c r="H263" s="6">
        <v>2</v>
      </c>
      <c r="I263" s="6">
        <v>2</v>
      </c>
      <c r="J263" s="6">
        <v>2</v>
      </c>
      <c r="K263" s="6">
        <v>2</v>
      </c>
      <c r="L263" s="6">
        <v>2</v>
      </c>
      <c r="M263" s="6">
        <v>2</v>
      </c>
      <c r="N263" s="6">
        <v>2</v>
      </c>
      <c r="O263" s="6">
        <v>2</v>
      </c>
      <c r="P263" s="6">
        <v>2</v>
      </c>
      <c r="Q263" s="6">
        <v>2</v>
      </c>
      <c r="R263" s="6">
        <v>2</v>
      </c>
      <c r="S263" s="6">
        <v>2</v>
      </c>
      <c r="T263" s="6">
        <v>2</v>
      </c>
      <c r="U263" s="6">
        <v>3</v>
      </c>
      <c r="V263" s="6">
        <v>3</v>
      </c>
      <c r="W263" s="6">
        <v>3</v>
      </c>
      <c r="X263" s="6">
        <v>3</v>
      </c>
    </row>
    <row r="265" spans="3:24" x14ac:dyDescent="0.25">
      <c r="C265" s="6" t="s">
        <v>51</v>
      </c>
      <c r="D265" s="6">
        <v>3</v>
      </c>
      <c r="E265" s="6">
        <v>3</v>
      </c>
      <c r="F265" s="6">
        <v>3</v>
      </c>
      <c r="G265" s="6">
        <v>3</v>
      </c>
      <c r="H265" s="6">
        <v>2</v>
      </c>
      <c r="I265" s="6">
        <v>3</v>
      </c>
      <c r="J265" s="6">
        <v>3</v>
      </c>
      <c r="K265" s="6">
        <v>3</v>
      </c>
      <c r="L265" s="6">
        <v>3</v>
      </c>
      <c r="M265" s="6">
        <v>3</v>
      </c>
      <c r="N265" s="6">
        <v>3</v>
      </c>
      <c r="O265" s="6">
        <v>3</v>
      </c>
      <c r="P265" s="6">
        <v>3</v>
      </c>
      <c r="Q265" s="6">
        <v>3</v>
      </c>
      <c r="R265" s="6">
        <v>3</v>
      </c>
      <c r="S265" s="6">
        <v>3</v>
      </c>
      <c r="T265" s="6">
        <v>2</v>
      </c>
      <c r="U265" s="6">
        <v>3</v>
      </c>
      <c r="V265" s="6">
        <v>3</v>
      </c>
      <c r="W265" s="6">
        <v>3</v>
      </c>
      <c r="X265" s="6">
        <v>3</v>
      </c>
    </row>
    <row r="267" spans="3:24" x14ac:dyDescent="0.25">
      <c r="C267" s="6" t="s">
        <v>50</v>
      </c>
      <c r="D267" s="6">
        <v>5</v>
      </c>
      <c r="E267" s="6">
        <v>5</v>
      </c>
      <c r="F267" s="6">
        <v>4</v>
      </c>
      <c r="G267" s="6">
        <v>4</v>
      </c>
      <c r="H267" s="6">
        <v>4</v>
      </c>
      <c r="I267" s="6">
        <v>3</v>
      </c>
      <c r="J267" s="6">
        <v>3</v>
      </c>
      <c r="K267" s="6">
        <v>2</v>
      </c>
      <c r="L267" s="6">
        <v>2</v>
      </c>
      <c r="M267" s="6">
        <v>2</v>
      </c>
      <c r="N267" s="6">
        <v>2</v>
      </c>
      <c r="O267" s="6">
        <v>2</v>
      </c>
      <c r="P267" s="6">
        <v>2</v>
      </c>
      <c r="Q267" s="6">
        <v>2</v>
      </c>
      <c r="R267" s="6">
        <v>2</v>
      </c>
      <c r="S267" s="6">
        <v>3</v>
      </c>
      <c r="T267" s="6">
        <v>3</v>
      </c>
      <c r="U267" s="6">
        <v>4</v>
      </c>
      <c r="V267" s="6">
        <v>4</v>
      </c>
      <c r="W267" s="6">
        <v>5</v>
      </c>
      <c r="X267" s="6">
        <v>5</v>
      </c>
    </row>
    <row r="269" spans="3:24" x14ac:dyDescent="0.25">
      <c r="C269" s="6" t="s">
        <v>51</v>
      </c>
      <c r="D269" s="6">
        <v>3</v>
      </c>
      <c r="E269" s="6">
        <v>3</v>
      </c>
      <c r="F269" s="6">
        <v>3</v>
      </c>
      <c r="G269" s="6">
        <v>3</v>
      </c>
      <c r="H269" s="6">
        <v>3</v>
      </c>
      <c r="I269" s="6">
        <v>3</v>
      </c>
      <c r="J269" s="6">
        <v>4</v>
      </c>
      <c r="K269" s="6">
        <v>4</v>
      </c>
      <c r="L269" s="6">
        <v>4</v>
      </c>
      <c r="M269" s="6">
        <v>4</v>
      </c>
      <c r="N269" s="6">
        <v>4</v>
      </c>
      <c r="O269" s="6">
        <v>4</v>
      </c>
      <c r="P269" s="6">
        <v>4</v>
      </c>
      <c r="Q269" s="6">
        <v>4</v>
      </c>
      <c r="R269" s="6">
        <v>4</v>
      </c>
      <c r="S269" s="6">
        <v>3</v>
      </c>
      <c r="T269" s="6">
        <v>3</v>
      </c>
      <c r="U269" s="6">
        <v>3</v>
      </c>
      <c r="V269" s="6">
        <v>3</v>
      </c>
      <c r="W269" s="6">
        <v>3</v>
      </c>
      <c r="X269" s="6">
        <v>3</v>
      </c>
    </row>
    <row r="271" spans="3:24" x14ac:dyDescent="0.25">
      <c r="C271" s="6" t="s">
        <v>50</v>
      </c>
      <c r="D271" s="6">
        <v>5</v>
      </c>
      <c r="E271" s="6">
        <v>5</v>
      </c>
      <c r="F271" s="6">
        <v>4</v>
      </c>
      <c r="G271" s="6">
        <v>4</v>
      </c>
      <c r="H271" s="6">
        <v>4</v>
      </c>
      <c r="I271" s="6">
        <v>3</v>
      </c>
      <c r="J271" s="6">
        <v>3</v>
      </c>
      <c r="K271" s="6">
        <v>2</v>
      </c>
      <c r="L271" s="6">
        <v>2</v>
      </c>
      <c r="M271" s="6">
        <v>2</v>
      </c>
      <c r="N271" s="6">
        <v>2</v>
      </c>
      <c r="O271" s="6">
        <v>2</v>
      </c>
      <c r="P271" s="6">
        <v>2</v>
      </c>
      <c r="Q271" s="6">
        <v>2</v>
      </c>
      <c r="R271" s="6">
        <v>2</v>
      </c>
      <c r="S271" s="6">
        <v>3</v>
      </c>
      <c r="T271" s="6">
        <v>3</v>
      </c>
      <c r="U271" s="6">
        <v>4</v>
      </c>
      <c r="V271" s="6">
        <v>4</v>
      </c>
      <c r="W271" s="6">
        <v>5</v>
      </c>
      <c r="X271" s="6">
        <v>5</v>
      </c>
    </row>
    <row r="273" spans="3:24" x14ac:dyDescent="0.25">
      <c r="C273" s="6" t="s">
        <v>51</v>
      </c>
      <c r="D273" s="6">
        <v>3</v>
      </c>
      <c r="E273" s="6">
        <v>3</v>
      </c>
      <c r="F273" s="6">
        <v>3</v>
      </c>
      <c r="G273" s="6">
        <v>3</v>
      </c>
      <c r="H273" s="6">
        <v>3</v>
      </c>
      <c r="I273" s="6">
        <v>3</v>
      </c>
      <c r="J273" s="6">
        <v>4</v>
      </c>
      <c r="K273" s="6">
        <v>4</v>
      </c>
      <c r="L273" s="6">
        <v>4</v>
      </c>
      <c r="M273" s="6">
        <v>4</v>
      </c>
      <c r="N273" s="6">
        <v>4</v>
      </c>
      <c r="O273" s="6">
        <v>4</v>
      </c>
      <c r="P273" s="6">
        <v>4</v>
      </c>
      <c r="Q273" s="6">
        <v>4</v>
      </c>
      <c r="R273" s="6">
        <v>4</v>
      </c>
      <c r="S273" s="6">
        <v>3</v>
      </c>
      <c r="T273" s="6">
        <v>3</v>
      </c>
      <c r="U273" s="6">
        <v>3</v>
      </c>
      <c r="V273" s="6">
        <v>3</v>
      </c>
      <c r="W273" s="6">
        <v>3</v>
      </c>
      <c r="X273" s="6">
        <v>3</v>
      </c>
    </row>
    <row r="275" spans="3:24" x14ac:dyDescent="0.25">
      <c r="C275" s="6" t="s">
        <v>50</v>
      </c>
      <c r="D275" s="6">
        <v>5</v>
      </c>
      <c r="E275" s="6">
        <v>5</v>
      </c>
      <c r="F275" s="6">
        <v>4</v>
      </c>
      <c r="G275" s="6">
        <v>4</v>
      </c>
      <c r="H275" s="6">
        <v>4</v>
      </c>
      <c r="I275" s="6">
        <v>3</v>
      </c>
      <c r="J275" s="6">
        <v>3</v>
      </c>
      <c r="K275" s="6">
        <v>2</v>
      </c>
      <c r="L275" s="6">
        <v>2</v>
      </c>
      <c r="M275" s="6">
        <v>2</v>
      </c>
      <c r="N275" s="6">
        <v>2</v>
      </c>
      <c r="O275" s="6">
        <v>2</v>
      </c>
      <c r="P275" s="6">
        <v>2</v>
      </c>
      <c r="Q275" s="6">
        <v>2</v>
      </c>
      <c r="R275" s="6">
        <v>2</v>
      </c>
      <c r="S275" s="6">
        <v>3</v>
      </c>
      <c r="T275" s="6">
        <v>3</v>
      </c>
      <c r="U275" s="6">
        <v>4</v>
      </c>
      <c r="V275" s="6">
        <v>4</v>
      </c>
      <c r="W275" s="6">
        <v>5</v>
      </c>
      <c r="X275" s="6">
        <v>5</v>
      </c>
    </row>
    <row r="277" spans="3:24" x14ac:dyDescent="0.25">
      <c r="C277" s="6" t="s">
        <v>51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4</v>
      </c>
      <c r="K277" s="6">
        <v>4</v>
      </c>
      <c r="L277" s="6">
        <v>4</v>
      </c>
      <c r="M277" s="6">
        <v>4</v>
      </c>
      <c r="N277" s="6">
        <v>4</v>
      </c>
      <c r="O277" s="6">
        <v>4</v>
      </c>
      <c r="P277" s="6">
        <v>4</v>
      </c>
      <c r="Q277" s="6">
        <v>4</v>
      </c>
      <c r="R277" s="6">
        <v>4</v>
      </c>
      <c r="S277" s="6">
        <v>3</v>
      </c>
      <c r="T277" s="6">
        <v>3</v>
      </c>
      <c r="U277" s="6">
        <v>3</v>
      </c>
      <c r="V277" s="6">
        <v>3</v>
      </c>
      <c r="W277" s="6">
        <v>3</v>
      </c>
      <c r="X277" s="6">
        <v>3</v>
      </c>
    </row>
    <row r="279" spans="3:24" x14ac:dyDescent="0.25">
      <c r="C279" s="6" t="s">
        <v>50</v>
      </c>
      <c r="D279" s="6">
        <v>5</v>
      </c>
      <c r="E279" s="6">
        <v>5</v>
      </c>
      <c r="F279" s="6">
        <v>4</v>
      </c>
      <c r="G279" s="6">
        <v>4</v>
      </c>
      <c r="H279" s="6">
        <v>4</v>
      </c>
      <c r="I279" s="6">
        <v>3</v>
      </c>
      <c r="J279" s="6">
        <v>3</v>
      </c>
      <c r="K279" s="6">
        <v>2</v>
      </c>
      <c r="L279" s="6">
        <v>2</v>
      </c>
      <c r="M279" s="6">
        <v>2</v>
      </c>
      <c r="N279" s="6">
        <v>2</v>
      </c>
      <c r="O279" s="6">
        <v>2</v>
      </c>
      <c r="P279" s="6">
        <v>2</v>
      </c>
      <c r="Q279" s="6">
        <v>2</v>
      </c>
      <c r="R279" s="6">
        <v>2</v>
      </c>
      <c r="S279" s="6">
        <v>2</v>
      </c>
      <c r="T279" s="6">
        <v>2</v>
      </c>
      <c r="U279" s="6">
        <v>2</v>
      </c>
      <c r="V279" s="6">
        <v>2</v>
      </c>
      <c r="W279" s="6">
        <v>2</v>
      </c>
      <c r="X279" s="6">
        <v>2</v>
      </c>
    </row>
    <row r="281" spans="3:24" x14ac:dyDescent="0.25">
      <c r="C281" s="6" t="s">
        <v>51</v>
      </c>
      <c r="D281" s="6">
        <v>3</v>
      </c>
      <c r="E281" s="6">
        <v>3</v>
      </c>
      <c r="F281" s="6">
        <v>3</v>
      </c>
      <c r="G281" s="6">
        <v>3</v>
      </c>
      <c r="H281" s="6">
        <v>3</v>
      </c>
      <c r="I281" s="6">
        <v>3</v>
      </c>
      <c r="J281" s="6">
        <v>4</v>
      </c>
      <c r="K281" s="6">
        <v>4</v>
      </c>
      <c r="L281" s="6">
        <v>4</v>
      </c>
      <c r="M281" s="6">
        <v>4</v>
      </c>
      <c r="N281" s="6">
        <v>4</v>
      </c>
      <c r="O281" s="6">
        <v>4</v>
      </c>
      <c r="P281" s="6">
        <v>4</v>
      </c>
      <c r="Q281" s="6">
        <v>4</v>
      </c>
      <c r="R281" s="6">
        <v>4</v>
      </c>
      <c r="S281" s="6">
        <v>3</v>
      </c>
      <c r="T281" s="6">
        <v>3</v>
      </c>
      <c r="U281" s="6">
        <v>3</v>
      </c>
      <c r="V281" s="6">
        <v>4</v>
      </c>
      <c r="W281" s="6">
        <v>4</v>
      </c>
      <c r="X281" s="6">
        <v>4</v>
      </c>
    </row>
    <row r="283" spans="3:24" x14ac:dyDescent="0.25">
      <c r="C283" s="6" t="s">
        <v>50</v>
      </c>
      <c r="D283" s="6">
        <v>11</v>
      </c>
      <c r="E283" s="6">
        <v>10</v>
      </c>
      <c r="F283" s="6">
        <v>9</v>
      </c>
      <c r="G283" s="6">
        <v>8</v>
      </c>
      <c r="H283" s="6">
        <v>7</v>
      </c>
      <c r="I283" s="6">
        <v>6</v>
      </c>
      <c r="J283" s="6">
        <v>5</v>
      </c>
      <c r="K283" s="6">
        <v>4</v>
      </c>
      <c r="L283" s="6">
        <v>3</v>
      </c>
      <c r="M283" s="6">
        <v>2</v>
      </c>
      <c r="N283" s="6">
        <v>2</v>
      </c>
      <c r="O283" s="6">
        <v>2</v>
      </c>
      <c r="P283" s="6">
        <v>2</v>
      </c>
      <c r="Q283" s="6">
        <v>2</v>
      </c>
      <c r="R283" s="6">
        <v>2</v>
      </c>
      <c r="S283" s="6">
        <v>2</v>
      </c>
      <c r="T283" s="6">
        <v>2</v>
      </c>
      <c r="U283" s="6">
        <v>2</v>
      </c>
      <c r="V283" s="6">
        <v>2</v>
      </c>
      <c r="W283" s="6">
        <v>2</v>
      </c>
      <c r="X283" s="6">
        <v>2</v>
      </c>
    </row>
    <row r="285" spans="3:24" x14ac:dyDescent="0.25">
      <c r="C285" s="6" t="s">
        <v>51</v>
      </c>
      <c r="D285" s="6">
        <v>6</v>
      </c>
      <c r="E285" s="6">
        <v>6</v>
      </c>
      <c r="F285" s="6">
        <v>5</v>
      </c>
      <c r="G285" s="6">
        <v>5</v>
      </c>
      <c r="H285" s="6">
        <v>6</v>
      </c>
      <c r="I285" s="6">
        <v>6</v>
      </c>
      <c r="J285" s="6">
        <v>7</v>
      </c>
      <c r="K285" s="6">
        <v>8</v>
      </c>
      <c r="L285" s="6">
        <v>8</v>
      </c>
      <c r="M285" s="6">
        <v>8</v>
      </c>
      <c r="N285" s="6">
        <v>8</v>
      </c>
      <c r="O285" s="6">
        <v>8</v>
      </c>
      <c r="P285" s="6">
        <v>8</v>
      </c>
      <c r="Q285" s="6">
        <v>8</v>
      </c>
      <c r="R285" s="6">
        <v>7</v>
      </c>
      <c r="S285" s="6">
        <v>6</v>
      </c>
      <c r="T285" s="6">
        <v>6</v>
      </c>
      <c r="U285" s="6">
        <v>6</v>
      </c>
      <c r="V285" s="6">
        <v>7</v>
      </c>
      <c r="W285" s="6">
        <v>8</v>
      </c>
      <c r="X285" s="6">
        <v>8</v>
      </c>
    </row>
    <row r="287" spans="3:24" x14ac:dyDescent="0.25">
      <c r="C287" s="6" t="s">
        <v>50</v>
      </c>
      <c r="D287" s="6">
        <v>10</v>
      </c>
      <c r="E287" s="6">
        <v>9</v>
      </c>
      <c r="F287" s="6">
        <v>8</v>
      </c>
      <c r="G287" s="6">
        <v>8</v>
      </c>
      <c r="H287" s="6">
        <v>7</v>
      </c>
      <c r="I287" s="6">
        <v>6</v>
      </c>
      <c r="J287" s="6">
        <v>5</v>
      </c>
      <c r="K287" s="6">
        <v>4</v>
      </c>
      <c r="L287" s="6">
        <v>3</v>
      </c>
      <c r="M287" s="6">
        <v>2</v>
      </c>
      <c r="N287" s="6">
        <v>2</v>
      </c>
      <c r="O287" s="6">
        <v>2</v>
      </c>
      <c r="P287" s="6">
        <v>2</v>
      </c>
      <c r="Q287" s="6">
        <v>2</v>
      </c>
      <c r="R287" s="6">
        <v>2</v>
      </c>
      <c r="S287" s="6">
        <v>2</v>
      </c>
      <c r="T287" s="6">
        <v>2</v>
      </c>
      <c r="U287" s="6">
        <v>2</v>
      </c>
      <c r="V287" s="6">
        <v>2</v>
      </c>
      <c r="W287" s="6">
        <v>2</v>
      </c>
      <c r="X287" s="6">
        <v>2</v>
      </c>
    </row>
    <row r="289" spans="3:24" x14ac:dyDescent="0.25">
      <c r="C289" s="6" t="s">
        <v>51</v>
      </c>
      <c r="D289" s="6">
        <v>6</v>
      </c>
      <c r="E289" s="6">
        <v>6</v>
      </c>
      <c r="F289" s="6">
        <v>5</v>
      </c>
      <c r="G289" s="6">
        <v>5</v>
      </c>
      <c r="H289" s="6">
        <v>6</v>
      </c>
      <c r="I289" s="6">
        <v>6</v>
      </c>
      <c r="J289" s="6">
        <v>7</v>
      </c>
      <c r="K289" s="6">
        <v>8</v>
      </c>
      <c r="L289" s="6">
        <v>8</v>
      </c>
      <c r="M289" s="6">
        <v>8</v>
      </c>
      <c r="N289" s="6">
        <v>8</v>
      </c>
      <c r="O289" s="6">
        <v>8</v>
      </c>
      <c r="P289" s="6">
        <v>8</v>
      </c>
      <c r="Q289" s="6">
        <v>8</v>
      </c>
      <c r="R289" s="6">
        <v>7</v>
      </c>
      <c r="S289" s="6">
        <v>6</v>
      </c>
      <c r="T289" s="6">
        <v>6</v>
      </c>
      <c r="U289" s="6">
        <v>6</v>
      </c>
      <c r="V289" s="6">
        <v>7</v>
      </c>
      <c r="W289" s="6">
        <v>8</v>
      </c>
      <c r="X289" s="6">
        <v>8</v>
      </c>
    </row>
    <row r="291" spans="3:24" x14ac:dyDescent="0.25">
      <c r="C291" s="6" t="s">
        <v>50</v>
      </c>
      <c r="D291" s="6">
        <v>12</v>
      </c>
      <c r="E291" s="6">
        <v>11</v>
      </c>
      <c r="F291" s="6">
        <v>10</v>
      </c>
      <c r="G291" s="6">
        <v>9</v>
      </c>
      <c r="H291" s="6">
        <v>8</v>
      </c>
      <c r="I291" s="6">
        <v>7</v>
      </c>
      <c r="J291" s="6">
        <v>5</v>
      </c>
      <c r="K291" s="6">
        <v>4</v>
      </c>
      <c r="L291" s="6">
        <v>3</v>
      </c>
      <c r="M291" s="6">
        <v>2</v>
      </c>
      <c r="N291" s="6">
        <v>2</v>
      </c>
      <c r="O291" s="6">
        <v>2</v>
      </c>
      <c r="P291" s="6">
        <v>2</v>
      </c>
      <c r="Q291" s="6">
        <v>2</v>
      </c>
      <c r="R291" s="6">
        <v>2</v>
      </c>
      <c r="S291" s="6">
        <v>2</v>
      </c>
      <c r="T291" s="6">
        <v>2</v>
      </c>
      <c r="U291" s="6">
        <v>2</v>
      </c>
      <c r="V291" s="6">
        <v>2</v>
      </c>
      <c r="W291" s="6">
        <v>2</v>
      </c>
      <c r="X291" s="6">
        <v>2</v>
      </c>
    </row>
    <row r="293" spans="3:24" x14ac:dyDescent="0.25">
      <c r="C293" s="6" t="s">
        <v>51</v>
      </c>
      <c r="D293" s="6">
        <v>7</v>
      </c>
      <c r="E293" s="6">
        <v>7</v>
      </c>
      <c r="F293" s="6">
        <v>6</v>
      </c>
      <c r="G293" s="6">
        <v>5</v>
      </c>
      <c r="H293" s="6">
        <v>6</v>
      </c>
      <c r="I293" s="6">
        <v>7</v>
      </c>
      <c r="J293" s="6">
        <v>8</v>
      </c>
      <c r="K293" s="6">
        <v>9</v>
      </c>
      <c r="L293" s="6">
        <v>9</v>
      </c>
      <c r="M293" s="6">
        <v>9</v>
      </c>
      <c r="N293" s="6">
        <v>9</v>
      </c>
      <c r="O293" s="6">
        <v>9</v>
      </c>
      <c r="P293" s="6">
        <v>9</v>
      </c>
      <c r="Q293" s="6">
        <v>9</v>
      </c>
      <c r="R293" s="6">
        <v>8</v>
      </c>
      <c r="S293" s="6">
        <v>7</v>
      </c>
      <c r="T293" s="6">
        <v>6</v>
      </c>
      <c r="U293" s="6">
        <v>7</v>
      </c>
      <c r="V293" s="6">
        <v>8</v>
      </c>
      <c r="W293" s="6">
        <v>9</v>
      </c>
      <c r="X293" s="6">
        <v>9</v>
      </c>
    </row>
    <row r="295" spans="3:24" x14ac:dyDescent="0.25">
      <c r="C295" s="6" t="s">
        <v>50</v>
      </c>
      <c r="D295" s="6">
        <v>12</v>
      </c>
      <c r="E295" s="6">
        <v>11</v>
      </c>
      <c r="F295" s="6">
        <v>10</v>
      </c>
      <c r="G295" s="6">
        <v>9</v>
      </c>
      <c r="H295" s="6">
        <v>8</v>
      </c>
      <c r="I295" s="6">
        <v>7</v>
      </c>
      <c r="J295" s="6">
        <v>5</v>
      </c>
      <c r="K295" s="6">
        <v>4</v>
      </c>
      <c r="L295" s="6">
        <v>3</v>
      </c>
      <c r="M295" s="6">
        <v>2</v>
      </c>
      <c r="N295" s="6">
        <v>2</v>
      </c>
      <c r="O295" s="6">
        <v>2</v>
      </c>
      <c r="P295" s="6">
        <v>2</v>
      </c>
      <c r="Q295" s="6">
        <v>2</v>
      </c>
      <c r="R295" s="6">
        <v>2</v>
      </c>
      <c r="S295" s="6">
        <v>2</v>
      </c>
      <c r="T295" s="6">
        <v>2</v>
      </c>
      <c r="U295" s="6">
        <v>2</v>
      </c>
      <c r="V295" s="6">
        <v>2</v>
      </c>
      <c r="W295" s="6">
        <v>2</v>
      </c>
      <c r="X295" s="6">
        <v>2</v>
      </c>
    </row>
    <row r="297" spans="3:24" x14ac:dyDescent="0.25">
      <c r="C297" s="6" t="s">
        <v>51</v>
      </c>
      <c r="D297" s="6">
        <v>7</v>
      </c>
      <c r="E297" s="6">
        <v>7</v>
      </c>
      <c r="F297" s="6">
        <v>6</v>
      </c>
      <c r="G297" s="6">
        <v>5</v>
      </c>
      <c r="H297" s="6">
        <v>6</v>
      </c>
      <c r="I297" s="6">
        <v>7</v>
      </c>
      <c r="J297" s="6">
        <v>8</v>
      </c>
      <c r="K297" s="6">
        <v>9</v>
      </c>
      <c r="L297" s="6">
        <v>9</v>
      </c>
      <c r="M297" s="6">
        <v>9</v>
      </c>
      <c r="N297" s="6">
        <v>9</v>
      </c>
      <c r="O297" s="6">
        <v>9</v>
      </c>
      <c r="P297" s="6">
        <v>9</v>
      </c>
      <c r="Q297" s="6">
        <v>9</v>
      </c>
      <c r="R297" s="6">
        <v>8</v>
      </c>
      <c r="S297" s="6">
        <v>7</v>
      </c>
      <c r="T297" s="6">
        <v>6</v>
      </c>
      <c r="U297" s="6">
        <v>7</v>
      </c>
      <c r="V297" s="6">
        <v>8</v>
      </c>
      <c r="W297" s="6">
        <v>9</v>
      </c>
      <c r="X297" s="6">
        <v>9</v>
      </c>
    </row>
    <row r="299" spans="3:24" x14ac:dyDescent="0.25">
      <c r="C299" s="6" t="s">
        <v>50</v>
      </c>
      <c r="D299" s="6">
        <v>12</v>
      </c>
      <c r="E299" s="6">
        <v>11</v>
      </c>
      <c r="F299" s="6">
        <v>10</v>
      </c>
      <c r="G299" s="6">
        <v>9</v>
      </c>
      <c r="H299" s="6">
        <v>8</v>
      </c>
      <c r="I299" s="6">
        <v>7</v>
      </c>
      <c r="J299" s="6">
        <v>5</v>
      </c>
      <c r="K299" s="6">
        <v>4</v>
      </c>
      <c r="L299" s="6">
        <v>3</v>
      </c>
      <c r="M299" s="6">
        <v>2</v>
      </c>
      <c r="N299" s="6">
        <v>2</v>
      </c>
      <c r="O299" s="6">
        <v>2</v>
      </c>
      <c r="P299" s="6">
        <v>2</v>
      </c>
      <c r="Q299" s="6">
        <v>2</v>
      </c>
      <c r="R299" s="6">
        <v>2</v>
      </c>
      <c r="S299" s="6">
        <v>2</v>
      </c>
      <c r="T299" s="6">
        <v>2</v>
      </c>
      <c r="U299" s="6">
        <v>2</v>
      </c>
      <c r="V299" s="6">
        <v>2</v>
      </c>
      <c r="W299" s="6">
        <v>2</v>
      </c>
      <c r="X299" s="6">
        <v>2</v>
      </c>
    </row>
    <row r="301" spans="3:24" x14ac:dyDescent="0.25">
      <c r="C301" s="6" t="s">
        <v>51</v>
      </c>
      <c r="D301" s="6">
        <v>7</v>
      </c>
      <c r="E301" s="6">
        <v>7</v>
      </c>
      <c r="F301" s="6">
        <v>6</v>
      </c>
      <c r="G301" s="6">
        <v>5</v>
      </c>
      <c r="H301" s="6">
        <v>6</v>
      </c>
      <c r="I301" s="6">
        <v>7</v>
      </c>
      <c r="J301" s="6">
        <v>8</v>
      </c>
      <c r="K301" s="6">
        <v>9</v>
      </c>
      <c r="L301" s="6">
        <v>9</v>
      </c>
      <c r="M301" s="6">
        <v>9</v>
      </c>
      <c r="N301" s="6">
        <v>9</v>
      </c>
      <c r="O301" s="6">
        <v>9</v>
      </c>
      <c r="P301" s="6">
        <v>9</v>
      </c>
      <c r="Q301" s="6">
        <v>9</v>
      </c>
      <c r="R301" s="6">
        <v>8</v>
      </c>
      <c r="S301" s="6">
        <v>7</v>
      </c>
      <c r="T301" s="6">
        <v>6</v>
      </c>
      <c r="U301" s="6">
        <v>7</v>
      </c>
      <c r="V301" s="6">
        <v>8</v>
      </c>
      <c r="W301" s="6">
        <v>9</v>
      </c>
      <c r="X301" s="6">
        <v>9</v>
      </c>
    </row>
    <row r="303" spans="3:24" x14ac:dyDescent="0.25">
      <c r="C303" s="6" t="s">
        <v>50</v>
      </c>
      <c r="D303" s="6">
        <v>12</v>
      </c>
      <c r="E303" s="6">
        <v>11</v>
      </c>
      <c r="F303" s="6">
        <v>10</v>
      </c>
      <c r="G303" s="6">
        <v>9</v>
      </c>
      <c r="H303" s="6">
        <v>8</v>
      </c>
      <c r="I303" s="6">
        <v>7</v>
      </c>
      <c r="J303" s="6">
        <v>5</v>
      </c>
      <c r="K303" s="6">
        <v>4</v>
      </c>
      <c r="L303" s="6">
        <v>3</v>
      </c>
      <c r="M303" s="6">
        <v>2</v>
      </c>
      <c r="N303" s="6">
        <v>2</v>
      </c>
      <c r="O303" s="6">
        <v>2</v>
      </c>
      <c r="P303" s="6">
        <v>2</v>
      </c>
      <c r="Q303" s="6">
        <v>2</v>
      </c>
      <c r="R303" s="6">
        <v>2</v>
      </c>
      <c r="S303" s="6">
        <v>2</v>
      </c>
      <c r="T303" s="6">
        <v>2</v>
      </c>
      <c r="U303" s="6">
        <v>2</v>
      </c>
      <c r="V303" s="6">
        <v>2</v>
      </c>
      <c r="W303" s="6">
        <v>2</v>
      </c>
      <c r="X303" s="6">
        <v>2</v>
      </c>
    </row>
    <row r="305" spans="3:24" x14ac:dyDescent="0.25">
      <c r="C305" s="6" t="s">
        <v>51</v>
      </c>
      <c r="D305" s="6">
        <v>7</v>
      </c>
      <c r="E305" s="6">
        <v>7</v>
      </c>
      <c r="F305" s="6">
        <v>6</v>
      </c>
      <c r="G305" s="6">
        <v>5</v>
      </c>
      <c r="H305" s="6">
        <v>6</v>
      </c>
      <c r="I305" s="6">
        <v>7</v>
      </c>
      <c r="J305" s="6">
        <v>8</v>
      </c>
      <c r="K305" s="6">
        <v>9</v>
      </c>
      <c r="L305" s="6">
        <v>9</v>
      </c>
      <c r="M305" s="6">
        <v>9</v>
      </c>
      <c r="N305" s="6">
        <v>9</v>
      </c>
      <c r="O305" s="6">
        <v>9</v>
      </c>
      <c r="P305" s="6">
        <v>9</v>
      </c>
      <c r="Q305" s="6">
        <v>9</v>
      </c>
      <c r="R305" s="6">
        <v>8</v>
      </c>
      <c r="S305" s="6">
        <v>7</v>
      </c>
      <c r="T305" s="6">
        <v>6</v>
      </c>
      <c r="U305" s="6">
        <v>7</v>
      </c>
      <c r="V305" s="6">
        <v>8</v>
      </c>
      <c r="W305" s="6">
        <v>9</v>
      </c>
      <c r="X305" s="6">
        <v>9</v>
      </c>
    </row>
    <row r="307" spans="3:24" x14ac:dyDescent="0.25">
      <c r="C307" s="6" t="s">
        <v>50</v>
      </c>
      <c r="D307" s="6">
        <v>2</v>
      </c>
      <c r="E307" s="6">
        <v>2</v>
      </c>
      <c r="F307" s="6">
        <v>2</v>
      </c>
      <c r="G307" s="6">
        <v>2</v>
      </c>
      <c r="H307" s="6">
        <v>2</v>
      </c>
      <c r="I307" s="6">
        <v>2</v>
      </c>
      <c r="J307" s="6">
        <v>2</v>
      </c>
      <c r="K307" s="6">
        <v>2</v>
      </c>
      <c r="L307" s="6">
        <v>2</v>
      </c>
      <c r="M307" s="6">
        <v>2</v>
      </c>
      <c r="N307" s="6">
        <v>2</v>
      </c>
      <c r="O307" s="6">
        <v>2</v>
      </c>
      <c r="P307" s="6">
        <v>2</v>
      </c>
      <c r="Q307" s="6">
        <v>3</v>
      </c>
      <c r="R307" s="6">
        <v>4</v>
      </c>
      <c r="S307" s="6">
        <v>5</v>
      </c>
      <c r="T307" s="6">
        <v>6</v>
      </c>
      <c r="U307" s="6">
        <v>7</v>
      </c>
      <c r="V307" s="6">
        <v>8</v>
      </c>
      <c r="W307" s="6">
        <v>9</v>
      </c>
      <c r="X307" s="6">
        <v>9</v>
      </c>
    </row>
    <row r="309" spans="3:24" x14ac:dyDescent="0.25">
      <c r="C309" s="6" t="s">
        <v>51</v>
      </c>
      <c r="D309" s="6">
        <v>7</v>
      </c>
      <c r="E309" s="6">
        <v>7</v>
      </c>
      <c r="F309" s="6">
        <v>6</v>
      </c>
      <c r="G309" s="6">
        <v>5</v>
      </c>
      <c r="H309" s="6">
        <v>6</v>
      </c>
      <c r="I309" s="6">
        <v>7</v>
      </c>
      <c r="J309" s="6">
        <v>8</v>
      </c>
      <c r="K309" s="6">
        <v>9</v>
      </c>
      <c r="L309" s="6">
        <v>9</v>
      </c>
      <c r="M309" s="6">
        <v>9</v>
      </c>
      <c r="N309" s="6">
        <v>9</v>
      </c>
      <c r="O309" s="6">
        <v>9</v>
      </c>
      <c r="P309" s="6">
        <v>9</v>
      </c>
      <c r="Q309" s="6">
        <v>9</v>
      </c>
      <c r="R309" s="6">
        <v>8</v>
      </c>
      <c r="S309" s="6">
        <v>7</v>
      </c>
      <c r="T309" s="6">
        <v>6</v>
      </c>
      <c r="U309" s="6">
        <v>5</v>
      </c>
      <c r="V309" s="6">
        <v>5</v>
      </c>
      <c r="W309" s="6">
        <v>6</v>
      </c>
      <c r="X309" s="6">
        <v>6</v>
      </c>
    </row>
    <row r="311" spans="3:24" x14ac:dyDescent="0.25">
      <c r="C311" s="6" t="s">
        <v>50</v>
      </c>
      <c r="D311" s="6">
        <v>9</v>
      </c>
      <c r="E311" s="6">
        <v>9</v>
      </c>
      <c r="F311" s="6">
        <v>8</v>
      </c>
      <c r="G311" s="6">
        <v>7</v>
      </c>
      <c r="H311" s="6">
        <v>6</v>
      </c>
      <c r="I311" s="6">
        <v>5</v>
      </c>
      <c r="J311" s="6">
        <v>4</v>
      </c>
      <c r="K311" s="6">
        <v>3</v>
      </c>
      <c r="L311" s="6">
        <v>2</v>
      </c>
      <c r="M311" s="6">
        <v>2</v>
      </c>
      <c r="N311" s="6">
        <v>2</v>
      </c>
      <c r="O311" s="6">
        <v>2</v>
      </c>
      <c r="P311" s="6">
        <v>2</v>
      </c>
      <c r="Q311" s="6">
        <v>3</v>
      </c>
      <c r="R311" s="6">
        <v>4</v>
      </c>
      <c r="S311" s="6">
        <v>5</v>
      </c>
      <c r="T311" s="6">
        <v>6</v>
      </c>
      <c r="U311" s="6">
        <v>7</v>
      </c>
      <c r="V311" s="6">
        <v>8</v>
      </c>
      <c r="W311" s="6">
        <v>9</v>
      </c>
      <c r="X311" s="6">
        <v>9</v>
      </c>
    </row>
    <row r="313" spans="3:24" x14ac:dyDescent="0.25">
      <c r="C313" s="6" t="s">
        <v>51</v>
      </c>
      <c r="D313" s="6">
        <v>5</v>
      </c>
      <c r="E313" s="6">
        <v>5</v>
      </c>
      <c r="F313" s="6">
        <v>4</v>
      </c>
      <c r="G313" s="6">
        <v>5</v>
      </c>
      <c r="H313" s="6">
        <v>6</v>
      </c>
      <c r="I313" s="6">
        <v>6</v>
      </c>
      <c r="J313" s="6">
        <v>7</v>
      </c>
      <c r="K313" s="6">
        <v>8</v>
      </c>
      <c r="L313" s="6">
        <v>8</v>
      </c>
      <c r="M313" s="6">
        <v>8</v>
      </c>
      <c r="N313" s="6">
        <v>8</v>
      </c>
      <c r="O313" s="6">
        <v>8</v>
      </c>
      <c r="P313" s="6">
        <v>8</v>
      </c>
      <c r="Q313" s="6">
        <v>8</v>
      </c>
      <c r="R313" s="6">
        <v>7</v>
      </c>
      <c r="S313" s="6">
        <v>6</v>
      </c>
      <c r="T313" s="6">
        <v>6</v>
      </c>
      <c r="U313" s="6">
        <v>5</v>
      </c>
      <c r="V313" s="6">
        <v>4</v>
      </c>
      <c r="W313" s="6">
        <v>5</v>
      </c>
      <c r="X313" s="6">
        <v>5</v>
      </c>
    </row>
    <row r="315" spans="3:24" x14ac:dyDescent="0.25">
      <c r="C315" s="6" t="s">
        <v>50</v>
      </c>
      <c r="D315" s="6">
        <v>9</v>
      </c>
      <c r="E315" s="6">
        <v>9</v>
      </c>
      <c r="F315" s="6">
        <v>8</v>
      </c>
      <c r="G315" s="6">
        <v>7</v>
      </c>
      <c r="H315" s="6">
        <v>6</v>
      </c>
      <c r="I315" s="6">
        <v>5</v>
      </c>
      <c r="J315" s="6">
        <v>4</v>
      </c>
      <c r="K315" s="6">
        <v>3</v>
      </c>
      <c r="L315" s="6">
        <v>2</v>
      </c>
      <c r="M315" s="6">
        <v>2</v>
      </c>
      <c r="N315" s="6">
        <v>2</v>
      </c>
      <c r="O315" s="6">
        <v>2</v>
      </c>
      <c r="P315" s="6">
        <v>2</v>
      </c>
      <c r="Q315" s="6">
        <v>3</v>
      </c>
      <c r="R315" s="6">
        <v>4</v>
      </c>
      <c r="S315" s="6">
        <v>5</v>
      </c>
      <c r="T315" s="6">
        <v>6</v>
      </c>
      <c r="U315" s="6">
        <v>7</v>
      </c>
      <c r="V315" s="6">
        <v>8</v>
      </c>
      <c r="W315" s="6">
        <v>9</v>
      </c>
      <c r="X315" s="6">
        <v>9</v>
      </c>
    </row>
    <row r="317" spans="3:24" x14ac:dyDescent="0.25">
      <c r="C317" s="6" t="s">
        <v>51</v>
      </c>
      <c r="D317" s="6">
        <v>5</v>
      </c>
      <c r="E317" s="6">
        <v>5</v>
      </c>
      <c r="F317" s="6">
        <v>4</v>
      </c>
      <c r="G317" s="6">
        <v>5</v>
      </c>
      <c r="H317" s="6">
        <v>6</v>
      </c>
      <c r="I317" s="6">
        <v>6</v>
      </c>
      <c r="J317" s="6">
        <v>7</v>
      </c>
      <c r="K317" s="6">
        <v>8</v>
      </c>
      <c r="L317" s="6">
        <v>8</v>
      </c>
      <c r="M317" s="6">
        <v>8</v>
      </c>
      <c r="N317" s="6">
        <v>8</v>
      </c>
      <c r="O317" s="6">
        <v>8</v>
      </c>
      <c r="P317" s="6">
        <v>8</v>
      </c>
      <c r="Q317" s="6">
        <v>8</v>
      </c>
      <c r="R317" s="6">
        <v>7</v>
      </c>
      <c r="S317" s="6">
        <v>6</v>
      </c>
      <c r="T317" s="6">
        <v>6</v>
      </c>
      <c r="U317" s="6">
        <v>5</v>
      </c>
      <c r="V317" s="6">
        <v>4</v>
      </c>
      <c r="W317" s="6">
        <v>5</v>
      </c>
      <c r="X317" s="6">
        <v>5</v>
      </c>
    </row>
    <row r="319" spans="3:24" x14ac:dyDescent="0.25">
      <c r="C319" s="6" t="s">
        <v>50</v>
      </c>
      <c r="D319" s="6">
        <v>9</v>
      </c>
      <c r="E319" s="6">
        <v>9</v>
      </c>
      <c r="F319" s="6">
        <v>8</v>
      </c>
      <c r="G319" s="6">
        <v>7</v>
      </c>
      <c r="H319" s="6">
        <v>6</v>
      </c>
      <c r="I319" s="6">
        <v>5</v>
      </c>
      <c r="J319" s="6">
        <v>4</v>
      </c>
      <c r="K319" s="6">
        <v>3</v>
      </c>
      <c r="L319" s="6">
        <v>2</v>
      </c>
      <c r="M319" s="6">
        <v>2</v>
      </c>
      <c r="N319" s="6">
        <v>2</v>
      </c>
      <c r="O319" s="6">
        <v>2</v>
      </c>
      <c r="P319" s="6">
        <v>2</v>
      </c>
      <c r="Q319" s="6">
        <v>4</v>
      </c>
      <c r="R319" s="6">
        <v>4</v>
      </c>
      <c r="S319" s="6">
        <v>5</v>
      </c>
      <c r="T319" s="6">
        <v>6</v>
      </c>
      <c r="U319" s="6">
        <v>7</v>
      </c>
      <c r="V319" s="6">
        <v>8</v>
      </c>
      <c r="W319" s="6">
        <v>9</v>
      </c>
      <c r="X319" s="6">
        <v>10</v>
      </c>
    </row>
    <row r="321" spans="3:24" x14ac:dyDescent="0.25">
      <c r="C321" s="6" t="s">
        <v>51</v>
      </c>
      <c r="D321" s="6">
        <v>5</v>
      </c>
      <c r="E321" s="6">
        <v>5</v>
      </c>
      <c r="F321" s="6">
        <v>4</v>
      </c>
      <c r="G321" s="6">
        <v>5</v>
      </c>
      <c r="H321" s="6">
        <v>6</v>
      </c>
      <c r="I321" s="6">
        <v>6</v>
      </c>
      <c r="J321" s="6">
        <v>7</v>
      </c>
      <c r="K321" s="6">
        <v>8</v>
      </c>
      <c r="L321" s="6">
        <v>8</v>
      </c>
      <c r="M321" s="6">
        <v>8</v>
      </c>
      <c r="N321" s="6">
        <v>8</v>
      </c>
      <c r="O321" s="6">
        <v>8</v>
      </c>
      <c r="P321" s="6">
        <v>8</v>
      </c>
      <c r="Q321" s="6">
        <v>8</v>
      </c>
      <c r="R321" s="6">
        <v>7</v>
      </c>
      <c r="S321" s="6">
        <v>6</v>
      </c>
      <c r="T321" s="6">
        <v>6</v>
      </c>
      <c r="U321" s="6">
        <v>5</v>
      </c>
      <c r="V321" s="6">
        <v>4</v>
      </c>
      <c r="W321" s="6">
        <v>5</v>
      </c>
      <c r="X321" s="6">
        <v>5</v>
      </c>
    </row>
    <row r="323" spans="3:24" x14ac:dyDescent="0.25">
      <c r="C323" s="6" t="s">
        <v>50</v>
      </c>
      <c r="D323" s="6">
        <v>10</v>
      </c>
      <c r="E323" s="6">
        <v>9</v>
      </c>
      <c r="F323" s="6">
        <v>8</v>
      </c>
      <c r="G323" s="6">
        <v>8</v>
      </c>
      <c r="H323" s="6">
        <v>7</v>
      </c>
      <c r="I323" s="6">
        <v>6</v>
      </c>
      <c r="J323" s="6">
        <v>5</v>
      </c>
      <c r="K323" s="6">
        <v>4</v>
      </c>
      <c r="L323" s="6">
        <v>3</v>
      </c>
      <c r="M323" s="6">
        <v>2</v>
      </c>
      <c r="N323" s="6">
        <v>2</v>
      </c>
      <c r="O323" s="6">
        <v>2</v>
      </c>
      <c r="P323" s="6">
        <v>2</v>
      </c>
      <c r="Q323" s="6">
        <v>2</v>
      </c>
      <c r="R323" s="6">
        <v>2</v>
      </c>
      <c r="S323" s="6">
        <v>2</v>
      </c>
      <c r="T323" s="6">
        <v>2</v>
      </c>
      <c r="U323" s="6">
        <v>2</v>
      </c>
      <c r="V323" s="6">
        <v>2</v>
      </c>
      <c r="W323" s="6">
        <v>2</v>
      </c>
      <c r="X323" s="6">
        <v>2</v>
      </c>
    </row>
    <row r="325" spans="3:24" x14ac:dyDescent="0.25">
      <c r="C325" s="6" t="s">
        <v>51</v>
      </c>
      <c r="D325" s="6">
        <v>5</v>
      </c>
      <c r="E325" s="6">
        <v>5</v>
      </c>
      <c r="F325" s="6">
        <v>4</v>
      </c>
      <c r="G325" s="6">
        <v>5</v>
      </c>
      <c r="H325" s="6">
        <v>6</v>
      </c>
      <c r="I325" s="6">
        <v>6</v>
      </c>
      <c r="J325" s="6">
        <v>7</v>
      </c>
      <c r="K325" s="6">
        <v>8</v>
      </c>
      <c r="L325" s="6">
        <v>8</v>
      </c>
      <c r="M325" s="6">
        <v>8</v>
      </c>
      <c r="N325" s="6">
        <v>8</v>
      </c>
      <c r="O325" s="6">
        <v>8</v>
      </c>
      <c r="P325" s="6">
        <v>8</v>
      </c>
      <c r="Q325" s="6">
        <v>8</v>
      </c>
      <c r="R325" s="6">
        <v>7</v>
      </c>
      <c r="S325" s="6">
        <v>6</v>
      </c>
      <c r="T325" s="6">
        <v>6</v>
      </c>
      <c r="U325" s="6">
        <v>5</v>
      </c>
      <c r="V325" s="6">
        <v>6</v>
      </c>
      <c r="W325" s="6">
        <v>7</v>
      </c>
      <c r="X325" s="6">
        <v>7</v>
      </c>
    </row>
    <row r="327" spans="3:24" x14ac:dyDescent="0.25">
      <c r="C327" s="6" t="s">
        <v>50</v>
      </c>
      <c r="D327" s="6">
        <v>12</v>
      </c>
      <c r="E327" s="6">
        <v>11</v>
      </c>
      <c r="F327" s="6">
        <v>10</v>
      </c>
      <c r="G327" s="6">
        <v>9</v>
      </c>
      <c r="H327" s="6">
        <v>8</v>
      </c>
      <c r="I327" s="6">
        <v>7</v>
      </c>
      <c r="J327" s="6">
        <v>5</v>
      </c>
      <c r="K327" s="6">
        <v>4</v>
      </c>
      <c r="L327" s="6">
        <v>3</v>
      </c>
      <c r="M327" s="6">
        <v>2</v>
      </c>
      <c r="N327" s="6">
        <v>2</v>
      </c>
      <c r="O327" s="6">
        <v>2</v>
      </c>
      <c r="P327" s="6">
        <v>3</v>
      </c>
      <c r="Q327" s="6">
        <v>4</v>
      </c>
      <c r="R327" s="6">
        <v>5</v>
      </c>
      <c r="S327" s="6">
        <v>6</v>
      </c>
      <c r="T327" s="6">
        <v>8</v>
      </c>
      <c r="U327" s="6">
        <v>9</v>
      </c>
      <c r="V327" s="6">
        <v>10</v>
      </c>
      <c r="W327" s="6">
        <v>11</v>
      </c>
      <c r="X327" s="6">
        <v>12</v>
      </c>
    </row>
    <row r="329" spans="3:24" x14ac:dyDescent="0.25">
      <c r="C329" s="6" t="s">
        <v>51</v>
      </c>
      <c r="D329" s="6">
        <v>12</v>
      </c>
      <c r="E329" s="6">
        <v>11</v>
      </c>
      <c r="F329" s="6">
        <v>10</v>
      </c>
      <c r="G329" s="6">
        <v>9</v>
      </c>
      <c r="H329" s="6">
        <v>9</v>
      </c>
      <c r="I329" s="6">
        <v>11</v>
      </c>
      <c r="J329" s="6">
        <v>12</v>
      </c>
      <c r="K329" s="6">
        <v>13</v>
      </c>
      <c r="L329" s="6">
        <v>14</v>
      </c>
      <c r="M329" s="6">
        <v>14</v>
      </c>
      <c r="N329" s="6">
        <v>14</v>
      </c>
      <c r="O329" s="6">
        <v>14</v>
      </c>
      <c r="P329" s="6">
        <v>14</v>
      </c>
      <c r="Q329" s="6">
        <v>13</v>
      </c>
      <c r="R329" s="6">
        <v>12</v>
      </c>
      <c r="S329" s="6">
        <v>11</v>
      </c>
      <c r="T329" s="6">
        <v>9</v>
      </c>
      <c r="U329" s="6">
        <v>9</v>
      </c>
      <c r="V329" s="6">
        <v>10</v>
      </c>
      <c r="W329" s="6">
        <v>11</v>
      </c>
      <c r="X329" s="6">
        <v>12</v>
      </c>
    </row>
    <row r="331" spans="3:24" x14ac:dyDescent="0.25">
      <c r="C331" s="6" t="s">
        <v>50</v>
      </c>
      <c r="D331" s="6">
        <v>12</v>
      </c>
      <c r="E331" s="6">
        <v>11</v>
      </c>
      <c r="F331" s="6">
        <v>10</v>
      </c>
      <c r="G331" s="6">
        <v>9</v>
      </c>
      <c r="H331" s="6">
        <v>8</v>
      </c>
      <c r="I331" s="6">
        <v>7</v>
      </c>
      <c r="J331" s="6">
        <v>5</v>
      </c>
      <c r="K331" s="6">
        <v>4</v>
      </c>
      <c r="L331" s="6">
        <v>3</v>
      </c>
      <c r="M331" s="6">
        <v>2</v>
      </c>
      <c r="N331" s="6">
        <v>2</v>
      </c>
      <c r="O331" s="6">
        <v>2</v>
      </c>
      <c r="P331" s="6">
        <v>3</v>
      </c>
      <c r="Q331" s="6">
        <v>4</v>
      </c>
      <c r="R331" s="6">
        <v>5</v>
      </c>
      <c r="S331" s="6">
        <v>6</v>
      </c>
      <c r="T331" s="6">
        <v>8</v>
      </c>
      <c r="U331" s="6">
        <v>9</v>
      </c>
      <c r="V331" s="6">
        <v>10</v>
      </c>
      <c r="W331" s="6">
        <v>11</v>
      </c>
      <c r="X331" s="6">
        <v>12</v>
      </c>
    </row>
    <row r="333" spans="3:24" x14ac:dyDescent="0.25">
      <c r="C333" s="6" t="s">
        <v>51</v>
      </c>
      <c r="D333" s="6">
        <v>12</v>
      </c>
      <c r="E333" s="6">
        <v>11</v>
      </c>
      <c r="F333" s="6">
        <v>10</v>
      </c>
      <c r="G333" s="6">
        <v>9</v>
      </c>
      <c r="H333" s="6">
        <v>9</v>
      </c>
      <c r="I333" s="6">
        <v>11</v>
      </c>
      <c r="J333" s="6">
        <v>12</v>
      </c>
      <c r="K333" s="6">
        <v>13</v>
      </c>
      <c r="L333" s="6">
        <v>14</v>
      </c>
      <c r="M333" s="6">
        <v>14</v>
      </c>
      <c r="N333" s="6">
        <v>14</v>
      </c>
      <c r="O333" s="6">
        <v>14</v>
      </c>
      <c r="P333" s="6">
        <v>14</v>
      </c>
      <c r="Q333" s="6">
        <v>13</v>
      </c>
      <c r="R333" s="6">
        <v>12</v>
      </c>
      <c r="S333" s="6">
        <v>11</v>
      </c>
      <c r="T333" s="6">
        <v>9</v>
      </c>
      <c r="U333" s="6">
        <v>9</v>
      </c>
      <c r="V333" s="6">
        <v>10</v>
      </c>
      <c r="W333" s="6">
        <v>11</v>
      </c>
      <c r="X333" s="6">
        <v>12</v>
      </c>
    </row>
    <row r="335" spans="3:24" x14ac:dyDescent="0.25">
      <c r="C335" s="6" t="s">
        <v>50</v>
      </c>
      <c r="D335" s="6">
        <v>12</v>
      </c>
      <c r="E335" s="6">
        <v>11</v>
      </c>
      <c r="F335" s="6">
        <v>10</v>
      </c>
      <c r="G335" s="6">
        <v>9</v>
      </c>
      <c r="H335" s="6">
        <v>8</v>
      </c>
      <c r="I335" s="6">
        <v>7</v>
      </c>
      <c r="J335" s="6">
        <v>5</v>
      </c>
      <c r="K335" s="6">
        <v>4</v>
      </c>
      <c r="L335" s="6">
        <v>3</v>
      </c>
      <c r="M335" s="6">
        <v>2</v>
      </c>
      <c r="N335" s="6">
        <v>2</v>
      </c>
      <c r="O335" s="6">
        <v>2</v>
      </c>
      <c r="P335" s="6">
        <v>3</v>
      </c>
      <c r="Q335" s="6">
        <v>4</v>
      </c>
      <c r="R335" s="6">
        <v>5</v>
      </c>
      <c r="S335" s="6">
        <v>6</v>
      </c>
      <c r="T335" s="6">
        <v>8</v>
      </c>
      <c r="U335" s="6">
        <v>9</v>
      </c>
      <c r="V335" s="6">
        <v>10</v>
      </c>
      <c r="W335" s="6">
        <v>11</v>
      </c>
      <c r="X335" s="6">
        <v>12</v>
      </c>
    </row>
    <row r="337" spans="3:24" x14ac:dyDescent="0.25">
      <c r="C337" s="6" t="s">
        <v>51</v>
      </c>
      <c r="D337" s="6">
        <v>12</v>
      </c>
      <c r="E337" s="6">
        <v>11</v>
      </c>
      <c r="F337" s="6">
        <v>10</v>
      </c>
      <c r="G337" s="6">
        <v>9</v>
      </c>
      <c r="H337" s="6">
        <v>9</v>
      </c>
      <c r="I337" s="6">
        <v>11</v>
      </c>
      <c r="J337" s="6">
        <v>12</v>
      </c>
      <c r="K337" s="6">
        <v>13</v>
      </c>
      <c r="L337" s="6">
        <v>14</v>
      </c>
      <c r="M337" s="6">
        <v>14</v>
      </c>
      <c r="N337" s="6">
        <v>14</v>
      </c>
      <c r="O337" s="6">
        <v>14</v>
      </c>
      <c r="P337" s="6">
        <v>14</v>
      </c>
      <c r="Q337" s="6">
        <v>13</v>
      </c>
      <c r="R337" s="6">
        <v>12</v>
      </c>
      <c r="S337" s="6">
        <v>11</v>
      </c>
      <c r="T337" s="6">
        <v>9</v>
      </c>
      <c r="U337" s="6">
        <v>9</v>
      </c>
      <c r="V337" s="6">
        <v>10</v>
      </c>
      <c r="W337" s="6">
        <v>11</v>
      </c>
      <c r="X337" s="6">
        <v>12</v>
      </c>
    </row>
    <row r="339" spans="3:24" x14ac:dyDescent="0.25">
      <c r="C339" s="6" t="s">
        <v>50</v>
      </c>
      <c r="D339" s="6">
        <v>12</v>
      </c>
      <c r="E339" s="6">
        <v>11</v>
      </c>
      <c r="F339" s="6">
        <v>10</v>
      </c>
      <c r="G339" s="6">
        <v>9</v>
      </c>
      <c r="H339" s="6">
        <v>8</v>
      </c>
      <c r="I339" s="6">
        <v>7</v>
      </c>
      <c r="J339" s="6">
        <v>5</v>
      </c>
      <c r="K339" s="6">
        <v>4</v>
      </c>
      <c r="L339" s="6">
        <v>3</v>
      </c>
      <c r="M339" s="6">
        <v>2</v>
      </c>
      <c r="N339" s="6">
        <v>2</v>
      </c>
      <c r="O339" s="6">
        <v>2</v>
      </c>
      <c r="P339" s="6">
        <v>3</v>
      </c>
      <c r="Q339" s="6">
        <v>4</v>
      </c>
      <c r="R339" s="6">
        <v>5</v>
      </c>
      <c r="S339" s="6">
        <v>6</v>
      </c>
      <c r="T339" s="6">
        <v>8</v>
      </c>
      <c r="U339" s="6">
        <v>9</v>
      </c>
      <c r="V339" s="6">
        <v>10</v>
      </c>
      <c r="W339" s="6">
        <v>11</v>
      </c>
      <c r="X339" s="6">
        <v>12</v>
      </c>
    </row>
    <row r="341" spans="3:24" x14ac:dyDescent="0.25">
      <c r="C341" s="6" t="s">
        <v>51</v>
      </c>
      <c r="D341" s="6">
        <v>12</v>
      </c>
      <c r="E341" s="6">
        <v>11</v>
      </c>
      <c r="F341" s="6">
        <v>10</v>
      </c>
      <c r="G341" s="6">
        <v>9</v>
      </c>
      <c r="H341" s="6">
        <v>9</v>
      </c>
      <c r="I341" s="6">
        <v>11</v>
      </c>
      <c r="J341" s="6">
        <v>12</v>
      </c>
      <c r="K341" s="6">
        <v>13</v>
      </c>
      <c r="L341" s="6">
        <v>14</v>
      </c>
      <c r="M341" s="6">
        <v>14</v>
      </c>
      <c r="N341" s="6">
        <v>14</v>
      </c>
      <c r="O341" s="6">
        <v>14</v>
      </c>
      <c r="P341" s="6">
        <v>14</v>
      </c>
      <c r="Q341" s="6">
        <v>13</v>
      </c>
      <c r="R341" s="6">
        <v>12</v>
      </c>
      <c r="S341" s="6">
        <v>11</v>
      </c>
      <c r="T341" s="6">
        <v>9</v>
      </c>
      <c r="U341" s="6">
        <v>9</v>
      </c>
      <c r="V341" s="6">
        <v>10</v>
      </c>
      <c r="W341" s="6">
        <v>11</v>
      </c>
      <c r="X341" s="6">
        <v>12</v>
      </c>
    </row>
    <row r="343" spans="3:24" x14ac:dyDescent="0.25">
      <c r="C343" s="6" t="s">
        <v>50</v>
      </c>
      <c r="D343" s="6">
        <v>12</v>
      </c>
      <c r="E343" s="6">
        <v>11</v>
      </c>
      <c r="F343" s="6">
        <v>10</v>
      </c>
      <c r="G343" s="6">
        <v>9</v>
      </c>
      <c r="H343" s="6">
        <v>8</v>
      </c>
      <c r="I343" s="6">
        <v>7</v>
      </c>
      <c r="J343" s="6">
        <v>5</v>
      </c>
      <c r="K343" s="6">
        <v>4</v>
      </c>
      <c r="L343" s="6">
        <v>3</v>
      </c>
      <c r="M343" s="6">
        <v>2</v>
      </c>
      <c r="N343" s="6">
        <v>2</v>
      </c>
      <c r="O343" s="6">
        <v>2</v>
      </c>
      <c r="P343" s="6">
        <v>3</v>
      </c>
      <c r="Q343" s="6">
        <v>4</v>
      </c>
      <c r="R343" s="6">
        <v>5</v>
      </c>
      <c r="S343" s="6">
        <v>6</v>
      </c>
      <c r="T343" s="6">
        <v>8</v>
      </c>
      <c r="U343" s="6">
        <v>9</v>
      </c>
      <c r="V343" s="6">
        <v>10</v>
      </c>
      <c r="W343" s="6">
        <v>11</v>
      </c>
      <c r="X343" s="6">
        <v>12</v>
      </c>
    </row>
    <row r="345" spans="3:24" x14ac:dyDescent="0.25">
      <c r="C345" s="6" t="s">
        <v>51</v>
      </c>
      <c r="D345" s="6">
        <v>12</v>
      </c>
      <c r="E345" s="6">
        <v>11</v>
      </c>
      <c r="F345" s="6">
        <v>10</v>
      </c>
      <c r="G345" s="6">
        <v>9</v>
      </c>
      <c r="H345" s="6">
        <v>9</v>
      </c>
      <c r="I345" s="6">
        <v>11</v>
      </c>
      <c r="J345" s="6">
        <v>12</v>
      </c>
      <c r="K345" s="6">
        <v>13</v>
      </c>
      <c r="L345" s="6">
        <v>14</v>
      </c>
      <c r="M345" s="6">
        <v>14</v>
      </c>
      <c r="N345" s="6">
        <v>14</v>
      </c>
      <c r="O345" s="6">
        <v>14</v>
      </c>
      <c r="P345" s="6">
        <v>14</v>
      </c>
      <c r="Q345" s="6">
        <v>13</v>
      </c>
      <c r="R345" s="6">
        <v>12</v>
      </c>
      <c r="S345" s="6">
        <v>11</v>
      </c>
      <c r="T345" s="6">
        <v>9</v>
      </c>
      <c r="U345" s="6">
        <v>9</v>
      </c>
      <c r="V345" s="6">
        <v>10</v>
      </c>
      <c r="W345" s="6">
        <v>11</v>
      </c>
      <c r="X345" s="6">
        <v>12</v>
      </c>
    </row>
    <row r="347" spans="3:24" x14ac:dyDescent="0.25">
      <c r="C347" s="6" t="s">
        <v>50</v>
      </c>
      <c r="D347" s="6">
        <v>12</v>
      </c>
      <c r="E347" s="6">
        <v>11</v>
      </c>
      <c r="F347" s="6">
        <v>10</v>
      </c>
      <c r="G347" s="6">
        <v>9</v>
      </c>
      <c r="H347" s="6">
        <v>8</v>
      </c>
      <c r="I347" s="6">
        <v>7</v>
      </c>
      <c r="J347" s="6">
        <v>5</v>
      </c>
      <c r="K347" s="6">
        <v>4</v>
      </c>
      <c r="L347" s="6">
        <v>3</v>
      </c>
      <c r="M347" s="6">
        <v>2</v>
      </c>
      <c r="N347" s="6">
        <v>2</v>
      </c>
      <c r="O347" s="6">
        <v>2</v>
      </c>
      <c r="P347" s="6">
        <v>3</v>
      </c>
      <c r="Q347" s="6">
        <v>4</v>
      </c>
      <c r="R347" s="6">
        <v>5</v>
      </c>
      <c r="S347" s="6">
        <v>6</v>
      </c>
      <c r="T347" s="6">
        <v>8</v>
      </c>
      <c r="U347" s="6">
        <v>9</v>
      </c>
      <c r="V347" s="6">
        <v>10</v>
      </c>
      <c r="W347" s="6">
        <v>11</v>
      </c>
      <c r="X347" s="6">
        <v>12</v>
      </c>
    </row>
    <row r="349" spans="3:24" x14ac:dyDescent="0.25">
      <c r="C349" s="6" t="s">
        <v>51</v>
      </c>
      <c r="D349" s="6">
        <v>12</v>
      </c>
      <c r="E349" s="6">
        <v>11</v>
      </c>
      <c r="F349" s="6">
        <v>10</v>
      </c>
      <c r="G349" s="6">
        <v>9</v>
      </c>
      <c r="H349" s="6">
        <v>9</v>
      </c>
      <c r="I349" s="6">
        <v>11</v>
      </c>
      <c r="J349" s="6">
        <v>12</v>
      </c>
      <c r="K349" s="6">
        <v>13</v>
      </c>
      <c r="L349" s="6">
        <v>14</v>
      </c>
      <c r="M349" s="6">
        <v>14</v>
      </c>
      <c r="N349" s="6">
        <v>14</v>
      </c>
      <c r="O349" s="6">
        <v>14</v>
      </c>
      <c r="P349" s="6">
        <v>14</v>
      </c>
      <c r="Q349" s="6">
        <v>13</v>
      </c>
      <c r="R349" s="6">
        <v>12</v>
      </c>
      <c r="S349" s="6">
        <v>11</v>
      </c>
      <c r="T349" s="6">
        <v>9</v>
      </c>
      <c r="U349" s="6">
        <v>9</v>
      </c>
      <c r="V349" s="6">
        <v>10</v>
      </c>
      <c r="W349" s="6">
        <v>11</v>
      </c>
      <c r="X349" s="6">
        <v>12</v>
      </c>
    </row>
    <row r="351" spans="3:24" x14ac:dyDescent="0.25">
      <c r="C351" s="6" t="s">
        <v>50</v>
      </c>
      <c r="D351" s="6">
        <v>12</v>
      </c>
      <c r="E351" s="6">
        <v>11</v>
      </c>
      <c r="F351" s="6">
        <v>10</v>
      </c>
      <c r="G351" s="6">
        <v>9</v>
      </c>
      <c r="H351" s="6">
        <v>8</v>
      </c>
      <c r="I351" s="6">
        <v>7</v>
      </c>
      <c r="J351" s="6">
        <v>5</v>
      </c>
      <c r="K351" s="6">
        <v>4</v>
      </c>
      <c r="L351" s="6">
        <v>3</v>
      </c>
      <c r="M351" s="6">
        <v>2</v>
      </c>
      <c r="N351" s="6">
        <v>2</v>
      </c>
      <c r="O351" s="6">
        <v>2</v>
      </c>
      <c r="P351" s="6">
        <v>3</v>
      </c>
      <c r="Q351" s="6">
        <v>4</v>
      </c>
      <c r="R351" s="6">
        <v>5</v>
      </c>
      <c r="S351" s="6">
        <v>6</v>
      </c>
      <c r="T351" s="6">
        <v>8</v>
      </c>
      <c r="U351" s="6">
        <v>9</v>
      </c>
      <c r="V351" s="6">
        <v>10</v>
      </c>
      <c r="W351" s="6">
        <v>11</v>
      </c>
      <c r="X351" s="6">
        <v>12</v>
      </c>
    </row>
    <row r="353" spans="3:24" x14ac:dyDescent="0.25">
      <c r="C353" s="6" t="s">
        <v>51</v>
      </c>
      <c r="D353" s="6">
        <v>12</v>
      </c>
      <c r="E353" s="6">
        <v>11</v>
      </c>
      <c r="F353" s="6">
        <v>10</v>
      </c>
      <c r="G353" s="6">
        <v>9</v>
      </c>
      <c r="H353" s="6">
        <v>9</v>
      </c>
      <c r="I353" s="6">
        <v>11</v>
      </c>
      <c r="J353" s="6">
        <v>12</v>
      </c>
      <c r="K353" s="6">
        <v>13</v>
      </c>
      <c r="L353" s="6">
        <v>14</v>
      </c>
      <c r="M353" s="6">
        <v>14</v>
      </c>
      <c r="N353" s="6">
        <v>14</v>
      </c>
      <c r="O353" s="6">
        <v>14</v>
      </c>
      <c r="P353" s="6">
        <v>14</v>
      </c>
      <c r="Q353" s="6">
        <v>13</v>
      </c>
      <c r="R353" s="6">
        <v>12</v>
      </c>
      <c r="S353" s="6">
        <v>11</v>
      </c>
      <c r="T353" s="6">
        <v>9</v>
      </c>
      <c r="U353" s="6">
        <v>9</v>
      </c>
      <c r="V353" s="6">
        <v>10</v>
      </c>
      <c r="W353" s="6">
        <v>11</v>
      </c>
      <c r="X353" s="6">
        <v>12</v>
      </c>
    </row>
    <row r="355" spans="3:24" x14ac:dyDescent="0.25">
      <c r="C355" s="6" t="s">
        <v>50</v>
      </c>
      <c r="D355" s="6">
        <v>12</v>
      </c>
      <c r="E355" s="6">
        <v>11</v>
      </c>
      <c r="F355" s="6">
        <v>10</v>
      </c>
      <c r="G355" s="6">
        <v>9</v>
      </c>
      <c r="H355" s="6">
        <v>8</v>
      </c>
      <c r="I355" s="6">
        <v>7</v>
      </c>
      <c r="J355" s="6">
        <v>5</v>
      </c>
      <c r="K355" s="6">
        <v>4</v>
      </c>
      <c r="L355" s="6">
        <v>3</v>
      </c>
      <c r="M355" s="6">
        <v>2</v>
      </c>
      <c r="N355" s="6">
        <v>2</v>
      </c>
      <c r="O355" s="6">
        <v>2</v>
      </c>
      <c r="P355" s="6">
        <v>3</v>
      </c>
      <c r="Q355" s="6">
        <v>4</v>
      </c>
      <c r="R355" s="6">
        <v>5</v>
      </c>
      <c r="S355" s="6">
        <v>6</v>
      </c>
      <c r="T355" s="6">
        <v>8</v>
      </c>
      <c r="U355" s="6">
        <v>9</v>
      </c>
      <c r="V355" s="6">
        <v>10</v>
      </c>
      <c r="W355" s="6">
        <v>11</v>
      </c>
      <c r="X355" s="6">
        <v>12</v>
      </c>
    </row>
    <row r="357" spans="3:24" x14ac:dyDescent="0.25">
      <c r="C357" s="6" t="s">
        <v>51</v>
      </c>
      <c r="D357" s="6">
        <v>12</v>
      </c>
      <c r="E357" s="6">
        <v>11</v>
      </c>
      <c r="F357" s="6">
        <v>10</v>
      </c>
      <c r="G357" s="6">
        <v>9</v>
      </c>
      <c r="H357" s="6">
        <v>9</v>
      </c>
      <c r="I357" s="6">
        <v>11</v>
      </c>
      <c r="J357" s="6">
        <v>12</v>
      </c>
      <c r="K357" s="6">
        <v>13</v>
      </c>
      <c r="L357" s="6">
        <v>14</v>
      </c>
      <c r="M357" s="6">
        <v>14</v>
      </c>
      <c r="N357" s="6">
        <v>14</v>
      </c>
      <c r="O357" s="6">
        <v>14</v>
      </c>
      <c r="P357" s="6">
        <v>14</v>
      </c>
      <c r="Q357" s="6">
        <v>13</v>
      </c>
      <c r="R357" s="6">
        <v>12</v>
      </c>
      <c r="S357" s="6">
        <v>11</v>
      </c>
      <c r="T357" s="6">
        <v>9</v>
      </c>
      <c r="U357" s="6">
        <v>9</v>
      </c>
      <c r="V357" s="6">
        <v>10</v>
      </c>
      <c r="W357" s="6">
        <v>11</v>
      </c>
      <c r="X357" s="6">
        <v>12</v>
      </c>
    </row>
    <row r="359" spans="3:24" x14ac:dyDescent="0.25">
      <c r="C359" s="6" t="s">
        <v>50</v>
      </c>
      <c r="D359" s="6">
        <v>12</v>
      </c>
      <c r="E359" s="6">
        <v>11</v>
      </c>
      <c r="F359" s="6">
        <v>10</v>
      </c>
      <c r="G359" s="6">
        <v>9</v>
      </c>
      <c r="H359" s="6">
        <v>8</v>
      </c>
      <c r="I359" s="6">
        <v>7</v>
      </c>
      <c r="J359" s="6">
        <v>5</v>
      </c>
      <c r="K359" s="6">
        <v>4</v>
      </c>
      <c r="L359" s="6">
        <v>3</v>
      </c>
      <c r="M359" s="6">
        <v>2</v>
      </c>
      <c r="N359" s="6">
        <v>2</v>
      </c>
      <c r="O359" s="6">
        <v>2</v>
      </c>
      <c r="P359" s="6">
        <v>3</v>
      </c>
      <c r="Q359" s="6">
        <v>4</v>
      </c>
      <c r="R359" s="6">
        <v>5</v>
      </c>
      <c r="S359" s="6">
        <v>6</v>
      </c>
      <c r="T359" s="6">
        <v>8</v>
      </c>
      <c r="U359" s="6">
        <v>9</v>
      </c>
      <c r="V359" s="6">
        <v>10</v>
      </c>
      <c r="W359" s="6">
        <v>11</v>
      </c>
      <c r="X359" s="6">
        <v>12</v>
      </c>
    </row>
    <row r="361" spans="3:24" x14ac:dyDescent="0.25">
      <c r="C361" s="6" t="s">
        <v>51</v>
      </c>
      <c r="D361" s="6">
        <v>12</v>
      </c>
      <c r="E361" s="6">
        <v>11</v>
      </c>
      <c r="F361" s="6">
        <v>10</v>
      </c>
      <c r="G361" s="6">
        <v>9</v>
      </c>
      <c r="H361" s="6">
        <v>9</v>
      </c>
      <c r="I361" s="6">
        <v>11</v>
      </c>
      <c r="J361" s="6">
        <v>12</v>
      </c>
      <c r="K361" s="6">
        <v>13</v>
      </c>
      <c r="L361" s="6">
        <v>14</v>
      </c>
      <c r="M361" s="6">
        <v>14</v>
      </c>
      <c r="N361" s="6">
        <v>14</v>
      </c>
      <c r="O361" s="6">
        <v>14</v>
      </c>
      <c r="P361" s="6">
        <v>14</v>
      </c>
      <c r="Q361" s="6">
        <v>13</v>
      </c>
      <c r="R361" s="6">
        <v>12</v>
      </c>
      <c r="S361" s="6">
        <v>11</v>
      </c>
      <c r="T361" s="6">
        <v>9</v>
      </c>
      <c r="U361" s="6">
        <v>9</v>
      </c>
      <c r="V361" s="6">
        <v>10</v>
      </c>
      <c r="W361" s="6">
        <v>11</v>
      </c>
      <c r="X361" s="6">
        <v>12</v>
      </c>
    </row>
    <row r="363" spans="3:24" x14ac:dyDescent="0.25">
      <c r="C363" s="6" t="s">
        <v>50</v>
      </c>
      <c r="D363" s="6">
        <v>12</v>
      </c>
      <c r="E363" s="6">
        <v>11</v>
      </c>
      <c r="F363" s="6">
        <v>10</v>
      </c>
      <c r="G363" s="6">
        <v>9</v>
      </c>
      <c r="H363" s="6">
        <v>8</v>
      </c>
      <c r="I363" s="6">
        <v>7</v>
      </c>
      <c r="J363" s="6">
        <v>5</v>
      </c>
      <c r="K363" s="6">
        <v>4</v>
      </c>
      <c r="L363" s="6">
        <v>3</v>
      </c>
      <c r="M363" s="6">
        <v>2</v>
      </c>
      <c r="N363" s="6">
        <v>2</v>
      </c>
      <c r="O363" s="6">
        <v>2</v>
      </c>
      <c r="P363" s="6">
        <v>3</v>
      </c>
      <c r="Q363" s="6">
        <v>4</v>
      </c>
      <c r="R363" s="6">
        <v>5</v>
      </c>
      <c r="S363" s="6">
        <v>6</v>
      </c>
      <c r="T363" s="6">
        <v>8</v>
      </c>
      <c r="U363" s="6">
        <v>9</v>
      </c>
      <c r="V363" s="6">
        <v>10</v>
      </c>
      <c r="W363" s="6">
        <v>11</v>
      </c>
      <c r="X363" s="6">
        <v>12</v>
      </c>
    </row>
    <row r="365" spans="3:24" x14ac:dyDescent="0.25">
      <c r="C365" s="6" t="s">
        <v>51</v>
      </c>
      <c r="D365" s="6">
        <v>12</v>
      </c>
      <c r="E365" s="6">
        <v>11</v>
      </c>
      <c r="F365" s="6">
        <v>10</v>
      </c>
      <c r="G365" s="6">
        <v>9</v>
      </c>
      <c r="H365" s="6">
        <v>9</v>
      </c>
      <c r="I365" s="6">
        <v>11</v>
      </c>
      <c r="J365" s="6">
        <v>12</v>
      </c>
      <c r="K365" s="6">
        <v>13</v>
      </c>
      <c r="L365" s="6">
        <v>14</v>
      </c>
      <c r="M365" s="6">
        <v>14</v>
      </c>
      <c r="N365" s="6">
        <v>14</v>
      </c>
      <c r="O365" s="6">
        <v>14</v>
      </c>
      <c r="P365" s="6">
        <v>14</v>
      </c>
      <c r="Q365" s="6">
        <v>13</v>
      </c>
      <c r="R365" s="6">
        <v>12</v>
      </c>
      <c r="S365" s="6">
        <v>11</v>
      </c>
      <c r="T365" s="6">
        <v>9</v>
      </c>
      <c r="U365" s="6">
        <v>9</v>
      </c>
      <c r="V365" s="6">
        <v>10</v>
      </c>
      <c r="W365" s="6">
        <v>11</v>
      </c>
      <c r="X365" s="6">
        <v>12</v>
      </c>
    </row>
    <row r="367" spans="3:24" x14ac:dyDescent="0.25">
      <c r="C367" s="6" t="s">
        <v>50</v>
      </c>
      <c r="D367" s="6">
        <v>12</v>
      </c>
      <c r="E367" s="6">
        <v>11</v>
      </c>
      <c r="F367" s="6">
        <v>10</v>
      </c>
      <c r="G367" s="6">
        <v>9</v>
      </c>
      <c r="H367" s="6">
        <v>8</v>
      </c>
      <c r="I367" s="6">
        <v>7</v>
      </c>
      <c r="J367" s="6">
        <v>5</v>
      </c>
      <c r="K367" s="6">
        <v>4</v>
      </c>
      <c r="L367" s="6">
        <v>3</v>
      </c>
      <c r="M367" s="6">
        <v>2</v>
      </c>
      <c r="N367" s="6">
        <v>2</v>
      </c>
      <c r="O367" s="6">
        <v>2</v>
      </c>
      <c r="P367" s="6">
        <v>3</v>
      </c>
      <c r="Q367" s="6">
        <v>4</v>
      </c>
      <c r="R367" s="6">
        <v>5</v>
      </c>
      <c r="S367" s="6">
        <v>6</v>
      </c>
      <c r="T367" s="6">
        <v>8</v>
      </c>
      <c r="U367" s="6">
        <v>9</v>
      </c>
      <c r="V367" s="6">
        <v>10</v>
      </c>
      <c r="W367" s="6">
        <v>11</v>
      </c>
      <c r="X367" s="6">
        <v>12</v>
      </c>
    </row>
    <row r="369" spans="3:24" x14ac:dyDescent="0.25">
      <c r="C369" s="6" t="s">
        <v>51</v>
      </c>
      <c r="D369" s="6">
        <v>12</v>
      </c>
      <c r="E369" s="6">
        <v>11</v>
      </c>
      <c r="F369" s="6">
        <v>10</v>
      </c>
      <c r="G369" s="6">
        <v>9</v>
      </c>
      <c r="H369" s="6">
        <v>9</v>
      </c>
      <c r="I369" s="6">
        <v>11</v>
      </c>
      <c r="J369" s="6">
        <v>12</v>
      </c>
      <c r="K369" s="6">
        <v>13</v>
      </c>
      <c r="L369" s="6">
        <v>14</v>
      </c>
      <c r="M369" s="6">
        <v>14</v>
      </c>
      <c r="N369" s="6">
        <v>14</v>
      </c>
      <c r="O369" s="6">
        <v>14</v>
      </c>
      <c r="P369" s="6">
        <v>14</v>
      </c>
      <c r="Q369" s="6">
        <v>13</v>
      </c>
      <c r="R369" s="6">
        <v>12</v>
      </c>
      <c r="S369" s="6">
        <v>11</v>
      </c>
      <c r="T369" s="6">
        <v>9</v>
      </c>
      <c r="U369" s="6">
        <v>9</v>
      </c>
      <c r="V369" s="6">
        <v>10</v>
      </c>
      <c r="W369" s="6">
        <v>11</v>
      </c>
      <c r="X369" s="6">
        <v>12</v>
      </c>
    </row>
    <row r="371" spans="3:24" x14ac:dyDescent="0.25">
      <c r="C371" s="6" t="s">
        <v>50</v>
      </c>
      <c r="D371" s="6">
        <v>12</v>
      </c>
      <c r="E371" s="6">
        <v>11</v>
      </c>
      <c r="F371" s="6">
        <v>10</v>
      </c>
      <c r="G371" s="6">
        <v>9</v>
      </c>
      <c r="H371" s="6">
        <v>8</v>
      </c>
      <c r="I371" s="6">
        <v>7</v>
      </c>
      <c r="J371" s="6">
        <v>5</v>
      </c>
      <c r="K371" s="6">
        <v>4</v>
      </c>
      <c r="L371" s="6">
        <v>3</v>
      </c>
      <c r="M371" s="6">
        <v>2</v>
      </c>
      <c r="N371" s="6">
        <v>2</v>
      </c>
      <c r="O371" s="6">
        <v>2</v>
      </c>
      <c r="P371" s="6">
        <v>3</v>
      </c>
      <c r="Q371" s="6">
        <v>4</v>
      </c>
      <c r="R371" s="6">
        <v>5</v>
      </c>
      <c r="S371" s="6">
        <v>6</v>
      </c>
      <c r="T371" s="6">
        <v>8</v>
      </c>
      <c r="U371" s="6">
        <v>9</v>
      </c>
      <c r="V371" s="6">
        <v>10</v>
      </c>
      <c r="W371" s="6">
        <v>11</v>
      </c>
      <c r="X371" s="6">
        <v>12</v>
      </c>
    </row>
    <row r="373" spans="3:24" x14ac:dyDescent="0.25">
      <c r="C373" s="6" t="s">
        <v>51</v>
      </c>
      <c r="D373" s="6">
        <v>12</v>
      </c>
      <c r="E373" s="6">
        <v>11</v>
      </c>
      <c r="F373" s="6">
        <v>10</v>
      </c>
      <c r="G373" s="6">
        <v>9</v>
      </c>
      <c r="H373" s="6">
        <v>9</v>
      </c>
      <c r="I373" s="6">
        <v>11</v>
      </c>
      <c r="J373" s="6">
        <v>12</v>
      </c>
      <c r="K373" s="6">
        <v>13</v>
      </c>
      <c r="L373" s="6">
        <v>14</v>
      </c>
      <c r="M373" s="6">
        <v>14</v>
      </c>
      <c r="N373" s="6">
        <v>14</v>
      </c>
      <c r="O373" s="6">
        <v>14</v>
      </c>
      <c r="P373" s="6">
        <v>14</v>
      </c>
      <c r="Q373" s="6">
        <v>13</v>
      </c>
      <c r="R373" s="6">
        <v>12</v>
      </c>
      <c r="S373" s="6">
        <v>11</v>
      </c>
      <c r="T373" s="6">
        <v>9</v>
      </c>
      <c r="U373" s="6">
        <v>9</v>
      </c>
      <c r="V373" s="6">
        <v>10</v>
      </c>
      <c r="W373" s="6">
        <v>11</v>
      </c>
      <c r="X373" s="6">
        <v>12</v>
      </c>
    </row>
    <row r="375" spans="3:24" x14ac:dyDescent="0.25">
      <c r="C375" s="6" t="s">
        <v>50</v>
      </c>
      <c r="D375" s="6">
        <v>2</v>
      </c>
      <c r="E375" s="6">
        <v>2</v>
      </c>
      <c r="F375" s="6">
        <v>2</v>
      </c>
      <c r="G375" s="6">
        <v>2</v>
      </c>
      <c r="H375" s="6">
        <v>2</v>
      </c>
      <c r="I375" s="6">
        <v>2</v>
      </c>
      <c r="J375" s="6">
        <v>2</v>
      </c>
      <c r="K375" s="6">
        <v>2</v>
      </c>
      <c r="L375" s="6">
        <v>2</v>
      </c>
      <c r="M375" s="6">
        <v>2</v>
      </c>
      <c r="N375" s="6">
        <v>2</v>
      </c>
      <c r="O375" s="6">
        <v>2</v>
      </c>
      <c r="P375" s="6">
        <v>2</v>
      </c>
      <c r="Q375" s="6">
        <v>3</v>
      </c>
      <c r="R375" s="6">
        <v>3</v>
      </c>
      <c r="S375" s="6">
        <v>4</v>
      </c>
      <c r="T375" s="6">
        <v>5</v>
      </c>
      <c r="U375" s="6">
        <v>5</v>
      </c>
      <c r="V375" s="6">
        <v>6</v>
      </c>
      <c r="W375" s="6">
        <v>7</v>
      </c>
      <c r="X375" s="6">
        <v>7</v>
      </c>
    </row>
    <row r="377" spans="3:24" x14ac:dyDescent="0.25">
      <c r="C377" s="6" t="s">
        <v>51</v>
      </c>
      <c r="D377" s="6">
        <v>5</v>
      </c>
      <c r="E377" s="6">
        <v>5</v>
      </c>
      <c r="F377" s="6">
        <v>4</v>
      </c>
      <c r="G377" s="6">
        <v>4</v>
      </c>
      <c r="H377" s="6">
        <v>4</v>
      </c>
      <c r="I377" s="6">
        <v>5</v>
      </c>
      <c r="J377" s="6">
        <v>6</v>
      </c>
      <c r="K377" s="6">
        <v>6</v>
      </c>
      <c r="L377" s="6">
        <v>6</v>
      </c>
      <c r="M377" s="6">
        <v>6</v>
      </c>
      <c r="N377" s="6">
        <v>6</v>
      </c>
      <c r="O377" s="6">
        <v>6</v>
      </c>
      <c r="P377" s="6">
        <v>6</v>
      </c>
      <c r="Q377" s="6">
        <v>6</v>
      </c>
      <c r="R377" s="6">
        <v>6</v>
      </c>
      <c r="S377" s="6">
        <v>5</v>
      </c>
      <c r="T377" s="6">
        <v>4</v>
      </c>
      <c r="U377" s="6">
        <v>4</v>
      </c>
      <c r="V377" s="6">
        <v>4</v>
      </c>
      <c r="W377" s="6">
        <v>5</v>
      </c>
      <c r="X377" s="6">
        <v>5</v>
      </c>
    </row>
    <row r="379" spans="3:24" x14ac:dyDescent="0.25">
      <c r="C379" s="6" t="s">
        <v>50</v>
      </c>
      <c r="D379" s="6">
        <v>7</v>
      </c>
      <c r="E379" s="6">
        <v>7</v>
      </c>
      <c r="F379" s="6">
        <v>6</v>
      </c>
      <c r="G379" s="6">
        <v>5</v>
      </c>
      <c r="H379" s="6">
        <v>5</v>
      </c>
      <c r="I379" s="6">
        <v>4</v>
      </c>
      <c r="J379" s="6">
        <v>3</v>
      </c>
      <c r="K379" s="6">
        <v>3</v>
      </c>
      <c r="L379" s="6">
        <v>2</v>
      </c>
      <c r="M379" s="6">
        <v>2</v>
      </c>
      <c r="N379" s="6">
        <v>2</v>
      </c>
      <c r="O379" s="6">
        <v>2</v>
      </c>
      <c r="P379" s="6">
        <v>3</v>
      </c>
      <c r="Q379" s="6">
        <v>4</v>
      </c>
      <c r="R379" s="6">
        <v>5</v>
      </c>
      <c r="S379" s="6">
        <v>6</v>
      </c>
      <c r="T379" s="6">
        <v>7</v>
      </c>
      <c r="U379" s="6">
        <v>8</v>
      </c>
      <c r="V379" s="6">
        <v>9</v>
      </c>
      <c r="W379" s="6">
        <v>10</v>
      </c>
      <c r="X379" s="6">
        <v>11</v>
      </c>
    </row>
    <row r="381" spans="3:24" x14ac:dyDescent="0.25">
      <c r="C381" s="6" t="s">
        <v>51</v>
      </c>
      <c r="D381" s="6">
        <v>5</v>
      </c>
      <c r="E381" s="6">
        <v>5</v>
      </c>
      <c r="F381" s="6">
        <v>4</v>
      </c>
      <c r="G381" s="6">
        <v>4</v>
      </c>
      <c r="H381" s="6">
        <v>4</v>
      </c>
      <c r="I381" s="6">
        <v>5</v>
      </c>
      <c r="J381" s="6">
        <v>6</v>
      </c>
      <c r="K381" s="6">
        <v>6</v>
      </c>
      <c r="L381" s="6">
        <v>6</v>
      </c>
      <c r="M381" s="6">
        <v>6</v>
      </c>
      <c r="N381" s="6">
        <v>6</v>
      </c>
      <c r="O381" s="6">
        <v>6</v>
      </c>
      <c r="P381" s="6">
        <v>6</v>
      </c>
      <c r="Q381" s="6">
        <v>6</v>
      </c>
      <c r="R381" s="6">
        <v>6</v>
      </c>
      <c r="S381" s="6">
        <v>5</v>
      </c>
      <c r="T381" s="6">
        <v>4</v>
      </c>
      <c r="U381" s="6">
        <v>4</v>
      </c>
      <c r="V381" s="6">
        <v>4</v>
      </c>
      <c r="W381" s="6">
        <v>4</v>
      </c>
      <c r="X381" s="6">
        <v>4</v>
      </c>
    </row>
    <row r="383" spans="3:24" x14ac:dyDescent="0.25">
      <c r="C383" s="6" t="s">
        <v>50</v>
      </c>
      <c r="D383" s="6">
        <v>9</v>
      </c>
      <c r="E383" s="6">
        <v>9</v>
      </c>
      <c r="F383" s="6">
        <v>8</v>
      </c>
      <c r="G383" s="6">
        <v>7</v>
      </c>
      <c r="H383" s="6">
        <v>6</v>
      </c>
      <c r="I383" s="6">
        <v>5</v>
      </c>
      <c r="J383" s="6">
        <v>4</v>
      </c>
      <c r="K383" s="6">
        <v>3</v>
      </c>
      <c r="L383" s="6">
        <v>2</v>
      </c>
      <c r="M383" s="6">
        <v>2</v>
      </c>
      <c r="N383" s="6">
        <v>2</v>
      </c>
      <c r="O383" s="6">
        <v>2</v>
      </c>
      <c r="P383" s="6">
        <v>3</v>
      </c>
      <c r="Q383" s="6">
        <v>4</v>
      </c>
      <c r="R383" s="6">
        <v>5</v>
      </c>
      <c r="S383" s="6">
        <v>6</v>
      </c>
      <c r="T383" s="6">
        <v>7</v>
      </c>
      <c r="U383" s="6">
        <v>8</v>
      </c>
      <c r="V383" s="6">
        <v>9</v>
      </c>
      <c r="W383" s="6">
        <v>10</v>
      </c>
      <c r="X383" s="6">
        <v>11</v>
      </c>
    </row>
    <row r="385" spans="3:24" x14ac:dyDescent="0.25">
      <c r="C385" s="6" t="s">
        <v>51</v>
      </c>
      <c r="D385" s="6">
        <v>10</v>
      </c>
      <c r="E385" s="6">
        <v>9</v>
      </c>
      <c r="F385" s="6">
        <v>8</v>
      </c>
      <c r="G385" s="6">
        <v>8</v>
      </c>
      <c r="H385" s="6">
        <v>9</v>
      </c>
      <c r="I385" s="6">
        <v>10</v>
      </c>
      <c r="J385" s="6">
        <v>11</v>
      </c>
      <c r="K385" s="6">
        <v>12</v>
      </c>
      <c r="L385" s="6">
        <v>13</v>
      </c>
      <c r="M385" s="6">
        <v>13</v>
      </c>
      <c r="N385" s="6">
        <v>13</v>
      </c>
      <c r="O385" s="6">
        <v>13</v>
      </c>
      <c r="P385" s="6">
        <v>13</v>
      </c>
      <c r="Q385" s="6">
        <v>12</v>
      </c>
      <c r="R385" s="6">
        <v>11</v>
      </c>
      <c r="S385" s="6">
        <v>10</v>
      </c>
      <c r="T385" s="6">
        <v>9</v>
      </c>
      <c r="U385" s="6">
        <v>7</v>
      </c>
      <c r="V385" s="6">
        <v>8</v>
      </c>
      <c r="W385" s="6">
        <v>9</v>
      </c>
      <c r="X385" s="6">
        <v>10</v>
      </c>
    </row>
    <row r="387" spans="3:24" x14ac:dyDescent="0.25">
      <c r="C387" s="6" t="s">
        <v>50</v>
      </c>
      <c r="D387" s="6">
        <v>11</v>
      </c>
      <c r="E387" s="6">
        <v>10</v>
      </c>
      <c r="F387" s="6">
        <v>9</v>
      </c>
      <c r="G387" s="6">
        <v>8</v>
      </c>
      <c r="H387" s="6">
        <v>7</v>
      </c>
      <c r="I387" s="6">
        <v>6</v>
      </c>
      <c r="J387" s="6">
        <v>5</v>
      </c>
      <c r="K387" s="6">
        <v>4</v>
      </c>
      <c r="L387" s="6">
        <v>3</v>
      </c>
      <c r="M387" s="6">
        <v>2</v>
      </c>
      <c r="N387" s="6">
        <v>2</v>
      </c>
      <c r="O387" s="6">
        <v>2</v>
      </c>
      <c r="P387" s="6">
        <v>3</v>
      </c>
      <c r="Q387" s="6">
        <v>4</v>
      </c>
      <c r="R387" s="6">
        <v>5</v>
      </c>
      <c r="S387" s="6">
        <v>6</v>
      </c>
      <c r="T387" s="6">
        <v>8</v>
      </c>
      <c r="U387" s="6">
        <v>9</v>
      </c>
      <c r="V387" s="6">
        <v>10</v>
      </c>
      <c r="W387" s="6">
        <v>11</v>
      </c>
      <c r="X387" s="6">
        <v>12</v>
      </c>
    </row>
    <row r="389" spans="3:24" x14ac:dyDescent="0.25">
      <c r="C389" s="6" t="s">
        <v>51</v>
      </c>
      <c r="D389" s="6">
        <v>10</v>
      </c>
      <c r="E389" s="6">
        <v>9</v>
      </c>
      <c r="F389" s="6">
        <v>8</v>
      </c>
      <c r="G389" s="6">
        <v>8</v>
      </c>
      <c r="H389" s="6">
        <v>9</v>
      </c>
      <c r="I389" s="6">
        <v>10</v>
      </c>
      <c r="J389" s="6">
        <v>11</v>
      </c>
      <c r="K389" s="6">
        <v>12</v>
      </c>
      <c r="L389" s="6">
        <v>13</v>
      </c>
      <c r="M389" s="6">
        <v>13</v>
      </c>
      <c r="N389" s="6">
        <v>13</v>
      </c>
      <c r="O389" s="6">
        <v>13</v>
      </c>
      <c r="P389" s="6">
        <v>13</v>
      </c>
      <c r="Q389" s="6">
        <v>12</v>
      </c>
      <c r="R389" s="6">
        <v>11</v>
      </c>
      <c r="S389" s="6">
        <v>10</v>
      </c>
      <c r="T389" s="6">
        <v>9</v>
      </c>
      <c r="U389" s="6">
        <v>7</v>
      </c>
      <c r="V389" s="6">
        <v>8</v>
      </c>
      <c r="W389" s="6">
        <v>9</v>
      </c>
      <c r="X389" s="6">
        <v>10</v>
      </c>
    </row>
    <row r="391" spans="3:24" x14ac:dyDescent="0.25">
      <c r="C391" s="6" t="s">
        <v>50</v>
      </c>
      <c r="D391" s="6">
        <v>12</v>
      </c>
      <c r="E391" s="6">
        <v>11</v>
      </c>
      <c r="F391" s="6">
        <v>10</v>
      </c>
      <c r="G391" s="6">
        <v>9</v>
      </c>
      <c r="H391" s="6">
        <v>8</v>
      </c>
      <c r="I391" s="6">
        <v>7</v>
      </c>
      <c r="J391" s="6">
        <v>5</v>
      </c>
      <c r="K391" s="6">
        <v>4</v>
      </c>
      <c r="L391" s="6">
        <v>3</v>
      </c>
      <c r="M391" s="6">
        <v>2</v>
      </c>
      <c r="N391" s="6">
        <v>2</v>
      </c>
      <c r="O391" s="6">
        <v>2</v>
      </c>
      <c r="P391" s="6">
        <v>2</v>
      </c>
      <c r="Q391" s="6">
        <v>2</v>
      </c>
      <c r="R391" s="6">
        <v>2</v>
      </c>
      <c r="S391" s="6">
        <v>2</v>
      </c>
      <c r="T391" s="6">
        <v>2</v>
      </c>
      <c r="U391" s="6">
        <v>2</v>
      </c>
      <c r="V391" s="6">
        <v>2</v>
      </c>
      <c r="W391" s="6">
        <v>2</v>
      </c>
      <c r="X391" s="6">
        <v>2</v>
      </c>
    </row>
    <row r="393" spans="3:24" x14ac:dyDescent="0.25">
      <c r="C393" s="6" t="s">
        <v>51</v>
      </c>
      <c r="D393" s="6">
        <v>8</v>
      </c>
      <c r="E393" s="6">
        <v>8</v>
      </c>
      <c r="F393" s="6">
        <v>7</v>
      </c>
      <c r="G393" s="6">
        <v>7</v>
      </c>
      <c r="H393" s="6">
        <v>8</v>
      </c>
      <c r="I393" s="6">
        <v>9</v>
      </c>
      <c r="J393" s="6">
        <v>11</v>
      </c>
      <c r="K393" s="6">
        <v>11</v>
      </c>
      <c r="L393" s="6">
        <v>12</v>
      </c>
      <c r="M393" s="6">
        <v>12</v>
      </c>
      <c r="N393" s="6">
        <v>12</v>
      </c>
      <c r="O393" s="6">
        <v>12</v>
      </c>
      <c r="P393" s="6">
        <v>12</v>
      </c>
      <c r="Q393" s="6">
        <v>11</v>
      </c>
      <c r="R393" s="6">
        <v>11</v>
      </c>
      <c r="S393" s="6">
        <v>9</v>
      </c>
      <c r="T393" s="6">
        <v>8</v>
      </c>
      <c r="U393" s="6">
        <v>8</v>
      </c>
      <c r="V393" s="6">
        <v>9</v>
      </c>
      <c r="W393" s="6">
        <v>10</v>
      </c>
      <c r="X393" s="6">
        <v>11</v>
      </c>
    </row>
    <row r="395" spans="3:24" x14ac:dyDescent="0.25">
      <c r="C395" s="6" t="s">
        <v>50</v>
      </c>
      <c r="D395" s="6">
        <v>2</v>
      </c>
      <c r="E395" s="6">
        <v>2</v>
      </c>
      <c r="F395" s="6">
        <v>2</v>
      </c>
      <c r="G395" s="6">
        <v>2</v>
      </c>
      <c r="H395" s="6">
        <v>2</v>
      </c>
      <c r="I395" s="6">
        <v>2</v>
      </c>
      <c r="J395" s="6">
        <v>2</v>
      </c>
      <c r="K395" s="6">
        <v>2</v>
      </c>
      <c r="L395" s="6">
        <v>2</v>
      </c>
      <c r="M395" s="6">
        <v>2</v>
      </c>
      <c r="N395" s="6">
        <v>2</v>
      </c>
      <c r="O395" s="6">
        <v>2</v>
      </c>
      <c r="P395" s="6">
        <v>2</v>
      </c>
      <c r="Q395" s="6">
        <v>3</v>
      </c>
      <c r="R395" s="6">
        <v>3</v>
      </c>
      <c r="S395" s="6">
        <v>4</v>
      </c>
      <c r="T395" s="6">
        <v>5</v>
      </c>
      <c r="U395" s="6">
        <v>5</v>
      </c>
      <c r="V395" s="6">
        <v>6</v>
      </c>
      <c r="W395" s="6">
        <v>7</v>
      </c>
      <c r="X395" s="6">
        <v>7</v>
      </c>
    </row>
    <row r="397" spans="3:24" x14ac:dyDescent="0.25">
      <c r="C397" s="6" t="s">
        <v>51</v>
      </c>
      <c r="D397" s="6">
        <v>7</v>
      </c>
      <c r="E397" s="6">
        <v>7</v>
      </c>
      <c r="F397" s="6">
        <v>6</v>
      </c>
      <c r="G397" s="6">
        <v>5</v>
      </c>
      <c r="H397" s="6">
        <v>6</v>
      </c>
      <c r="I397" s="6">
        <v>7</v>
      </c>
      <c r="J397" s="6">
        <v>8</v>
      </c>
      <c r="K397" s="6">
        <v>9</v>
      </c>
      <c r="L397" s="6">
        <v>9</v>
      </c>
      <c r="M397" s="6">
        <v>9</v>
      </c>
      <c r="N397" s="6">
        <v>9</v>
      </c>
      <c r="O397" s="6">
        <v>9</v>
      </c>
      <c r="P397" s="6">
        <v>9</v>
      </c>
      <c r="Q397" s="6">
        <v>9</v>
      </c>
      <c r="R397" s="6">
        <v>8</v>
      </c>
      <c r="S397" s="6">
        <v>7</v>
      </c>
      <c r="T397" s="6">
        <v>6</v>
      </c>
      <c r="U397" s="6">
        <v>5</v>
      </c>
      <c r="V397" s="6">
        <v>4</v>
      </c>
      <c r="W397" s="6">
        <v>5</v>
      </c>
      <c r="X397" s="6">
        <v>5</v>
      </c>
    </row>
    <row r="399" spans="3:24" x14ac:dyDescent="0.25">
      <c r="C399" s="6" t="s">
        <v>50</v>
      </c>
      <c r="D399" s="6">
        <v>7</v>
      </c>
      <c r="E399" s="6">
        <v>7</v>
      </c>
      <c r="F399" s="6">
        <v>6</v>
      </c>
      <c r="G399" s="6">
        <v>5</v>
      </c>
      <c r="H399" s="6">
        <v>5</v>
      </c>
      <c r="I399" s="6">
        <v>4</v>
      </c>
      <c r="J399" s="6">
        <v>3</v>
      </c>
      <c r="K399" s="6">
        <v>3</v>
      </c>
      <c r="L399" s="6">
        <v>2</v>
      </c>
      <c r="M399" s="6">
        <v>2</v>
      </c>
      <c r="N399" s="6">
        <v>2</v>
      </c>
      <c r="O399" s="6">
        <v>2</v>
      </c>
      <c r="P399" s="6">
        <v>2</v>
      </c>
      <c r="Q399" s="6">
        <v>3</v>
      </c>
      <c r="R399" s="6">
        <v>4</v>
      </c>
      <c r="S399" s="6">
        <v>4</v>
      </c>
      <c r="T399" s="6">
        <v>5</v>
      </c>
      <c r="U399" s="6">
        <v>6</v>
      </c>
      <c r="V399" s="6">
        <v>7</v>
      </c>
      <c r="W399" s="6">
        <v>8</v>
      </c>
      <c r="X399" s="6">
        <v>8</v>
      </c>
    </row>
    <row r="401" spans="3:24" x14ac:dyDescent="0.25">
      <c r="C401" s="6" t="s">
        <v>51</v>
      </c>
      <c r="D401" s="6">
        <v>5</v>
      </c>
      <c r="E401" s="6">
        <v>5</v>
      </c>
      <c r="F401" s="6">
        <v>4</v>
      </c>
      <c r="G401" s="6">
        <v>4</v>
      </c>
      <c r="H401" s="6">
        <v>5</v>
      </c>
      <c r="I401" s="6">
        <v>6</v>
      </c>
      <c r="J401" s="6">
        <v>6</v>
      </c>
      <c r="K401" s="6">
        <v>7</v>
      </c>
      <c r="L401" s="6">
        <v>7</v>
      </c>
      <c r="M401" s="6">
        <v>7</v>
      </c>
      <c r="N401" s="6">
        <v>7</v>
      </c>
      <c r="O401" s="6">
        <v>7</v>
      </c>
      <c r="P401" s="6">
        <v>7</v>
      </c>
      <c r="Q401" s="6">
        <v>7</v>
      </c>
      <c r="R401" s="6">
        <v>6</v>
      </c>
      <c r="S401" s="6">
        <v>6</v>
      </c>
      <c r="T401" s="6">
        <v>5</v>
      </c>
      <c r="U401" s="6">
        <v>4</v>
      </c>
      <c r="V401" s="6">
        <v>4</v>
      </c>
      <c r="W401" s="6">
        <v>4</v>
      </c>
      <c r="X401" s="6">
        <v>4</v>
      </c>
    </row>
    <row r="403" spans="3:24" x14ac:dyDescent="0.25">
      <c r="C403" s="6" t="s">
        <v>50</v>
      </c>
      <c r="D403" s="6">
        <v>8</v>
      </c>
      <c r="E403" s="6">
        <v>8</v>
      </c>
      <c r="F403" s="6">
        <v>7</v>
      </c>
      <c r="G403" s="6">
        <v>6</v>
      </c>
      <c r="H403" s="6">
        <v>5</v>
      </c>
      <c r="I403" s="6">
        <v>5</v>
      </c>
      <c r="J403" s="6">
        <v>4</v>
      </c>
      <c r="K403" s="6">
        <v>3</v>
      </c>
      <c r="L403" s="6">
        <v>2</v>
      </c>
      <c r="M403" s="6">
        <v>2</v>
      </c>
      <c r="N403" s="6">
        <v>2</v>
      </c>
      <c r="O403" s="6">
        <v>2</v>
      </c>
      <c r="P403" s="6">
        <v>2</v>
      </c>
      <c r="Q403" s="6">
        <v>3</v>
      </c>
      <c r="R403" s="6">
        <v>3</v>
      </c>
      <c r="S403" s="6">
        <v>4</v>
      </c>
      <c r="T403" s="6">
        <v>5</v>
      </c>
      <c r="U403" s="6">
        <v>5</v>
      </c>
      <c r="V403" s="6">
        <v>6</v>
      </c>
      <c r="W403" s="6">
        <v>7</v>
      </c>
      <c r="X403" s="6">
        <v>7</v>
      </c>
    </row>
    <row r="405" spans="3:24" x14ac:dyDescent="0.25">
      <c r="C405" s="6" t="s">
        <v>51</v>
      </c>
      <c r="D405" s="6">
        <v>4</v>
      </c>
      <c r="E405" s="6">
        <v>4</v>
      </c>
      <c r="F405" s="6">
        <v>4</v>
      </c>
      <c r="G405" s="6">
        <v>4</v>
      </c>
      <c r="H405" s="6">
        <v>5</v>
      </c>
      <c r="I405" s="6">
        <v>6</v>
      </c>
      <c r="J405" s="6">
        <v>6</v>
      </c>
      <c r="K405" s="6">
        <v>7</v>
      </c>
      <c r="L405" s="6">
        <v>7</v>
      </c>
      <c r="M405" s="6">
        <v>7</v>
      </c>
      <c r="N405" s="6">
        <v>7</v>
      </c>
      <c r="O405" s="6">
        <v>7</v>
      </c>
      <c r="P405" s="6">
        <v>7</v>
      </c>
      <c r="Q405" s="6">
        <v>7</v>
      </c>
      <c r="R405" s="6">
        <v>6</v>
      </c>
      <c r="S405" s="6">
        <v>6</v>
      </c>
      <c r="T405" s="6">
        <v>5</v>
      </c>
      <c r="U405" s="6">
        <v>4</v>
      </c>
      <c r="V405" s="6">
        <v>4</v>
      </c>
      <c r="W405" s="6">
        <v>4</v>
      </c>
      <c r="X405" s="6">
        <v>4</v>
      </c>
    </row>
    <row r="407" spans="3:24" x14ac:dyDescent="0.25">
      <c r="C407" s="6" t="s">
        <v>50</v>
      </c>
      <c r="D407" s="6">
        <v>7</v>
      </c>
      <c r="E407" s="6">
        <v>7</v>
      </c>
      <c r="F407" s="6">
        <v>6</v>
      </c>
      <c r="G407" s="6">
        <v>5</v>
      </c>
      <c r="H407" s="6">
        <v>5</v>
      </c>
      <c r="I407" s="6">
        <v>4</v>
      </c>
      <c r="J407" s="6">
        <v>3</v>
      </c>
      <c r="K407" s="6">
        <v>3</v>
      </c>
      <c r="L407" s="6">
        <v>2</v>
      </c>
      <c r="M407" s="6">
        <v>2</v>
      </c>
      <c r="N407" s="6">
        <v>2</v>
      </c>
      <c r="O407" s="6">
        <v>2</v>
      </c>
      <c r="P407" s="6">
        <v>2</v>
      </c>
      <c r="Q407" s="6">
        <v>3</v>
      </c>
      <c r="R407" s="6">
        <v>4</v>
      </c>
      <c r="S407" s="6">
        <v>4</v>
      </c>
      <c r="T407" s="6">
        <v>5</v>
      </c>
      <c r="U407" s="6">
        <v>6</v>
      </c>
      <c r="V407" s="6">
        <v>7</v>
      </c>
      <c r="W407" s="6">
        <v>8</v>
      </c>
      <c r="X407" s="6">
        <v>8</v>
      </c>
    </row>
    <row r="409" spans="3:24" x14ac:dyDescent="0.25">
      <c r="C409" s="6" t="s">
        <v>51</v>
      </c>
      <c r="D409" s="6">
        <v>4</v>
      </c>
      <c r="E409" s="6">
        <v>4</v>
      </c>
      <c r="F409" s="6">
        <v>4</v>
      </c>
      <c r="G409" s="6">
        <v>4</v>
      </c>
      <c r="H409" s="6">
        <v>5</v>
      </c>
      <c r="I409" s="6">
        <v>6</v>
      </c>
      <c r="J409" s="6">
        <v>6</v>
      </c>
      <c r="K409" s="6">
        <v>7</v>
      </c>
      <c r="L409" s="6">
        <v>7</v>
      </c>
      <c r="M409" s="6">
        <v>7</v>
      </c>
      <c r="N409" s="6">
        <v>7</v>
      </c>
      <c r="O409" s="6">
        <v>7</v>
      </c>
      <c r="P409" s="6">
        <v>7</v>
      </c>
      <c r="Q409" s="6">
        <v>7</v>
      </c>
      <c r="R409" s="6">
        <v>6</v>
      </c>
      <c r="S409" s="6">
        <v>6</v>
      </c>
      <c r="T409" s="6">
        <v>5</v>
      </c>
      <c r="U409" s="6">
        <v>4</v>
      </c>
      <c r="V409" s="6">
        <v>4</v>
      </c>
      <c r="W409" s="6">
        <v>4</v>
      </c>
      <c r="X409" s="6">
        <v>4</v>
      </c>
    </row>
    <row r="411" spans="3:24" x14ac:dyDescent="0.25">
      <c r="C411" s="6" t="s">
        <v>50</v>
      </c>
      <c r="D411" s="6">
        <v>8</v>
      </c>
      <c r="E411" s="6">
        <v>8</v>
      </c>
      <c r="F411" s="6">
        <v>7</v>
      </c>
      <c r="G411" s="6">
        <v>6</v>
      </c>
      <c r="H411" s="6">
        <v>5</v>
      </c>
      <c r="I411" s="6">
        <v>5</v>
      </c>
      <c r="J411" s="6">
        <v>4</v>
      </c>
      <c r="K411" s="6">
        <v>3</v>
      </c>
      <c r="L411" s="6">
        <v>2</v>
      </c>
      <c r="M411" s="6">
        <v>2</v>
      </c>
      <c r="N411" s="6">
        <v>2</v>
      </c>
      <c r="O411" s="6">
        <v>2</v>
      </c>
      <c r="P411" s="6">
        <v>2</v>
      </c>
      <c r="Q411" s="6">
        <v>2</v>
      </c>
      <c r="R411" s="6">
        <v>2</v>
      </c>
      <c r="S411" s="6">
        <v>3</v>
      </c>
      <c r="T411" s="6">
        <v>3</v>
      </c>
      <c r="U411" s="6">
        <v>4</v>
      </c>
      <c r="V411" s="6">
        <v>4</v>
      </c>
      <c r="W411" s="6">
        <v>5</v>
      </c>
      <c r="X411" s="6">
        <v>5</v>
      </c>
    </row>
    <row r="413" spans="3:24" x14ac:dyDescent="0.25">
      <c r="C413" s="6" t="s">
        <v>51</v>
      </c>
      <c r="D413" s="6">
        <v>4</v>
      </c>
      <c r="E413" s="6">
        <v>4</v>
      </c>
      <c r="F413" s="6">
        <v>4</v>
      </c>
      <c r="G413" s="6">
        <v>4</v>
      </c>
      <c r="H413" s="6">
        <v>5</v>
      </c>
      <c r="I413" s="6">
        <v>6</v>
      </c>
      <c r="J413" s="6">
        <v>6</v>
      </c>
      <c r="K413" s="6">
        <v>7</v>
      </c>
      <c r="L413" s="6">
        <v>7</v>
      </c>
      <c r="M413" s="6">
        <v>7</v>
      </c>
      <c r="N413" s="6">
        <v>7</v>
      </c>
      <c r="O413" s="6">
        <v>7</v>
      </c>
      <c r="P413" s="6">
        <v>7</v>
      </c>
      <c r="Q413" s="6">
        <v>7</v>
      </c>
      <c r="R413" s="6">
        <v>6</v>
      </c>
      <c r="S413" s="6">
        <v>6</v>
      </c>
      <c r="T413" s="6">
        <v>5</v>
      </c>
      <c r="U413" s="6">
        <v>4</v>
      </c>
      <c r="V413" s="6">
        <v>4</v>
      </c>
      <c r="W413" s="6">
        <v>5</v>
      </c>
      <c r="X413" s="6">
        <v>5</v>
      </c>
    </row>
    <row r="415" spans="3:24" x14ac:dyDescent="0.25">
      <c r="C415" s="6" t="s">
        <v>50</v>
      </c>
      <c r="D415" s="6">
        <v>4</v>
      </c>
      <c r="E415" s="6">
        <v>4</v>
      </c>
      <c r="F415" s="6">
        <v>4</v>
      </c>
      <c r="G415" s="6">
        <v>3</v>
      </c>
      <c r="H415" s="6">
        <v>3</v>
      </c>
      <c r="I415" s="6">
        <v>3</v>
      </c>
      <c r="J415" s="6">
        <v>2</v>
      </c>
      <c r="K415" s="6">
        <v>2</v>
      </c>
      <c r="L415" s="6">
        <v>2</v>
      </c>
      <c r="M415" s="6">
        <v>2</v>
      </c>
      <c r="N415" s="6">
        <v>2</v>
      </c>
      <c r="O415" s="6">
        <v>2</v>
      </c>
      <c r="P415" s="6">
        <v>3</v>
      </c>
      <c r="Q415" s="6">
        <v>4</v>
      </c>
      <c r="R415" s="6">
        <v>5</v>
      </c>
      <c r="S415" s="6">
        <v>6</v>
      </c>
      <c r="T415" s="6">
        <v>8</v>
      </c>
      <c r="U415" s="6">
        <v>9</v>
      </c>
      <c r="V415" s="6">
        <v>10</v>
      </c>
      <c r="W415" s="6">
        <v>11</v>
      </c>
      <c r="X415" s="6">
        <v>12</v>
      </c>
    </row>
    <row r="417" spans="3:24" x14ac:dyDescent="0.25">
      <c r="C417" s="6" t="s">
        <v>51</v>
      </c>
      <c r="D417" s="6">
        <v>5</v>
      </c>
      <c r="E417" s="6">
        <v>5</v>
      </c>
      <c r="F417" s="6">
        <v>4</v>
      </c>
      <c r="G417" s="6">
        <v>5</v>
      </c>
      <c r="H417" s="6">
        <v>6</v>
      </c>
      <c r="I417" s="6">
        <v>7</v>
      </c>
      <c r="J417" s="6">
        <v>8</v>
      </c>
      <c r="K417" s="6">
        <v>9</v>
      </c>
      <c r="L417" s="6">
        <v>9</v>
      </c>
      <c r="M417" s="6">
        <v>9</v>
      </c>
      <c r="N417" s="6">
        <v>9</v>
      </c>
      <c r="O417" s="6">
        <v>9</v>
      </c>
      <c r="P417" s="6">
        <v>9</v>
      </c>
      <c r="Q417" s="6">
        <v>9</v>
      </c>
      <c r="R417" s="6">
        <v>8</v>
      </c>
      <c r="S417" s="6">
        <v>7</v>
      </c>
      <c r="T417" s="6">
        <v>6</v>
      </c>
      <c r="U417" s="6">
        <v>5</v>
      </c>
      <c r="V417" s="6">
        <v>4</v>
      </c>
      <c r="W417" s="6">
        <v>3</v>
      </c>
      <c r="X417" s="6">
        <v>3</v>
      </c>
    </row>
    <row r="419" spans="3:24" x14ac:dyDescent="0.25">
      <c r="C419" s="6" t="s">
        <v>50</v>
      </c>
      <c r="D419" s="6">
        <v>2</v>
      </c>
      <c r="E419" s="6">
        <v>2</v>
      </c>
      <c r="F419" s="6">
        <v>2</v>
      </c>
      <c r="G419" s="6">
        <v>2</v>
      </c>
      <c r="H419" s="6">
        <v>2</v>
      </c>
      <c r="I419" s="6">
        <v>2</v>
      </c>
      <c r="J419" s="6">
        <v>2</v>
      </c>
      <c r="K419" s="6">
        <v>2</v>
      </c>
      <c r="L419" s="6">
        <v>2</v>
      </c>
      <c r="M419" s="6">
        <v>2</v>
      </c>
      <c r="N419" s="6">
        <v>2</v>
      </c>
      <c r="O419" s="6">
        <v>2</v>
      </c>
      <c r="P419" s="6">
        <v>2</v>
      </c>
      <c r="Q419" s="6">
        <v>4</v>
      </c>
      <c r="R419" s="6">
        <v>4</v>
      </c>
      <c r="S419" s="6">
        <v>5</v>
      </c>
      <c r="T419" s="6">
        <v>6</v>
      </c>
      <c r="U419" s="6">
        <v>7</v>
      </c>
      <c r="V419" s="6">
        <v>8</v>
      </c>
      <c r="W419" s="6">
        <v>9</v>
      </c>
      <c r="X419" s="6">
        <v>10</v>
      </c>
    </row>
    <row r="421" spans="3:24" x14ac:dyDescent="0.25">
      <c r="C421" s="6" t="s">
        <v>51</v>
      </c>
      <c r="D421" s="6">
        <v>6</v>
      </c>
      <c r="E421" s="6">
        <v>6</v>
      </c>
      <c r="F421" s="6">
        <v>5</v>
      </c>
      <c r="G421" s="6">
        <v>5</v>
      </c>
      <c r="H421" s="6">
        <v>5</v>
      </c>
      <c r="I421" s="6">
        <v>6</v>
      </c>
      <c r="J421" s="6">
        <v>6</v>
      </c>
      <c r="K421" s="6">
        <v>7</v>
      </c>
      <c r="L421" s="6">
        <v>7</v>
      </c>
      <c r="M421" s="6">
        <v>7</v>
      </c>
      <c r="N421" s="6">
        <v>7</v>
      </c>
      <c r="O421" s="6">
        <v>7</v>
      </c>
      <c r="P421" s="6">
        <v>7</v>
      </c>
      <c r="Q421" s="6">
        <v>7</v>
      </c>
      <c r="R421" s="6">
        <v>6</v>
      </c>
      <c r="S421" s="6">
        <v>6</v>
      </c>
      <c r="T421" s="6">
        <v>5</v>
      </c>
      <c r="U421" s="6">
        <v>5</v>
      </c>
      <c r="V421" s="6">
        <v>6</v>
      </c>
      <c r="W421" s="6">
        <v>7</v>
      </c>
      <c r="X421" s="6">
        <v>7</v>
      </c>
    </row>
    <row r="423" spans="3:24" x14ac:dyDescent="0.25">
      <c r="C423" s="6" t="s">
        <v>50</v>
      </c>
      <c r="D423" s="6">
        <v>10</v>
      </c>
      <c r="E423" s="6">
        <v>9</v>
      </c>
      <c r="F423" s="6">
        <v>8</v>
      </c>
      <c r="G423" s="6">
        <v>8</v>
      </c>
      <c r="H423" s="6">
        <v>7</v>
      </c>
      <c r="I423" s="6">
        <v>6</v>
      </c>
      <c r="J423" s="6">
        <v>5</v>
      </c>
      <c r="K423" s="6">
        <v>4</v>
      </c>
      <c r="L423" s="6">
        <v>3</v>
      </c>
      <c r="M423" s="6">
        <v>2</v>
      </c>
      <c r="N423" s="6">
        <v>2</v>
      </c>
      <c r="O423" s="6">
        <v>2</v>
      </c>
      <c r="P423" s="6">
        <v>2</v>
      </c>
      <c r="Q423" s="6">
        <v>4</v>
      </c>
      <c r="R423" s="6">
        <v>4</v>
      </c>
      <c r="S423" s="6">
        <v>5</v>
      </c>
      <c r="T423" s="6">
        <v>6</v>
      </c>
      <c r="U423" s="6">
        <v>7</v>
      </c>
      <c r="V423" s="6">
        <v>8</v>
      </c>
      <c r="W423" s="6">
        <v>9</v>
      </c>
      <c r="X423" s="6">
        <v>10</v>
      </c>
    </row>
    <row r="425" spans="3:24" x14ac:dyDescent="0.25">
      <c r="C425" s="6" t="s">
        <v>51</v>
      </c>
      <c r="D425" s="6">
        <v>7</v>
      </c>
      <c r="E425" s="6">
        <v>7</v>
      </c>
      <c r="F425" s="6">
        <v>6</v>
      </c>
      <c r="G425" s="6">
        <v>5</v>
      </c>
      <c r="H425" s="6">
        <v>5</v>
      </c>
      <c r="I425" s="6">
        <v>6</v>
      </c>
      <c r="J425" s="6">
        <v>6</v>
      </c>
      <c r="K425" s="6">
        <v>7</v>
      </c>
      <c r="L425" s="6">
        <v>7</v>
      </c>
      <c r="M425" s="6">
        <v>7</v>
      </c>
      <c r="N425" s="6">
        <v>7</v>
      </c>
      <c r="O425" s="6">
        <v>7</v>
      </c>
      <c r="P425" s="6">
        <v>7</v>
      </c>
      <c r="Q425" s="6">
        <v>7</v>
      </c>
      <c r="R425" s="6">
        <v>6</v>
      </c>
      <c r="S425" s="6">
        <v>6</v>
      </c>
      <c r="T425" s="6">
        <v>5</v>
      </c>
      <c r="U425" s="6">
        <v>5</v>
      </c>
      <c r="V425" s="6">
        <v>6</v>
      </c>
      <c r="W425" s="6">
        <v>7</v>
      </c>
      <c r="X425" s="6">
        <v>7</v>
      </c>
    </row>
    <row r="427" spans="3:24" x14ac:dyDescent="0.25">
      <c r="C427" s="6" t="s">
        <v>50</v>
      </c>
      <c r="D427" s="6">
        <v>2</v>
      </c>
      <c r="E427" s="6">
        <v>2</v>
      </c>
      <c r="F427" s="6">
        <v>2</v>
      </c>
      <c r="G427" s="6">
        <v>2</v>
      </c>
      <c r="H427" s="6">
        <v>2</v>
      </c>
      <c r="I427" s="6">
        <v>2</v>
      </c>
      <c r="J427" s="6">
        <v>2</v>
      </c>
      <c r="K427" s="6">
        <v>2</v>
      </c>
      <c r="L427" s="6">
        <v>2</v>
      </c>
      <c r="M427" s="6">
        <v>2</v>
      </c>
      <c r="N427" s="6">
        <v>2</v>
      </c>
      <c r="O427" s="6">
        <v>2</v>
      </c>
      <c r="P427" s="6">
        <v>2</v>
      </c>
      <c r="Q427" s="6">
        <v>4</v>
      </c>
      <c r="R427" s="6">
        <v>4</v>
      </c>
      <c r="S427" s="6">
        <v>5</v>
      </c>
      <c r="T427" s="6">
        <v>6</v>
      </c>
      <c r="U427" s="6">
        <v>7</v>
      </c>
      <c r="V427" s="6">
        <v>8</v>
      </c>
      <c r="W427" s="6">
        <v>9</v>
      </c>
      <c r="X427" s="6">
        <v>10</v>
      </c>
    </row>
    <row r="429" spans="3:24" x14ac:dyDescent="0.25">
      <c r="C429" s="6" t="s">
        <v>51</v>
      </c>
      <c r="D429" s="6">
        <v>6</v>
      </c>
      <c r="E429" s="6">
        <v>6</v>
      </c>
      <c r="F429" s="6">
        <v>5</v>
      </c>
      <c r="G429" s="6">
        <v>5</v>
      </c>
      <c r="H429" s="6">
        <v>5</v>
      </c>
      <c r="I429" s="6">
        <v>6</v>
      </c>
      <c r="J429" s="6">
        <v>6</v>
      </c>
      <c r="K429" s="6">
        <v>7</v>
      </c>
      <c r="L429" s="6">
        <v>7</v>
      </c>
      <c r="M429" s="6">
        <v>7</v>
      </c>
      <c r="N429" s="6">
        <v>7</v>
      </c>
      <c r="O429" s="6">
        <v>7</v>
      </c>
      <c r="P429" s="6">
        <v>7</v>
      </c>
      <c r="Q429" s="6">
        <v>7</v>
      </c>
      <c r="R429" s="6">
        <v>6</v>
      </c>
      <c r="S429" s="6">
        <v>6</v>
      </c>
      <c r="T429" s="6">
        <v>5</v>
      </c>
      <c r="U429" s="6">
        <v>5</v>
      </c>
      <c r="V429" s="6">
        <v>6</v>
      </c>
      <c r="W429" s="6">
        <v>7</v>
      </c>
      <c r="X429" s="6">
        <v>7</v>
      </c>
    </row>
    <row r="431" spans="3:24" x14ac:dyDescent="0.25">
      <c r="C431" s="6" t="s">
        <v>50</v>
      </c>
      <c r="D431" s="6">
        <v>10</v>
      </c>
      <c r="E431" s="6">
        <v>9</v>
      </c>
      <c r="F431" s="6">
        <v>8</v>
      </c>
      <c r="G431" s="6">
        <v>8</v>
      </c>
      <c r="H431" s="6">
        <v>7</v>
      </c>
      <c r="I431" s="6">
        <v>6</v>
      </c>
      <c r="J431" s="6">
        <v>5</v>
      </c>
      <c r="K431" s="6">
        <v>4</v>
      </c>
      <c r="L431" s="6">
        <v>3</v>
      </c>
      <c r="M431" s="6">
        <v>2</v>
      </c>
      <c r="N431" s="6">
        <v>2</v>
      </c>
      <c r="O431" s="6">
        <v>2</v>
      </c>
      <c r="P431" s="6">
        <v>2</v>
      </c>
      <c r="Q431" s="6">
        <v>4</v>
      </c>
      <c r="R431" s="6">
        <v>4</v>
      </c>
      <c r="S431" s="6">
        <v>5</v>
      </c>
      <c r="T431" s="6">
        <v>6</v>
      </c>
      <c r="U431" s="6">
        <v>7</v>
      </c>
      <c r="V431" s="6">
        <v>8</v>
      </c>
      <c r="W431" s="6">
        <v>9</v>
      </c>
      <c r="X431" s="6">
        <v>10</v>
      </c>
    </row>
    <row r="433" spans="3:24" x14ac:dyDescent="0.25">
      <c r="C433" s="6" t="s">
        <v>51</v>
      </c>
      <c r="D433" s="6">
        <v>7</v>
      </c>
      <c r="E433" s="6">
        <v>7</v>
      </c>
      <c r="F433" s="6">
        <v>6</v>
      </c>
      <c r="G433" s="6">
        <v>5</v>
      </c>
      <c r="H433" s="6">
        <v>5</v>
      </c>
      <c r="I433" s="6">
        <v>6</v>
      </c>
      <c r="J433" s="6">
        <v>6</v>
      </c>
      <c r="K433" s="6">
        <v>7</v>
      </c>
      <c r="L433" s="6">
        <v>7</v>
      </c>
      <c r="M433" s="6">
        <v>7</v>
      </c>
      <c r="N433" s="6">
        <v>7</v>
      </c>
      <c r="O433" s="6">
        <v>7</v>
      </c>
      <c r="P433" s="6">
        <v>7</v>
      </c>
      <c r="Q433" s="6">
        <v>7</v>
      </c>
      <c r="R433" s="6">
        <v>6</v>
      </c>
      <c r="S433" s="6">
        <v>6</v>
      </c>
      <c r="T433" s="6">
        <v>5</v>
      </c>
      <c r="U433" s="6">
        <v>5</v>
      </c>
      <c r="V433" s="6">
        <v>6</v>
      </c>
      <c r="W433" s="6">
        <v>7</v>
      </c>
      <c r="X433" s="6">
        <v>7</v>
      </c>
    </row>
    <row r="435" spans="3:24" x14ac:dyDescent="0.25">
      <c r="C435" s="6" t="s">
        <v>50</v>
      </c>
      <c r="D435" s="6">
        <v>10</v>
      </c>
      <c r="E435" s="6">
        <v>9</v>
      </c>
      <c r="F435" s="6">
        <v>8</v>
      </c>
      <c r="G435" s="6">
        <v>8</v>
      </c>
      <c r="H435" s="6">
        <v>7</v>
      </c>
      <c r="I435" s="6">
        <v>6</v>
      </c>
      <c r="J435" s="6">
        <v>5</v>
      </c>
      <c r="K435" s="6">
        <v>4</v>
      </c>
      <c r="L435" s="6">
        <v>3</v>
      </c>
      <c r="M435" s="6">
        <v>2</v>
      </c>
      <c r="N435" s="6">
        <v>2</v>
      </c>
      <c r="O435" s="6">
        <v>2</v>
      </c>
      <c r="P435" s="6">
        <v>2</v>
      </c>
      <c r="Q435" s="6">
        <v>4</v>
      </c>
      <c r="R435" s="6">
        <v>4</v>
      </c>
      <c r="S435" s="6">
        <v>5</v>
      </c>
      <c r="T435" s="6">
        <v>6</v>
      </c>
      <c r="U435" s="6">
        <v>7</v>
      </c>
      <c r="V435" s="6">
        <v>8</v>
      </c>
      <c r="W435" s="6">
        <v>9</v>
      </c>
      <c r="X435" s="6">
        <v>10</v>
      </c>
    </row>
    <row r="437" spans="3:24" x14ac:dyDescent="0.25">
      <c r="C437" s="6" t="s">
        <v>51</v>
      </c>
      <c r="D437" s="6">
        <v>7</v>
      </c>
      <c r="E437" s="6">
        <v>7</v>
      </c>
      <c r="F437" s="6">
        <v>6</v>
      </c>
      <c r="G437" s="6">
        <v>5</v>
      </c>
      <c r="H437" s="6">
        <v>5</v>
      </c>
      <c r="I437" s="6">
        <v>6</v>
      </c>
      <c r="J437" s="6">
        <v>6</v>
      </c>
      <c r="K437" s="6">
        <v>7</v>
      </c>
      <c r="L437" s="6">
        <v>7</v>
      </c>
      <c r="M437" s="6">
        <v>7</v>
      </c>
      <c r="N437" s="6">
        <v>7</v>
      </c>
      <c r="O437" s="6">
        <v>7</v>
      </c>
      <c r="P437" s="6">
        <v>7</v>
      </c>
      <c r="Q437" s="6">
        <v>7</v>
      </c>
      <c r="R437" s="6">
        <v>6</v>
      </c>
      <c r="S437" s="6">
        <v>6</v>
      </c>
      <c r="T437" s="6">
        <v>5</v>
      </c>
      <c r="U437" s="6">
        <v>5</v>
      </c>
      <c r="V437" s="6">
        <v>6</v>
      </c>
      <c r="W437" s="6">
        <v>7</v>
      </c>
      <c r="X437" s="6">
        <v>7</v>
      </c>
    </row>
    <row r="439" spans="3:24" x14ac:dyDescent="0.25">
      <c r="C439" s="6" t="s">
        <v>50</v>
      </c>
      <c r="D439" s="6">
        <v>10</v>
      </c>
      <c r="E439" s="6">
        <v>9</v>
      </c>
      <c r="F439" s="6">
        <v>8</v>
      </c>
      <c r="G439" s="6">
        <v>8</v>
      </c>
      <c r="H439" s="6">
        <v>7</v>
      </c>
      <c r="I439" s="6">
        <v>6</v>
      </c>
      <c r="J439" s="6">
        <v>5</v>
      </c>
      <c r="K439" s="6">
        <v>4</v>
      </c>
      <c r="L439" s="6">
        <v>3</v>
      </c>
      <c r="M439" s="6">
        <v>2</v>
      </c>
      <c r="N439" s="6">
        <v>2</v>
      </c>
      <c r="O439" s="6">
        <v>2</v>
      </c>
      <c r="P439" s="6">
        <v>2</v>
      </c>
      <c r="Q439" s="6">
        <v>2</v>
      </c>
      <c r="R439" s="6">
        <v>3</v>
      </c>
      <c r="S439" s="6">
        <v>3</v>
      </c>
      <c r="T439" s="6">
        <v>4</v>
      </c>
      <c r="U439" s="6">
        <v>5</v>
      </c>
      <c r="V439" s="6">
        <v>5</v>
      </c>
      <c r="W439" s="6">
        <v>6</v>
      </c>
      <c r="X439" s="6">
        <v>6</v>
      </c>
    </row>
    <row r="441" spans="3:24" x14ac:dyDescent="0.25">
      <c r="C441" s="6" t="s">
        <v>51</v>
      </c>
      <c r="D441" s="6">
        <v>3</v>
      </c>
      <c r="E441" s="6">
        <v>3</v>
      </c>
      <c r="F441" s="6">
        <v>3</v>
      </c>
      <c r="G441" s="6">
        <v>3</v>
      </c>
      <c r="H441" s="6">
        <v>3</v>
      </c>
      <c r="I441" s="6">
        <v>3</v>
      </c>
      <c r="J441" s="6">
        <v>4</v>
      </c>
      <c r="K441" s="6">
        <v>4</v>
      </c>
      <c r="L441" s="6">
        <v>4</v>
      </c>
      <c r="M441" s="6">
        <v>4</v>
      </c>
      <c r="N441" s="6">
        <v>4</v>
      </c>
      <c r="O441" s="6">
        <v>4</v>
      </c>
      <c r="P441" s="6">
        <v>4</v>
      </c>
      <c r="Q441" s="6">
        <v>4</v>
      </c>
      <c r="R441" s="6">
        <v>4</v>
      </c>
      <c r="S441" s="6">
        <v>3</v>
      </c>
      <c r="T441" s="6">
        <v>3</v>
      </c>
      <c r="U441" s="6">
        <v>3</v>
      </c>
      <c r="V441" s="6">
        <v>3</v>
      </c>
      <c r="W441" s="6">
        <v>3</v>
      </c>
      <c r="X441" s="6">
        <v>3</v>
      </c>
    </row>
    <row r="443" spans="3:24" x14ac:dyDescent="0.25">
      <c r="C443" s="6" t="s">
        <v>50</v>
      </c>
      <c r="D443" s="6">
        <v>2</v>
      </c>
      <c r="E443" s="6">
        <v>2</v>
      </c>
      <c r="F443" s="6">
        <v>2</v>
      </c>
      <c r="G443" s="6">
        <v>2</v>
      </c>
      <c r="H443" s="6">
        <v>2</v>
      </c>
      <c r="I443" s="6">
        <v>2</v>
      </c>
      <c r="J443" s="6">
        <v>2</v>
      </c>
      <c r="K443" s="6">
        <v>2</v>
      </c>
      <c r="L443" s="6">
        <v>2</v>
      </c>
      <c r="M443" s="6">
        <v>2</v>
      </c>
      <c r="N443" s="6">
        <v>2</v>
      </c>
      <c r="O443" s="6">
        <v>2</v>
      </c>
      <c r="P443" s="6">
        <v>2</v>
      </c>
      <c r="Q443" s="6">
        <v>4</v>
      </c>
      <c r="R443" s="6">
        <v>4</v>
      </c>
      <c r="S443" s="6">
        <v>5</v>
      </c>
      <c r="T443" s="6">
        <v>6</v>
      </c>
      <c r="U443" s="6">
        <v>7</v>
      </c>
      <c r="V443" s="6">
        <v>8</v>
      </c>
      <c r="W443" s="6">
        <v>9</v>
      </c>
      <c r="X443" s="6">
        <v>10</v>
      </c>
    </row>
    <row r="445" spans="3:24" x14ac:dyDescent="0.25">
      <c r="C445" s="6" t="s">
        <v>51</v>
      </c>
      <c r="D445" s="6">
        <v>6</v>
      </c>
      <c r="E445" s="6">
        <v>6</v>
      </c>
      <c r="F445" s="6">
        <v>5</v>
      </c>
      <c r="G445" s="6">
        <v>5</v>
      </c>
      <c r="H445" s="6">
        <v>5</v>
      </c>
      <c r="I445" s="6">
        <v>6</v>
      </c>
      <c r="J445" s="6">
        <v>6</v>
      </c>
      <c r="K445" s="6">
        <v>7</v>
      </c>
      <c r="L445" s="6">
        <v>7</v>
      </c>
      <c r="M445" s="6">
        <v>7</v>
      </c>
      <c r="N445" s="6">
        <v>7</v>
      </c>
      <c r="O445" s="6">
        <v>7</v>
      </c>
      <c r="P445" s="6">
        <v>7</v>
      </c>
      <c r="Q445" s="6">
        <v>7</v>
      </c>
      <c r="R445" s="6">
        <v>6</v>
      </c>
      <c r="S445" s="6">
        <v>6</v>
      </c>
      <c r="T445" s="6">
        <v>5</v>
      </c>
      <c r="U445" s="6">
        <v>5</v>
      </c>
      <c r="V445" s="6">
        <v>6</v>
      </c>
      <c r="W445" s="6">
        <v>7</v>
      </c>
      <c r="X445" s="6">
        <v>7</v>
      </c>
    </row>
    <row r="447" spans="3:24" x14ac:dyDescent="0.25">
      <c r="C447" s="6" t="s">
        <v>50</v>
      </c>
      <c r="D447" s="6">
        <v>10</v>
      </c>
      <c r="E447" s="6">
        <v>9</v>
      </c>
      <c r="F447" s="6">
        <v>8</v>
      </c>
      <c r="G447" s="6">
        <v>8</v>
      </c>
      <c r="H447" s="6">
        <v>7</v>
      </c>
      <c r="I447" s="6">
        <v>6</v>
      </c>
      <c r="J447" s="6">
        <v>5</v>
      </c>
      <c r="K447" s="6">
        <v>4</v>
      </c>
      <c r="L447" s="6">
        <v>3</v>
      </c>
      <c r="M447" s="6">
        <v>2</v>
      </c>
      <c r="N447" s="6">
        <v>2</v>
      </c>
      <c r="O447" s="6">
        <v>2</v>
      </c>
      <c r="P447" s="6">
        <v>2</v>
      </c>
      <c r="Q447" s="6">
        <v>4</v>
      </c>
      <c r="R447" s="6">
        <v>4</v>
      </c>
      <c r="S447" s="6">
        <v>5</v>
      </c>
      <c r="T447" s="6">
        <v>6</v>
      </c>
      <c r="U447" s="6">
        <v>7</v>
      </c>
      <c r="V447" s="6">
        <v>8</v>
      </c>
      <c r="W447" s="6">
        <v>9</v>
      </c>
      <c r="X447" s="6">
        <v>10</v>
      </c>
    </row>
    <row r="449" spans="3:24" x14ac:dyDescent="0.25">
      <c r="C449" s="6" t="s">
        <v>51</v>
      </c>
      <c r="D449" s="6">
        <v>7</v>
      </c>
      <c r="E449" s="6">
        <v>7</v>
      </c>
      <c r="F449" s="6">
        <v>6</v>
      </c>
      <c r="G449" s="6">
        <v>5</v>
      </c>
      <c r="H449" s="6">
        <v>5</v>
      </c>
      <c r="I449" s="6">
        <v>6</v>
      </c>
      <c r="J449" s="6">
        <v>6</v>
      </c>
      <c r="K449" s="6">
        <v>7</v>
      </c>
      <c r="L449" s="6">
        <v>7</v>
      </c>
      <c r="M449" s="6">
        <v>7</v>
      </c>
      <c r="N449" s="6">
        <v>7</v>
      </c>
      <c r="O449" s="6">
        <v>7</v>
      </c>
      <c r="P449" s="6">
        <v>7</v>
      </c>
      <c r="Q449" s="6">
        <v>7</v>
      </c>
      <c r="R449" s="6">
        <v>6</v>
      </c>
      <c r="S449" s="6">
        <v>6</v>
      </c>
      <c r="T449" s="6">
        <v>5</v>
      </c>
      <c r="U449" s="6">
        <v>5</v>
      </c>
      <c r="V449" s="6">
        <v>6</v>
      </c>
      <c r="W449" s="6">
        <v>7</v>
      </c>
      <c r="X449" s="6">
        <v>7</v>
      </c>
    </row>
    <row r="451" spans="3:24" x14ac:dyDescent="0.25">
      <c r="C451" s="6" t="s">
        <v>50</v>
      </c>
      <c r="D451" s="6">
        <v>10</v>
      </c>
      <c r="E451" s="6">
        <v>9</v>
      </c>
      <c r="F451" s="6">
        <v>8</v>
      </c>
      <c r="G451" s="6">
        <v>8</v>
      </c>
      <c r="H451" s="6">
        <v>7</v>
      </c>
      <c r="I451" s="6">
        <v>6</v>
      </c>
      <c r="J451" s="6">
        <v>5</v>
      </c>
      <c r="K451" s="6">
        <v>4</v>
      </c>
      <c r="L451" s="6">
        <v>3</v>
      </c>
      <c r="M451" s="6">
        <v>2</v>
      </c>
      <c r="N451" s="6">
        <v>2</v>
      </c>
      <c r="O451" s="6">
        <v>2</v>
      </c>
      <c r="P451" s="6">
        <v>2</v>
      </c>
      <c r="Q451" s="6">
        <v>4</v>
      </c>
      <c r="R451" s="6">
        <v>4</v>
      </c>
      <c r="S451" s="6">
        <v>5</v>
      </c>
      <c r="T451" s="6">
        <v>6</v>
      </c>
      <c r="U451" s="6">
        <v>7</v>
      </c>
      <c r="V451" s="6">
        <v>8</v>
      </c>
      <c r="W451" s="6">
        <v>9</v>
      </c>
      <c r="X451" s="6">
        <v>10</v>
      </c>
    </row>
    <row r="453" spans="3:24" x14ac:dyDescent="0.25">
      <c r="C453" s="6" t="s">
        <v>51</v>
      </c>
      <c r="D453" s="6">
        <v>7</v>
      </c>
      <c r="E453" s="6">
        <v>7</v>
      </c>
      <c r="F453" s="6">
        <v>6</v>
      </c>
      <c r="G453" s="6">
        <v>5</v>
      </c>
      <c r="H453" s="6">
        <v>5</v>
      </c>
      <c r="I453" s="6">
        <v>6</v>
      </c>
      <c r="J453" s="6">
        <v>6</v>
      </c>
      <c r="K453" s="6">
        <v>7</v>
      </c>
      <c r="L453" s="6">
        <v>7</v>
      </c>
      <c r="M453" s="6">
        <v>7</v>
      </c>
      <c r="N453" s="6">
        <v>7</v>
      </c>
      <c r="O453" s="6">
        <v>7</v>
      </c>
      <c r="P453" s="6">
        <v>7</v>
      </c>
      <c r="Q453" s="6">
        <v>7</v>
      </c>
      <c r="R453" s="6">
        <v>6</v>
      </c>
      <c r="S453" s="6">
        <v>6</v>
      </c>
      <c r="T453" s="6">
        <v>5</v>
      </c>
      <c r="U453" s="6">
        <v>5</v>
      </c>
      <c r="V453" s="6">
        <v>6</v>
      </c>
      <c r="W453" s="6">
        <v>7</v>
      </c>
      <c r="X453" s="6">
        <v>7</v>
      </c>
    </row>
    <row r="455" spans="3:24" x14ac:dyDescent="0.25">
      <c r="C455" s="6" t="s">
        <v>50</v>
      </c>
      <c r="D455" s="6">
        <v>10</v>
      </c>
      <c r="E455" s="6">
        <v>9</v>
      </c>
      <c r="F455" s="6">
        <v>8</v>
      </c>
      <c r="G455" s="6">
        <v>8</v>
      </c>
      <c r="H455" s="6">
        <v>7</v>
      </c>
      <c r="I455" s="6">
        <v>6</v>
      </c>
      <c r="J455" s="6">
        <v>5</v>
      </c>
      <c r="K455" s="6">
        <v>4</v>
      </c>
      <c r="L455" s="6">
        <v>3</v>
      </c>
      <c r="M455" s="6">
        <v>2</v>
      </c>
      <c r="N455" s="6">
        <v>2</v>
      </c>
      <c r="O455" s="6">
        <v>2</v>
      </c>
      <c r="P455" s="6">
        <v>2</v>
      </c>
      <c r="Q455" s="6">
        <v>2</v>
      </c>
      <c r="R455" s="6">
        <v>3</v>
      </c>
      <c r="S455" s="6">
        <v>3</v>
      </c>
      <c r="T455" s="6">
        <v>4</v>
      </c>
      <c r="U455" s="6">
        <v>5</v>
      </c>
      <c r="V455" s="6">
        <v>5</v>
      </c>
      <c r="W455" s="6">
        <v>6</v>
      </c>
      <c r="X455" s="6">
        <v>6</v>
      </c>
    </row>
    <row r="457" spans="3:24" x14ac:dyDescent="0.25">
      <c r="C457" s="6" t="s">
        <v>51</v>
      </c>
      <c r="D457" s="6">
        <v>3</v>
      </c>
      <c r="E457" s="6">
        <v>3</v>
      </c>
      <c r="F457" s="6">
        <v>3</v>
      </c>
      <c r="G457" s="6">
        <v>3</v>
      </c>
      <c r="H457" s="6">
        <v>3</v>
      </c>
      <c r="I457" s="6">
        <v>3</v>
      </c>
      <c r="J457" s="6">
        <v>4</v>
      </c>
      <c r="K457" s="6">
        <v>4</v>
      </c>
      <c r="L457" s="6">
        <v>4</v>
      </c>
      <c r="M457" s="6">
        <v>4</v>
      </c>
      <c r="N457" s="6">
        <v>4</v>
      </c>
      <c r="O457" s="6">
        <v>4</v>
      </c>
      <c r="P457" s="6">
        <v>4</v>
      </c>
      <c r="Q457" s="6">
        <v>4</v>
      </c>
      <c r="R457" s="6">
        <v>4</v>
      </c>
      <c r="S457" s="6">
        <v>3</v>
      </c>
      <c r="T457" s="6">
        <v>3</v>
      </c>
      <c r="U457" s="6">
        <v>3</v>
      </c>
      <c r="V457" s="6">
        <v>3</v>
      </c>
      <c r="W457" s="6">
        <v>3</v>
      </c>
      <c r="X457" s="6">
        <v>3</v>
      </c>
    </row>
    <row r="459" spans="3:24" x14ac:dyDescent="0.25">
      <c r="C459" s="6" t="s">
        <v>50</v>
      </c>
      <c r="D459" s="6">
        <v>10</v>
      </c>
      <c r="E459" s="6">
        <v>9</v>
      </c>
      <c r="F459" s="6">
        <v>8</v>
      </c>
      <c r="G459" s="6">
        <v>8</v>
      </c>
      <c r="H459" s="6">
        <v>7</v>
      </c>
      <c r="I459" s="6">
        <v>6</v>
      </c>
      <c r="J459" s="6">
        <v>5</v>
      </c>
      <c r="K459" s="6">
        <v>4</v>
      </c>
      <c r="L459" s="6">
        <v>3</v>
      </c>
      <c r="M459" s="6">
        <v>2</v>
      </c>
      <c r="N459" s="6">
        <v>2</v>
      </c>
      <c r="O459" s="6">
        <v>2</v>
      </c>
      <c r="P459" s="6">
        <v>2</v>
      </c>
      <c r="Q459" s="6">
        <v>4</v>
      </c>
      <c r="R459" s="6">
        <v>4</v>
      </c>
      <c r="S459" s="6">
        <v>5</v>
      </c>
      <c r="T459" s="6">
        <v>6</v>
      </c>
      <c r="U459" s="6">
        <v>7</v>
      </c>
      <c r="V459" s="6">
        <v>8</v>
      </c>
      <c r="W459" s="6">
        <v>9</v>
      </c>
      <c r="X459" s="6">
        <v>10</v>
      </c>
    </row>
    <row r="461" spans="3:24" x14ac:dyDescent="0.25">
      <c r="C461" s="6" t="s">
        <v>51</v>
      </c>
      <c r="D461" s="6">
        <v>7</v>
      </c>
      <c r="E461" s="6">
        <v>7</v>
      </c>
      <c r="F461" s="6">
        <v>6</v>
      </c>
      <c r="G461" s="6">
        <v>5</v>
      </c>
      <c r="H461" s="6">
        <v>5</v>
      </c>
      <c r="I461" s="6">
        <v>6</v>
      </c>
      <c r="J461" s="6">
        <v>6</v>
      </c>
      <c r="K461" s="6">
        <v>7</v>
      </c>
      <c r="L461" s="6">
        <v>7</v>
      </c>
      <c r="M461" s="6">
        <v>7</v>
      </c>
      <c r="N461" s="6">
        <v>7</v>
      </c>
      <c r="O461" s="6">
        <v>7</v>
      </c>
      <c r="P461" s="6">
        <v>7</v>
      </c>
      <c r="Q461" s="6">
        <v>7</v>
      </c>
      <c r="R461" s="6">
        <v>6</v>
      </c>
      <c r="S461" s="6">
        <v>6</v>
      </c>
      <c r="T461" s="6">
        <v>5</v>
      </c>
      <c r="U461" s="6">
        <v>5</v>
      </c>
      <c r="V461" s="6">
        <v>6</v>
      </c>
      <c r="W461" s="6">
        <v>7</v>
      </c>
      <c r="X461" s="6">
        <v>7</v>
      </c>
    </row>
    <row r="463" spans="3:24" x14ac:dyDescent="0.25">
      <c r="C463" s="6" t="s">
        <v>50</v>
      </c>
      <c r="D463" s="6">
        <v>10</v>
      </c>
      <c r="E463" s="6">
        <v>9</v>
      </c>
      <c r="F463" s="6">
        <v>8</v>
      </c>
      <c r="G463" s="6">
        <v>8</v>
      </c>
      <c r="H463" s="6">
        <v>7</v>
      </c>
      <c r="I463" s="6">
        <v>6</v>
      </c>
      <c r="J463" s="6">
        <v>5</v>
      </c>
      <c r="K463" s="6">
        <v>4</v>
      </c>
      <c r="L463" s="6">
        <v>3</v>
      </c>
      <c r="M463" s="6">
        <v>2</v>
      </c>
      <c r="N463" s="6">
        <v>2</v>
      </c>
      <c r="O463" s="6">
        <v>2</v>
      </c>
      <c r="P463" s="6">
        <v>2</v>
      </c>
      <c r="Q463" s="6">
        <v>2</v>
      </c>
      <c r="R463" s="6">
        <v>3</v>
      </c>
      <c r="S463" s="6">
        <v>3</v>
      </c>
      <c r="T463" s="6">
        <v>4</v>
      </c>
      <c r="U463" s="6">
        <v>5</v>
      </c>
      <c r="V463" s="6">
        <v>5</v>
      </c>
      <c r="W463" s="6">
        <v>6</v>
      </c>
      <c r="X463" s="6">
        <v>6</v>
      </c>
    </row>
    <row r="465" spans="3:24" x14ac:dyDescent="0.25">
      <c r="C465" s="6" t="s">
        <v>51</v>
      </c>
      <c r="D465" s="6">
        <v>3</v>
      </c>
      <c r="E465" s="6">
        <v>3</v>
      </c>
      <c r="F465" s="6">
        <v>3</v>
      </c>
      <c r="G465" s="6">
        <v>3</v>
      </c>
      <c r="H465" s="6">
        <v>3</v>
      </c>
      <c r="I465" s="6">
        <v>3</v>
      </c>
      <c r="J465" s="6">
        <v>4</v>
      </c>
      <c r="K465" s="6">
        <v>4</v>
      </c>
      <c r="L465" s="6">
        <v>4</v>
      </c>
      <c r="M465" s="6">
        <v>4</v>
      </c>
      <c r="N465" s="6">
        <v>4</v>
      </c>
      <c r="O465" s="6">
        <v>4</v>
      </c>
      <c r="P465" s="6">
        <v>4</v>
      </c>
      <c r="Q465" s="6">
        <v>4</v>
      </c>
      <c r="R465" s="6">
        <v>4</v>
      </c>
      <c r="S465" s="6">
        <v>3</v>
      </c>
      <c r="T465" s="6">
        <v>3</v>
      </c>
      <c r="U465" s="6">
        <v>3</v>
      </c>
      <c r="V465" s="6">
        <v>3</v>
      </c>
      <c r="W465" s="6">
        <v>3</v>
      </c>
      <c r="X465" s="6">
        <v>3</v>
      </c>
    </row>
    <row r="467" spans="3:24" x14ac:dyDescent="0.25">
      <c r="C467" s="6" t="s">
        <v>50</v>
      </c>
      <c r="D467" s="6">
        <v>2</v>
      </c>
      <c r="E467" s="6">
        <v>2</v>
      </c>
      <c r="F467" s="6">
        <v>2</v>
      </c>
      <c r="G467" s="6">
        <v>2</v>
      </c>
      <c r="H467" s="6">
        <v>2</v>
      </c>
      <c r="I467" s="6">
        <v>2</v>
      </c>
      <c r="J467" s="6">
        <v>2</v>
      </c>
      <c r="K467" s="6">
        <v>2</v>
      </c>
      <c r="L467" s="6">
        <v>2</v>
      </c>
      <c r="M467" s="6">
        <v>2</v>
      </c>
      <c r="N467" s="6">
        <v>2</v>
      </c>
      <c r="O467" s="6">
        <v>2</v>
      </c>
      <c r="P467" s="6">
        <v>2</v>
      </c>
      <c r="Q467" s="6">
        <v>2</v>
      </c>
      <c r="R467" s="6">
        <v>2</v>
      </c>
      <c r="S467" s="6">
        <v>3</v>
      </c>
      <c r="T467" s="6">
        <v>3</v>
      </c>
      <c r="U467" s="6">
        <v>4</v>
      </c>
      <c r="V467" s="6">
        <v>4</v>
      </c>
      <c r="W467" s="6">
        <v>5</v>
      </c>
      <c r="X467" s="6">
        <v>5</v>
      </c>
    </row>
    <row r="469" spans="3:24" x14ac:dyDescent="0.25">
      <c r="C469" s="6" t="s">
        <v>51</v>
      </c>
      <c r="D469" s="6">
        <v>4</v>
      </c>
      <c r="E469" s="6">
        <v>4</v>
      </c>
      <c r="F469" s="6">
        <v>4</v>
      </c>
      <c r="G469" s="6">
        <v>3</v>
      </c>
      <c r="H469" s="6">
        <v>4</v>
      </c>
      <c r="I469" s="6">
        <v>4</v>
      </c>
      <c r="J469" s="6">
        <v>5</v>
      </c>
      <c r="K469" s="6">
        <v>5</v>
      </c>
      <c r="L469" s="6">
        <v>5</v>
      </c>
      <c r="M469" s="6">
        <v>5</v>
      </c>
      <c r="N469" s="6">
        <v>5</v>
      </c>
      <c r="O469" s="6">
        <v>5</v>
      </c>
      <c r="P469" s="6">
        <v>5</v>
      </c>
      <c r="Q469" s="6">
        <v>5</v>
      </c>
      <c r="R469" s="6">
        <v>5</v>
      </c>
      <c r="S469" s="6">
        <v>4</v>
      </c>
      <c r="T469" s="6">
        <v>4</v>
      </c>
      <c r="U469" s="6">
        <v>3</v>
      </c>
      <c r="V469" s="6">
        <v>3</v>
      </c>
      <c r="W469" s="6">
        <v>3</v>
      </c>
      <c r="X469" s="6">
        <v>3</v>
      </c>
    </row>
    <row r="471" spans="3:24" x14ac:dyDescent="0.25">
      <c r="C471" s="6" t="s">
        <v>50</v>
      </c>
      <c r="D471" s="6">
        <v>5</v>
      </c>
      <c r="E471" s="6">
        <v>5</v>
      </c>
      <c r="F471" s="6">
        <v>4</v>
      </c>
      <c r="G471" s="6">
        <v>4</v>
      </c>
      <c r="H471" s="6">
        <v>4</v>
      </c>
      <c r="I471" s="6">
        <v>3</v>
      </c>
      <c r="J471" s="6">
        <v>3</v>
      </c>
      <c r="K471" s="6">
        <v>2</v>
      </c>
      <c r="L471" s="6">
        <v>2</v>
      </c>
      <c r="M471" s="6">
        <v>2</v>
      </c>
      <c r="N471" s="6">
        <v>2</v>
      </c>
      <c r="O471" s="6">
        <v>2</v>
      </c>
      <c r="P471" s="6">
        <v>2</v>
      </c>
      <c r="Q471" s="6">
        <v>2</v>
      </c>
      <c r="R471" s="6">
        <v>2</v>
      </c>
      <c r="S471" s="6">
        <v>3</v>
      </c>
      <c r="T471" s="6">
        <v>3</v>
      </c>
      <c r="U471" s="6">
        <v>4</v>
      </c>
      <c r="V471" s="6">
        <v>4</v>
      </c>
      <c r="W471" s="6">
        <v>5</v>
      </c>
      <c r="X471" s="6">
        <v>5</v>
      </c>
    </row>
    <row r="473" spans="3:24" x14ac:dyDescent="0.25">
      <c r="C473" s="6" t="s">
        <v>51</v>
      </c>
      <c r="D473" s="6">
        <v>3</v>
      </c>
      <c r="E473" s="6">
        <v>3</v>
      </c>
      <c r="F473" s="6">
        <v>3</v>
      </c>
      <c r="G473" s="6">
        <v>3</v>
      </c>
      <c r="H473" s="6">
        <v>3</v>
      </c>
      <c r="I473" s="6">
        <v>3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3</v>
      </c>
      <c r="T473" s="6">
        <v>3</v>
      </c>
      <c r="U473" s="6">
        <v>3</v>
      </c>
      <c r="V473" s="6">
        <v>3</v>
      </c>
      <c r="W473" s="6">
        <v>3</v>
      </c>
      <c r="X473" s="6">
        <v>3</v>
      </c>
    </row>
    <row r="475" spans="3:24" x14ac:dyDescent="0.25">
      <c r="C475" s="6" t="s">
        <v>50</v>
      </c>
      <c r="D475" s="6">
        <v>5</v>
      </c>
      <c r="E475" s="6">
        <v>5</v>
      </c>
      <c r="F475" s="6">
        <v>4</v>
      </c>
      <c r="G475" s="6">
        <v>4</v>
      </c>
      <c r="H475" s="6">
        <v>4</v>
      </c>
      <c r="I475" s="6">
        <v>3</v>
      </c>
      <c r="J475" s="6">
        <v>3</v>
      </c>
      <c r="K475" s="6">
        <v>2</v>
      </c>
      <c r="L475" s="6">
        <v>2</v>
      </c>
      <c r="M475" s="6">
        <v>2</v>
      </c>
      <c r="N475" s="6">
        <v>2</v>
      </c>
      <c r="O475" s="6">
        <v>2</v>
      </c>
      <c r="P475" s="6">
        <v>2</v>
      </c>
      <c r="Q475" s="6">
        <v>2</v>
      </c>
      <c r="R475" s="6">
        <v>2</v>
      </c>
      <c r="S475" s="6">
        <v>3</v>
      </c>
      <c r="T475" s="6">
        <v>3</v>
      </c>
      <c r="U475" s="6">
        <v>4</v>
      </c>
      <c r="V475" s="6">
        <v>4</v>
      </c>
      <c r="W475" s="6">
        <v>5</v>
      </c>
      <c r="X475" s="6">
        <v>5</v>
      </c>
    </row>
    <row r="477" spans="3:24" x14ac:dyDescent="0.25">
      <c r="C477" s="6" t="s">
        <v>51</v>
      </c>
      <c r="D477" s="6">
        <v>3</v>
      </c>
      <c r="E477" s="6">
        <v>3</v>
      </c>
      <c r="F477" s="6">
        <v>3</v>
      </c>
      <c r="G477" s="6">
        <v>3</v>
      </c>
      <c r="H477" s="6">
        <v>3</v>
      </c>
      <c r="I477" s="6">
        <v>3</v>
      </c>
      <c r="J477" s="6">
        <v>4</v>
      </c>
      <c r="K477" s="6">
        <v>4</v>
      </c>
      <c r="L477" s="6">
        <v>4</v>
      </c>
      <c r="M477" s="6">
        <v>4</v>
      </c>
      <c r="N477" s="6">
        <v>4</v>
      </c>
      <c r="O477" s="6">
        <v>4</v>
      </c>
      <c r="P477" s="6">
        <v>4</v>
      </c>
      <c r="Q477" s="6">
        <v>4</v>
      </c>
      <c r="R477" s="6">
        <v>4</v>
      </c>
      <c r="S477" s="6">
        <v>3</v>
      </c>
      <c r="T477" s="6">
        <v>3</v>
      </c>
      <c r="U477" s="6">
        <v>3</v>
      </c>
      <c r="V477" s="6">
        <v>3</v>
      </c>
      <c r="W477" s="6">
        <v>3</v>
      </c>
      <c r="X477" s="6">
        <v>3</v>
      </c>
    </row>
    <row r="479" spans="3:24" x14ac:dyDescent="0.25">
      <c r="C479" s="6" t="s">
        <v>50</v>
      </c>
      <c r="D479" s="6">
        <v>5</v>
      </c>
      <c r="E479" s="6">
        <v>5</v>
      </c>
      <c r="F479" s="6">
        <v>4</v>
      </c>
      <c r="G479" s="6">
        <v>4</v>
      </c>
      <c r="H479" s="6">
        <v>4</v>
      </c>
      <c r="I479" s="6">
        <v>3</v>
      </c>
      <c r="J479" s="6">
        <v>3</v>
      </c>
      <c r="K479" s="6">
        <v>2</v>
      </c>
      <c r="L479" s="6">
        <v>2</v>
      </c>
      <c r="M479" s="6">
        <v>2</v>
      </c>
      <c r="N479" s="6">
        <v>2</v>
      </c>
      <c r="O479" s="6">
        <v>2</v>
      </c>
      <c r="P479" s="6">
        <v>2</v>
      </c>
      <c r="Q479" s="6">
        <v>2</v>
      </c>
      <c r="R479" s="6">
        <v>2</v>
      </c>
      <c r="S479" s="6">
        <v>3</v>
      </c>
      <c r="T479" s="6">
        <v>3</v>
      </c>
      <c r="U479" s="6">
        <v>4</v>
      </c>
      <c r="V479" s="6">
        <v>4</v>
      </c>
      <c r="W479" s="6">
        <v>5</v>
      </c>
      <c r="X479" s="6">
        <v>5</v>
      </c>
    </row>
    <row r="481" spans="3:24" x14ac:dyDescent="0.25">
      <c r="C481" s="6" t="s">
        <v>51</v>
      </c>
      <c r="D481" s="6">
        <v>3</v>
      </c>
      <c r="E481" s="6">
        <v>3</v>
      </c>
      <c r="F481" s="6">
        <v>3</v>
      </c>
      <c r="G481" s="6">
        <v>3</v>
      </c>
      <c r="H481" s="6">
        <v>3</v>
      </c>
      <c r="I481" s="6">
        <v>3</v>
      </c>
      <c r="J481" s="6">
        <v>4</v>
      </c>
      <c r="K481" s="6">
        <v>4</v>
      </c>
      <c r="L481" s="6">
        <v>4</v>
      </c>
      <c r="M481" s="6">
        <v>4</v>
      </c>
      <c r="N481" s="6">
        <v>4</v>
      </c>
      <c r="O481" s="6">
        <v>4</v>
      </c>
      <c r="P481" s="6">
        <v>4</v>
      </c>
      <c r="Q481" s="6">
        <v>4</v>
      </c>
      <c r="R481" s="6">
        <v>4</v>
      </c>
      <c r="S481" s="6">
        <v>3</v>
      </c>
      <c r="T481" s="6">
        <v>3</v>
      </c>
      <c r="U481" s="6">
        <v>3</v>
      </c>
      <c r="V481" s="6">
        <v>3</v>
      </c>
      <c r="W481" s="6">
        <v>3</v>
      </c>
      <c r="X481" s="6">
        <v>3</v>
      </c>
    </row>
    <row r="483" spans="3:24" x14ac:dyDescent="0.25">
      <c r="C483" s="6" t="s">
        <v>50</v>
      </c>
      <c r="D483" s="6">
        <v>5</v>
      </c>
      <c r="E483" s="6">
        <v>5</v>
      </c>
      <c r="F483" s="6">
        <v>4</v>
      </c>
      <c r="G483" s="6">
        <v>4</v>
      </c>
      <c r="H483" s="6">
        <v>4</v>
      </c>
      <c r="I483" s="6">
        <v>3</v>
      </c>
      <c r="J483" s="6">
        <v>3</v>
      </c>
      <c r="K483" s="6">
        <v>2</v>
      </c>
      <c r="L483" s="6">
        <v>2</v>
      </c>
      <c r="M483" s="6">
        <v>2</v>
      </c>
      <c r="N483" s="6">
        <v>2</v>
      </c>
      <c r="O483" s="6">
        <v>2</v>
      </c>
      <c r="P483" s="6">
        <v>2</v>
      </c>
      <c r="Q483" s="6">
        <v>2</v>
      </c>
      <c r="R483" s="6">
        <v>2</v>
      </c>
      <c r="S483" s="6">
        <v>3</v>
      </c>
      <c r="T483" s="6">
        <v>3</v>
      </c>
      <c r="U483" s="6">
        <v>4</v>
      </c>
      <c r="V483" s="6">
        <v>4</v>
      </c>
      <c r="W483" s="6">
        <v>5</v>
      </c>
      <c r="X483" s="6">
        <v>5</v>
      </c>
    </row>
    <row r="485" spans="3:24" x14ac:dyDescent="0.25">
      <c r="C485" s="6" t="s">
        <v>51</v>
      </c>
      <c r="D485" s="6">
        <v>3</v>
      </c>
      <c r="E485" s="6">
        <v>3</v>
      </c>
      <c r="F485" s="6">
        <v>3</v>
      </c>
      <c r="G485" s="6">
        <v>3</v>
      </c>
      <c r="H485" s="6">
        <v>3</v>
      </c>
      <c r="I485" s="6">
        <v>3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3</v>
      </c>
      <c r="T485" s="6">
        <v>3</v>
      </c>
      <c r="U485" s="6">
        <v>3</v>
      </c>
      <c r="V485" s="6">
        <v>3</v>
      </c>
      <c r="W485" s="6">
        <v>3</v>
      </c>
      <c r="X485" s="6">
        <v>3</v>
      </c>
    </row>
    <row r="487" spans="3:24" x14ac:dyDescent="0.25">
      <c r="C487" s="6" t="s">
        <v>50</v>
      </c>
      <c r="D487" s="6">
        <v>5</v>
      </c>
      <c r="E487" s="6">
        <v>5</v>
      </c>
      <c r="F487" s="6">
        <v>4</v>
      </c>
      <c r="G487" s="6">
        <v>4</v>
      </c>
      <c r="H487" s="6">
        <v>4</v>
      </c>
      <c r="I487" s="6">
        <v>3</v>
      </c>
      <c r="J487" s="6">
        <v>3</v>
      </c>
      <c r="K487" s="6">
        <v>2</v>
      </c>
      <c r="L487" s="6">
        <v>2</v>
      </c>
      <c r="M487" s="6">
        <v>2</v>
      </c>
      <c r="N487" s="6">
        <v>2</v>
      </c>
      <c r="O487" s="6">
        <v>2</v>
      </c>
      <c r="P487" s="6">
        <v>2</v>
      </c>
      <c r="Q487" s="6">
        <v>2</v>
      </c>
      <c r="R487" s="6">
        <v>2</v>
      </c>
      <c r="S487" s="6">
        <v>2</v>
      </c>
      <c r="T487" s="6">
        <v>2</v>
      </c>
      <c r="U487" s="6">
        <v>3</v>
      </c>
      <c r="V487" s="6">
        <v>3</v>
      </c>
      <c r="W487" s="6">
        <v>3</v>
      </c>
      <c r="X487" s="6">
        <v>3</v>
      </c>
    </row>
    <row r="489" spans="3:24" x14ac:dyDescent="0.25">
      <c r="C489" s="6" t="s">
        <v>51</v>
      </c>
      <c r="D489" s="6">
        <v>3</v>
      </c>
      <c r="E489" s="6">
        <v>3</v>
      </c>
      <c r="F489" s="6">
        <v>3</v>
      </c>
      <c r="G489" s="6">
        <v>3</v>
      </c>
      <c r="H489" s="6">
        <v>3</v>
      </c>
      <c r="I489" s="6">
        <v>3</v>
      </c>
      <c r="J489" s="6">
        <v>4</v>
      </c>
      <c r="K489" s="6">
        <v>4</v>
      </c>
      <c r="L489" s="6">
        <v>4</v>
      </c>
      <c r="M489" s="6">
        <v>4</v>
      </c>
      <c r="N489" s="6">
        <v>4</v>
      </c>
      <c r="O489" s="6">
        <v>4</v>
      </c>
      <c r="P489" s="6">
        <v>4</v>
      </c>
      <c r="Q489" s="6">
        <v>4</v>
      </c>
      <c r="R489" s="6">
        <v>4</v>
      </c>
      <c r="S489" s="6">
        <v>3</v>
      </c>
      <c r="T489" s="6">
        <v>3</v>
      </c>
      <c r="U489" s="6">
        <v>3</v>
      </c>
      <c r="V489" s="6">
        <v>3</v>
      </c>
      <c r="W489" s="6">
        <v>3</v>
      </c>
      <c r="X489" s="6">
        <v>3</v>
      </c>
    </row>
    <row r="491" spans="3:24" x14ac:dyDescent="0.25">
      <c r="C491" s="6" t="s">
        <v>50</v>
      </c>
      <c r="D491" s="6">
        <v>3</v>
      </c>
      <c r="E491" s="6">
        <v>3</v>
      </c>
      <c r="F491" s="6">
        <v>3</v>
      </c>
      <c r="G491" s="6">
        <v>3</v>
      </c>
      <c r="H491" s="6">
        <v>2</v>
      </c>
      <c r="I491" s="6">
        <v>2</v>
      </c>
      <c r="J491" s="6">
        <v>2</v>
      </c>
      <c r="K491" s="6">
        <v>2</v>
      </c>
      <c r="L491" s="6">
        <v>2</v>
      </c>
      <c r="M491" s="6">
        <v>2</v>
      </c>
      <c r="N491" s="6">
        <v>2</v>
      </c>
      <c r="O491" s="6">
        <v>2</v>
      </c>
      <c r="P491" s="6">
        <v>2</v>
      </c>
      <c r="Q491" s="6">
        <v>2</v>
      </c>
      <c r="R491" s="6">
        <v>2</v>
      </c>
      <c r="S491" s="6">
        <v>2</v>
      </c>
      <c r="T491" s="6">
        <v>2</v>
      </c>
      <c r="U491" s="6">
        <v>2</v>
      </c>
      <c r="V491" s="6">
        <v>2</v>
      </c>
      <c r="W491" s="6">
        <v>2</v>
      </c>
      <c r="X491" s="6">
        <v>2</v>
      </c>
    </row>
    <row r="493" spans="3:24" x14ac:dyDescent="0.25">
      <c r="C493" s="6" t="s">
        <v>51</v>
      </c>
      <c r="D493" s="6">
        <v>3</v>
      </c>
      <c r="E493" s="6">
        <v>3</v>
      </c>
      <c r="F493" s="6">
        <v>3</v>
      </c>
      <c r="G493" s="6">
        <v>3</v>
      </c>
      <c r="H493" s="6">
        <v>3</v>
      </c>
      <c r="I493" s="6">
        <v>3</v>
      </c>
      <c r="J493" s="6">
        <v>4</v>
      </c>
      <c r="K493" s="6">
        <v>4</v>
      </c>
      <c r="L493" s="6">
        <v>4</v>
      </c>
      <c r="M493" s="6">
        <v>4</v>
      </c>
      <c r="N493" s="6">
        <v>4</v>
      </c>
      <c r="O493" s="6">
        <v>4</v>
      </c>
      <c r="P493" s="6">
        <v>4</v>
      </c>
      <c r="Q493" s="6">
        <v>4</v>
      </c>
      <c r="R493" s="6">
        <v>4</v>
      </c>
      <c r="S493" s="6">
        <v>3</v>
      </c>
      <c r="T493" s="6">
        <v>3</v>
      </c>
      <c r="U493" s="6">
        <v>3</v>
      </c>
      <c r="V493" s="6">
        <v>3</v>
      </c>
      <c r="W493" s="6">
        <v>3</v>
      </c>
      <c r="X493" s="6">
        <v>3</v>
      </c>
    </row>
    <row r="495" spans="3:24" x14ac:dyDescent="0.25">
      <c r="C495" s="6" t="s">
        <v>50</v>
      </c>
      <c r="D495" s="6">
        <v>6</v>
      </c>
      <c r="E495" s="6">
        <v>6</v>
      </c>
      <c r="F495" s="6">
        <v>5</v>
      </c>
      <c r="G495" s="6">
        <v>5</v>
      </c>
      <c r="H495" s="6">
        <v>4</v>
      </c>
      <c r="I495" s="6">
        <v>4</v>
      </c>
      <c r="J495" s="6">
        <v>3</v>
      </c>
      <c r="K495" s="6">
        <v>2</v>
      </c>
      <c r="L495" s="6">
        <v>2</v>
      </c>
      <c r="M495" s="6">
        <v>2</v>
      </c>
      <c r="N495" s="6">
        <v>2</v>
      </c>
      <c r="O495" s="6">
        <v>2</v>
      </c>
      <c r="P495" s="6">
        <v>2</v>
      </c>
      <c r="Q495" s="6">
        <v>3</v>
      </c>
      <c r="R495" s="6">
        <v>4</v>
      </c>
      <c r="S495" s="6">
        <v>5</v>
      </c>
      <c r="T495" s="6">
        <v>6</v>
      </c>
      <c r="U495" s="6">
        <v>7</v>
      </c>
      <c r="V495" s="6">
        <v>8</v>
      </c>
      <c r="W495" s="6">
        <v>9</v>
      </c>
      <c r="X495" s="6">
        <v>9</v>
      </c>
    </row>
    <row r="497" spans="3:24" x14ac:dyDescent="0.25">
      <c r="C497" s="6" t="s">
        <v>51</v>
      </c>
      <c r="D497" s="6">
        <v>5</v>
      </c>
      <c r="E497" s="6">
        <v>5</v>
      </c>
      <c r="F497" s="6">
        <v>4</v>
      </c>
      <c r="G497" s="6">
        <v>4</v>
      </c>
      <c r="H497" s="6">
        <v>4</v>
      </c>
      <c r="I497" s="6">
        <v>5</v>
      </c>
      <c r="J497" s="6">
        <v>6</v>
      </c>
      <c r="K497" s="6">
        <v>6</v>
      </c>
      <c r="L497" s="6">
        <v>6</v>
      </c>
      <c r="M497" s="6">
        <v>6</v>
      </c>
      <c r="N497" s="6">
        <v>6</v>
      </c>
      <c r="O497" s="6">
        <v>6</v>
      </c>
      <c r="P497" s="6">
        <v>6</v>
      </c>
      <c r="Q497" s="6">
        <v>6</v>
      </c>
      <c r="R497" s="6">
        <v>6</v>
      </c>
      <c r="S497" s="6">
        <v>5</v>
      </c>
      <c r="T497" s="6">
        <v>4</v>
      </c>
      <c r="U497" s="6">
        <v>4</v>
      </c>
      <c r="V497" s="6">
        <v>4</v>
      </c>
      <c r="W497" s="6">
        <v>5</v>
      </c>
      <c r="X497" s="6">
        <v>5</v>
      </c>
    </row>
    <row r="499" spans="3:24" x14ac:dyDescent="0.25">
      <c r="C499" s="6" t="s">
        <v>50</v>
      </c>
      <c r="D499" s="6">
        <v>6</v>
      </c>
      <c r="E499" s="6">
        <v>6</v>
      </c>
      <c r="F499" s="6">
        <v>5</v>
      </c>
      <c r="G499" s="6">
        <v>5</v>
      </c>
      <c r="H499" s="6">
        <v>4</v>
      </c>
      <c r="I499" s="6">
        <v>4</v>
      </c>
      <c r="J499" s="6">
        <v>3</v>
      </c>
      <c r="K499" s="6">
        <v>2</v>
      </c>
      <c r="L499" s="6">
        <v>2</v>
      </c>
      <c r="M499" s="6">
        <v>2</v>
      </c>
      <c r="N499" s="6">
        <v>2</v>
      </c>
      <c r="O499" s="6">
        <v>2</v>
      </c>
      <c r="P499" s="6">
        <v>2</v>
      </c>
      <c r="Q499" s="6">
        <v>3</v>
      </c>
      <c r="R499" s="6">
        <v>4</v>
      </c>
      <c r="S499" s="6">
        <v>5</v>
      </c>
      <c r="T499" s="6">
        <v>6</v>
      </c>
      <c r="U499" s="6">
        <v>7</v>
      </c>
      <c r="V499" s="6">
        <v>8</v>
      </c>
      <c r="W499" s="6">
        <v>9</v>
      </c>
      <c r="X499" s="6">
        <v>9</v>
      </c>
    </row>
    <row r="501" spans="3:24" x14ac:dyDescent="0.25">
      <c r="C501" s="6" t="s">
        <v>51</v>
      </c>
      <c r="D501" s="6">
        <v>5</v>
      </c>
      <c r="E501" s="6">
        <v>5</v>
      </c>
      <c r="F501" s="6">
        <v>4</v>
      </c>
      <c r="G501" s="6">
        <v>4</v>
      </c>
      <c r="H501" s="6">
        <v>4</v>
      </c>
      <c r="I501" s="6">
        <v>5</v>
      </c>
      <c r="J501" s="6">
        <v>6</v>
      </c>
      <c r="K501" s="6">
        <v>6</v>
      </c>
      <c r="L501" s="6">
        <v>6</v>
      </c>
      <c r="M501" s="6">
        <v>6</v>
      </c>
      <c r="N501" s="6">
        <v>6</v>
      </c>
      <c r="O501" s="6">
        <v>6</v>
      </c>
      <c r="P501" s="6">
        <v>6</v>
      </c>
      <c r="Q501" s="6">
        <v>6</v>
      </c>
      <c r="R501" s="6">
        <v>6</v>
      </c>
      <c r="S501" s="6">
        <v>5</v>
      </c>
      <c r="T501" s="6">
        <v>4</v>
      </c>
      <c r="U501" s="6">
        <v>4</v>
      </c>
      <c r="V501" s="6">
        <v>4</v>
      </c>
      <c r="W501" s="6">
        <v>5</v>
      </c>
      <c r="X501" s="6">
        <v>5</v>
      </c>
    </row>
    <row r="503" spans="3:24" x14ac:dyDescent="0.25">
      <c r="C503" s="6" t="s">
        <v>50</v>
      </c>
      <c r="D503" s="6">
        <v>6</v>
      </c>
      <c r="E503" s="6">
        <v>6</v>
      </c>
      <c r="F503" s="6">
        <v>5</v>
      </c>
      <c r="G503" s="6">
        <v>5</v>
      </c>
      <c r="H503" s="6">
        <v>4</v>
      </c>
      <c r="I503" s="6">
        <v>4</v>
      </c>
      <c r="J503" s="6">
        <v>3</v>
      </c>
      <c r="K503" s="6">
        <v>2</v>
      </c>
      <c r="L503" s="6">
        <v>2</v>
      </c>
      <c r="M503" s="6">
        <v>2</v>
      </c>
      <c r="N503" s="6">
        <v>2</v>
      </c>
      <c r="O503" s="6">
        <v>2</v>
      </c>
      <c r="P503" s="6">
        <v>2</v>
      </c>
      <c r="Q503" s="6">
        <v>3</v>
      </c>
      <c r="R503" s="6">
        <v>4</v>
      </c>
      <c r="S503" s="6">
        <v>5</v>
      </c>
      <c r="T503" s="6">
        <v>6</v>
      </c>
      <c r="U503" s="6">
        <v>7</v>
      </c>
      <c r="V503" s="6">
        <v>8</v>
      </c>
      <c r="W503" s="6">
        <v>9</v>
      </c>
      <c r="X503" s="6">
        <v>9</v>
      </c>
    </row>
    <row r="505" spans="3:24" x14ac:dyDescent="0.25">
      <c r="C505" s="6" t="s">
        <v>51</v>
      </c>
      <c r="D505" s="6">
        <v>5</v>
      </c>
      <c r="E505" s="6">
        <v>5</v>
      </c>
      <c r="F505" s="6">
        <v>4</v>
      </c>
      <c r="G505" s="6">
        <v>4</v>
      </c>
      <c r="H505" s="6">
        <v>4</v>
      </c>
      <c r="I505" s="6">
        <v>5</v>
      </c>
      <c r="J505" s="6">
        <v>6</v>
      </c>
      <c r="K505" s="6">
        <v>6</v>
      </c>
      <c r="L505" s="6">
        <v>6</v>
      </c>
      <c r="M505" s="6">
        <v>6</v>
      </c>
      <c r="N505" s="6">
        <v>6</v>
      </c>
      <c r="O505" s="6">
        <v>6</v>
      </c>
      <c r="P505" s="6">
        <v>6</v>
      </c>
      <c r="Q505" s="6">
        <v>6</v>
      </c>
      <c r="R505" s="6">
        <v>6</v>
      </c>
      <c r="S505" s="6">
        <v>5</v>
      </c>
      <c r="T505" s="6">
        <v>4</v>
      </c>
      <c r="U505" s="6">
        <v>4</v>
      </c>
      <c r="V505" s="6">
        <v>4</v>
      </c>
      <c r="W505" s="6">
        <v>5</v>
      </c>
      <c r="X505" s="6">
        <v>5</v>
      </c>
    </row>
    <row r="507" spans="3:24" x14ac:dyDescent="0.25">
      <c r="C507" s="6" t="s">
        <v>50</v>
      </c>
      <c r="D507" s="6">
        <v>6</v>
      </c>
      <c r="E507" s="6">
        <v>6</v>
      </c>
      <c r="F507" s="6">
        <v>5</v>
      </c>
      <c r="G507" s="6">
        <v>5</v>
      </c>
      <c r="H507" s="6">
        <v>4</v>
      </c>
      <c r="I507" s="6">
        <v>4</v>
      </c>
      <c r="J507" s="6">
        <v>3</v>
      </c>
      <c r="K507" s="6">
        <v>2</v>
      </c>
      <c r="L507" s="6">
        <v>2</v>
      </c>
      <c r="M507" s="6">
        <v>2</v>
      </c>
      <c r="N507" s="6">
        <v>2</v>
      </c>
      <c r="O507" s="6">
        <v>2</v>
      </c>
      <c r="P507" s="6">
        <v>2</v>
      </c>
      <c r="Q507" s="6">
        <v>3</v>
      </c>
      <c r="R507" s="6">
        <v>4</v>
      </c>
      <c r="S507" s="6">
        <v>5</v>
      </c>
      <c r="T507" s="6">
        <v>6</v>
      </c>
      <c r="U507" s="6">
        <v>7</v>
      </c>
      <c r="V507" s="6">
        <v>8</v>
      </c>
      <c r="W507" s="6">
        <v>9</v>
      </c>
      <c r="X507" s="6">
        <v>9</v>
      </c>
    </row>
    <row r="509" spans="3:24" x14ac:dyDescent="0.25">
      <c r="C509" s="6" t="s">
        <v>51</v>
      </c>
      <c r="D509" s="6">
        <v>5</v>
      </c>
      <c r="E509" s="6">
        <v>5</v>
      </c>
      <c r="F509" s="6">
        <v>4</v>
      </c>
      <c r="G509" s="6">
        <v>4</v>
      </c>
      <c r="H509" s="6">
        <v>4</v>
      </c>
      <c r="I509" s="6">
        <v>5</v>
      </c>
      <c r="J509" s="6">
        <v>6</v>
      </c>
      <c r="K509" s="6">
        <v>6</v>
      </c>
      <c r="L509" s="6">
        <v>6</v>
      </c>
      <c r="M509" s="6">
        <v>6</v>
      </c>
      <c r="N509" s="6">
        <v>6</v>
      </c>
      <c r="O509" s="6">
        <v>6</v>
      </c>
      <c r="P509" s="6">
        <v>6</v>
      </c>
      <c r="Q509" s="6">
        <v>6</v>
      </c>
      <c r="R509" s="6">
        <v>6</v>
      </c>
      <c r="S509" s="6">
        <v>5</v>
      </c>
      <c r="T509" s="6">
        <v>4</v>
      </c>
      <c r="U509" s="6">
        <v>4</v>
      </c>
      <c r="V509" s="6">
        <v>4</v>
      </c>
      <c r="W509" s="6">
        <v>5</v>
      </c>
      <c r="X509" s="6">
        <v>5</v>
      </c>
    </row>
    <row r="511" spans="3:24" x14ac:dyDescent="0.25">
      <c r="C511" s="6" t="s">
        <v>50</v>
      </c>
      <c r="D511" s="6">
        <v>6</v>
      </c>
      <c r="E511" s="6">
        <v>6</v>
      </c>
      <c r="F511" s="6">
        <v>5</v>
      </c>
      <c r="G511" s="6">
        <v>5</v>
      </c>
      <c r="H511" s="6">
        <v>4</v>
      </c>
      <c r="I511" s="6">
        <v>4</v>
      </c>
      <c r="J511" s="6">
        <v>3</v>
      </c>
      <c r="K511" s="6">
        <v>2</v>
      </c>
      <c r="L511" s="6">
        <v>2</v>
      </c>
      <c r="M511" s="6">
        <v>2</v>
      </c>
      <c r="N511" s="6">
        <v>2</v>
      </c>
      <c r="O511" s="6">
        <v>2</v>
      </c>
      <c r="P511" s="6">
        <v>2</v>
      </c>
      <c r="Q511" s="6">
        <v>3</v>
      </c>
      <c r="R511" s="6">
        <v>4</v>
      </c>
      <c r="S511" s="6">
        <v>5</v>
      </c>
      <c r="T511" s="6">
        <v>6</v>
      </c>
      <c r="U511" s="6">
        <v>7</v>
      </c>
      <c r="V511" s="6">
        <v>8</v>
      </c>
      <c r="W511" s="6">
        <v>9</v>
      </c>
      <c r="X511" s="6">
        <v>9</v>
      </c>
    </row>
    <row r="513" spans="3:24" x14ac:dyDescent="0.25">
      <c r="C513" s="6" t="s">
        <v>51</v>
      </c>
      <c r="D513" s="6">
        <v>5</v>
      </c>
      <c r="E513" s="6">
        <v>5</v>
      </c>
      <c r="F513" s="6">
        <v>4</v>
      </c>
      <c r="G513" s="6">
        <v>4</v>
      </c>
      <c r="H513" s="6">
        <v>4</v>
      </c>
      <c r="I513" s="6">
        <v>5</v>
      </c>
      <c r="J513" s="6">
        <v>6</v>
      </c>
      <c r="K513" s="6">
        <v>6</v>
      </c>
      <c r="L513" s="6">
        <v>6</v>
      </c>
      <c r="M513" s="6">
        <v>6</v>
      </c>
      <c r="N513" s="6">
        <v>6</v>
      </c>
      <c r="O513" s="6">
        <v>6</v>
      </c>
      <c r="P513" s="6">
        <v>6</v>
      </c>
      <c r="Q513" s="6">
        <v>6</v>
      </c>
      <c r="R513" s="6">
        <v>6</v>
      </c>
      <c r="S513" s="6">
        <v>5</v>
      </c>
      <c r="T513" s="6">
        <v>4</v>
      </c>
      <c r="U513" s="6">
        <v>4</v>
      </c>
      <c r="V513" s="6">
        <v>4</v>
      </c>
      <c r="W513" s="6">
        <v>5</v>
      </c>
      <c r="X513" s="6">
        <v>5</v>
      </c>
    </row>
    <row r="515" spans="3:24" x14ac:dyDescent="0.25">
      <c r="C515" s="6" t="s">
        <v>50</v>
      </c>
      <c r="D515" s="6">
        <v>6</v>
      </c>
      <c r="E515" s="6">
        <v>6</v>
      </c>
      <c r="F515" s="6">
        <v>5</v>
      </c>
      <c r="G515" s="6">
        <v>5</v>
      </c>
      <c r="H515" s="6">
        <v>4</v>
      </c>
      <c r="I515" s="6">
        <v>4</v>
      </c>
      <c r="J515" s="6">
        <v>3</v>
      </c>
      <c r="K515" s="6">
        <v>2</v>
      </c>
      <c r="L515" s="6">
        <v>2</v>
      </c>
      <c r="M515" s="6">
        <v>2</v>
      </c>
      <c r="N515" s="6">
        <v>2</v>
      </c>
      <c r="O515" s="6">
        <v>2</v>
      </c>
      <c r="P515" s="6">
        <v>2</v>
      </c>
      <c r="Q515" s="6">
        <v>3</v>
      </c>
      <c r="R515" s="6">
        <v>4</v>
      </c>
      <c r="S515" s="6">
        <v>5</v>
      </c>
      <c r="T515" s="6">
        <v>6</v>
      </c>
      <c r="U515" s="6">
        <v>7</v>
      </c>
      <c r="V515" s="6">
        <v>8</v>
      </c>
      <c r="W515" s="6">
        <v>9</v>
      </c>
      <c r="X515" s="6">
        <v>9</v>
      </c>
    </row>
    <row r="517" spans="3:24" x14ac:dyDescent="0.25">
      <c r="C517" s="6" t="s">
        <v>51</v>
      </c>
      <c r="D517" s="6">
        <v>5</v>
      </c>
      <c r="E517" s="6">
        <v>5</v>
      </c>
      <c r="F517" s="6">
        <v>4</v>
      </c>
      <c r="G517" s="6">
        <v>4</v>
      </c>
      <c r="H517" s="6">
        <v>4</v>
      </c>
      <c r="I517" s="6">
        <v>5</v>
      </c>
      <c r="J517" s="6">
        <v>6</v>
      </c>
      <c r="K517" s="6">
        <v>6</v>
      </c>
      <c r="L517" s="6">
        <v>6</v>
      </c>
      <c r="M517" s="6">
        <v>6</v>
      </c>
      <c r="N517" s="6">
        <v>6</v>
      </c>
      <c r="O517" s="6">
        <v>6</v>
      </c>
      <c r="P517" s="6">
        <v>6</v>
      </c>
      <c r="Q517" s="6">
        <v>6</v>
      </c>
      <c r="R517" s="6">
        <v>6</v>
      </c>
      <c r="S517" s="6">
        <v>5</v>
      </c>
      <c r="T517" s="6">
        <v>4</v>
      </c>
      <c r="U517" s="6">
        <v>4</v>
      </c>
      <c r="V517" s="6">
        <v>4</v>
      </c>
      <c r="W517" s="6">
        <v>5</v>
      </c>
      <c r="X517" s="6">
        <v>5</v>
      </c>
    </row>
    <row r="519" spans="3:24" x14ac:dyDescent="0.25">
      <c r="C519" s="6" t="s">
        <v>50</v>
      </c>
      <c r="D519" s="6">
        <v>2</v>
      </c>
      <c r="E519" s="6">
        <v>2</v>
      </c>
      <c r="F519" s="6">
        <v>2</v>
      </c>
      <c r="G519" s="6">
        <v>2</v>
      </c>
      <c r="H519" s="6">
        <v>2</v>
      </c>
      <c r="I519" s="6">
        <v>2</v>
      </c>
      <c r="J519" s="6">
        <v>2</v>
      </c>
      <c r="K519" s="6">
        <v>2</v>
      </c>
      <c r="L519" s="6">
        <v>2</v>
      </c>
      <c r="M519" s="6">
        <v>2</v>
      </c>
      <c r="N519" s="6">
        <v>2</v>
      </c>
      <c r="O519" s="6">
        <v>2</v>
      </c>
      <c r="P519" s="6">
        <v>2</v>
      </c>
      <c r="Q519" s="6">
        <v>2</v>
      </c>
      <c r="R519" s="6">
        <v>2</v>
      </c>
      <c r="S519" s="6">
        <v>3</v>
      </c>
      <c r="T519" s="6">
        <v>3</v>
      </c>
      <c r="U519" s="6">
        <v>4</v>
      </c>
      <c r="V519" s="6">
        <v>4</v>
      </c>
      <c r="W519" s="6">
        <v>5</v>
      </c>
      <c r="X519" s="6">
        <v>5</v>
      </c>
    </row>
    <row r="521" spans="3:24" x14ac:dyDescent="0.25">
      <c r="C521" s="6" t="s">
        <v>51</v>
      </c>
      <c r="D521" s="6">
        <v>4</v>
      </c>
      <c r="E521" s="6">
        <v>4</v>
      </c>
      <c r="F521" s="6">
        <v>4</v>
      </c>
      <c r="G521" s="6">
        <v>3</v>
      </c>
      <c r="H521" s="6">
        <v>4</v>
      </c>
      <c r="I521" s="6">
        <v>4</v>
      </c>
      <c r="J521" s="6">
        <v>5</v>
      </c>
      <c r="K521" s="6">
        <v>5</v>
      </c>
      <c r="L521" s="6">
        <v>5</v>
      </c>
      <c r="M521" s="6">
        <v>5</v>
      </c>
      <c r="N521" s="6">
        <v>5</v>
      </c>
      <c r="O521" s="6">
        <v>5</v>
      </c>
      <c r="P521" s="6">
        <v>5</v>
      </c>
      <c r="Q521" s="6">
        <v>5</v>
      </c>
      <c r="R521" s="6">
        <v>5</v>
      </c>
      <c r="S521" s="6">
        <v>4</v>
      </c>
      <c r="T521" s="6">
        <v>4</v>
      </c>
      <c r="U521" s="6">
        <v>3</v>
      </c>
      <c r="V521" s="6">
        <v>3</v>
      </c>
      <c r="W521" s="6">
        <v>3</v>
      </c>
      <c r="X521" s="6">
        <v>3</v>
      </c>
    </row>
    <row r="523" spans="3:24" x14ac:dyDescent="0.25">
      <c r="C523" s="6" t="s">
        <v>50</v>
      </c>
      <c r="D523" s="6">
        <v>5</v>
      </c>
      <c r="E523" s="6">
        <v>5</v>
      </c>
      <c r="F523" s="6">
        <v>4</v>
      </c>
      <c r="G523" s="6">
        <v>4</v>
      </c>
      <c r="H523" s="6">
        <v>4</v>
      </c>
      <c r="I523" s="6">
        <v>3</v>
      </c>
      <c r="J523" s="6">
        <v>3</v>
      </c>
      <c r="K523" s="6">
        <v>2</v>
      </c>
      <c r="L523" s="6">
        <v>2</v>
      </c>
      <c r="M523" s="6">
        <v>2</v>
      </c>
      <c r="N523" s="6">
        <v>2</v>
      </c>
      <c r="O523" s="6">
        <v>2</v>
      </c>
      <c r="P523" s="6">
        <v>2</v>
      </c>
      <c r="Q523" s="6">
        <v>2</v>
      </c>
      <c r="R523" s="6">
        <v>2</v>
      </c>
      <c r="S523" s="6">
        <v>3</v>
      </c>
      <c r="T523" s="6">
        <v>3</v>
      </c>
      <c r="U523" s="6">
        <v>4</v>
      </c>
      <c r="V523" s="6">
        <v>4</v>
      </c>
      <c r="W523" s="6">
        <v>5</v>
      </c>
      <c r="X523" s="6">
        <v>5</v>
      </c>
    </row>
    <row r="525" spans="3:24" x14ac:dyDescent="0.25">
      <c r="C525" s="6" t="s">
        <v>51</v>
      </c>
      <c r="D525" s="6">
        <v>3</v>
      </c>
      <c r="E525" s="6">
        <v>3</v>
      </c>
      <c r="F525" s="6">
        <v>3</v>
      </c>
      <c r="G525" s="6">
        <v>3</v>
      </c>
      <c r="H525" s="6">
        <v>3</v>
      </c>
      <c r="I525" s="6">
        <v>3</v>
      </c>
      <c r="J525" s="6">
        <v>4</v>
      </c>
      <c r="K525" s="6">
        <v>4</v>
      </c>
      <c r="L525" s="6">
        <v>4</v>
      </c>
      <c r="M525" s="6">
        <v>4</v>
      </c>
      <c r="N525" s="6">
        <v>4</v>
      </c>
      <c r="O525" s="6">
        <v>4</v>
      </c>
      <c r="P525" s="6">
        <v>4</v>
      </c>
      <c r="Q525" s="6">
        <v>4</v>
      </c>
      <c r="R525" s="6">
        <v>4</v>
      </c>
      <c r="S525" s="6">
        <v>3</v>
      </c>
      <c r="T525" s="6">
        <v>3</v>
      </c>
      <c r="U525" s="6">
        <v>3</v>
      </c>
      <c r="V525" s="6">
        <v>3</v>
      </c>
      <c r="W525" s="6">
        <v>3</v>
      </c>
      <c r="X525" s="6">
        <v>3</v>
      </c>
    </row>
    <row r="527" spans="3:24" x14ac:dyDescent="0.25">
      <c r="C527" s="6" t="s">
        <v>50</v>
      </c>
      <c r="D527" s="6">
        <v>5</v>
      </c>
      <c r="E527" s="6">
        <v>5</v>
      </c>
      <c r="F527" s="6">
        <v>4</v>
      </c>
      <c r="G527" s="6">
        <v>4</v>
      </c>
      <c r="H527" s="6">
        <v>4</v>
      </c>
      <c r="I527" s="6">
        <v>3</v>
      </c>
      <c r="J527" s="6">
        <v>3</v>
      </c>
      <c r="K527" s="6">
        <v>2</v>
      </c>
      <c r="L527" s="6">
        <v>2</v>
      </c>
      <c r="M527" s="6">
        <v>2</v>
      </c>
      <c r="N527" s="6">
        <v>2</v>
      </c>
      <c r="O527" s="6">
        <v>2</v>
      </c>
      <c r="P527" s="6">
        <v>2</v>
      </c>
      <c r="Q527" s="6">
        <v>2</v>
      </c>
      <c r="R527" s="6">
        <v>2</v>
      </c>
      <c r="S527" s="6">
        <v>3</v>
      </c>
      <c r="T527" s="6">
        <v>3</v>
      </c>
      <c r="U527" s="6">
        <v>4</v>
      </c>
      <c r="V527" s="6">
        <v>4</v>
      </c>
      <c r="W527" s="6">
        <v>5</v>
      </c>
      <c r="X527" s="6">
        <v>5</v>
      </c>
    </row>
    <row r="529" spans="3:24" x14ac:dyDescent="0.25">
      <c r="C529" s="6" t="s">
        <v>51</v>
      </c>
      <c r="D529" s="6">
        <v>3</v>
      </c>
      <c r="E529" s="6">
        <v>3</v>
      </c>
      <c r="F529" s="6">
        <v>3</v>
      </c>
      <c r="G529" s="6">
        <v>3</v>
      </c>
      <c r="H529" s="6">
        <v>3</v>
      </c>
      <c r="I529" s="6">
        <v>3</v>
      </c>
      <c r="J529" s="6">
        <v>4</v>
      </c>
      <c r="K529" s="6">
        <v>4</v>
      </c>
      <c r="L529" s="6">
        <v>4</v>
      </c>
      <c r="M529" s="6">
        <v>4</v>
      </c>
      <c r="N529" s="6">
        <v>4</v>
      </c>
      <c r="O529" s="6">
        <v>4</v>
      </c>
      <c r="P529" s="6">
        <v>4</v>
      </c>
      <c r="Q529" s="6">
        <v>4</v>
      </c>
      <c r="R529" s="6">
        <v>4</v>
      </c>
      <c r="S529" s="6">
        <v>3</v>
      </c>
      <c r="T529" s="6">
        <v>3</v>
      </c>
      <c r="U529" s="6">
        <v>3</v>
      </c>
      <c r="V529" s="6">
        <v>3</v>
      </c>
      <c r="W529" s="6">
        <v>3</v>
      </c>
      <c r="X529" s="6">
        <v>3</v>
      </c>
    </row>
    <row r="531" spans="3:24" x14ac:dyDescent="0.25">
      <c r="C531" s="6" t="s">
        <v>50</v>
      </c>
      <c r="D531" s="6">
        <v>5</v>
      </c>
      <c r="E531" s="6">
        <v>5</v>
      </c>
      <c r="F531" s="6">
        <v>4</v>
      </c>
      <c r="G531" s="6">
        <v>4</v>
      </c>
      <c r="H531" s="6">
        <v>4</v>
      </c>
      <c r="I531" s="6">
        <v>3</v>
      </c>
      <c r="J531" s="6">
        <v>3</v>
      </c>
      <c r="K531" s="6">
        <v>2</v>
      </c>
      <c r="L531" s="6">
        <v>2</v>
      </c>
      <c r="M531" s="6">
        <v>2</v>
      </c>
      <c r="N531" s="6">
        <v>2</v>
      </c>
      <c r="O531" s="6">
        <v>2</v>
      </c>
      <c r="P531" s="6">
        <v>2</v>
      </c>
      <c r="Q531" s="6">
        <v>2</v>
      </c>
      <c r="R531" s="6">
        <v>2</v>
      </c>
      <c r="S531" s="6">
        <v>3</v>
      </c>
      <c r="T531" s="6">
        <v>3</v>
      </c>
      <c r="U531" s="6">
        <v>4</v>
      </c>
      <c r="V531" s="6">
        <v>4</v>
      </c>
      <c r="W531" s="6">
        <v>5</v>
      </c>
      <c r="X531" s="6">
        <v>5</v>
      </c>
    </row>
    <row r="533" spans="3:24" x14ac:dyDescent="0.25">
      <c r="C533" s="6" t="s">
        <v>51</v>
      </c>
      <c r="D533" s="6">
        <v>3</v>
      </c>
      <c r="E533" s="6">
        <v>3</v>
      </c>
      <c r="F533" s="6">
        <v>3</v>
      </c>
      <c r="G533" s="6">
        <v>3</v>
      </c>
      <c r="H533" s="6">
        <v>3</v>
      </c>
      <c r="I533" s="6">
        <v>3</v>
      </c>
      <c r="J533" s="6">
        <v>4</v>
      </c>
      <c r="K533" s="6">
        <v>4</v>
      </c>
      <c r="L533" s="6">
        <v>4</v>
      </c>
      <c r="M533" s="6">
        <v>4</v>
      </c>
      <c r="N533" s="6">
        <v>4</v>
      </c>
      <c r="O533" s="6">
        <v>4</v>
      </c>
      <c r="P533" s="6">
        <v>4</v>
      </c>
      <c r="Q533" s="6">
        <v>4</v>
      </c>
      <c r="R533" s="6">
        <v>4</v>
      </c>
      <c r="S533" s="6">
        <v>3</v>
      </c>
      <c r="T533" s="6">
        <v>3</v>
      </c>
      <c r="U533" s="6">
        <v>3</v>
      </c>
      <c r="V533" s="6">
        <v>3</v>
      </c>
      <c r="W533" s="6">
        <v>3</v>
      </c>
      <c r="X533" s="6">
        <v>3</v>
      </c>
    </row>
    <row r="535" spans="3:24" x14ac:dyDescent="0.25">
      <c r="C535" s="6" t="s">
        <v>50</v>
      </c>
      <c r="D535" s="6">
        <v>5</v>
      </c>
      <c r="E535" s="6">
        <v>5</v>
      </c>
      <c r="F535" s="6">
        <v>4</v>
      </c>
      <c r="G535" s="6">
        <v>4</v>
      </c>
      <c r="H535" s="6">
        <v>4</v>
      </c>
      <c r="I535" s="6">
        <v>3</v>
      </c>
      <c r="J535" s="6">
        <v>3</v>
      </c>
      <c r="K535" s="6">
        <v>2</v>
      </c>
      <c r="L535" s="6">
        <v>2</v>
      </c>
      <c r="M535" s="6">
        <v>2</v>
      </c>
      <c r="N535" s="6">
        <v>2</v>
      </c>
      <c r="O535" s="6">
        <v>2</v>
      </c>
      <c r="P535" s="6">
        <v>2</v>
      </c>
      <c r="Q535" s="6">
        <v>2</v>
      </c>
      <c r="R535" s="6">
        <v>2</v>
      </c>
      <c r="S535" s="6">
        <v>3</v>
      </c>
      <c r="T535" s="6">
        <v>3</v>
      </c>
      <c r="U535" s="6">
        <v>4</v>
      </c>
      <c r="V535" s="6">
        <v>4</v>
      </c>
      <c r="W535" s="6">
        <v>5</v>
      </c>
      <c r="X535" s="6">
        <v>5</v>
      </c>
    </row>
    <row r="537" spans="3:24" x14ac:dyDescent="0.25">
      <c r="C537" s="6" t="s">
        <v>51</v>
      </c>
      <c r="D537" s="6">
        <v>3</v>
      </c>
      <c r="E537" s="6">
        <v>3</v>
      </c>
      <c r="F537" s="6">
        <v>3</v>
      </c>
      <c r="G537" s="6">
        <v>3</v>
      </c>
      <c r="H537" s="6">
        <v>3</v>
      </c>
      <c r="I537" s="6">
        <v>3</v>
      </c>
      <c r="J537" s="6">
        <v>4</v>
      </c>
      <c r="K537" s="6">
        <v>4</v>
      </c>
      <c r="L537" s="6">
        <v>4</v>
      </c>
      <c r="M537" s="6">
        <v>4</v>
      </c>
      <c r="N537" s="6">
        <v>4</v>
      </c>
      <c r="O537" s="6">
        <v>4</v>
      </c>
      <c r="P537" s="6">
        <v>4</v>
      </c>
      <c r="Q537" s="6">
        <v>4</v>
      </c>
      <c r="R537" s="6">
        <v>4</v>
      </c>
      <c r="S537" s="6">
        <v>3</v>
      </c>
      <c r="T537" s="6">
        <v>3</v>
      </c>
      <c r="U537" s="6">
        <v>3</v>
      </c>
      <c r="V537" s="6">
        <v>3</v>
      </c>
      <c r="W537" s="6">
        <v>3</v>
      </c>
      <c r="X537" s="6">
        <v>3</v>
      </c>
    </row>
    <row r="539" spans="3:24" x14ac:dyDescent="0.25">
      <c r="C539" s="6" t="s">
        <v>50</v>
      </c>
      <c r="D539" s="6">
        <v>5</v>
      </c>
      <c r="E539" s="6">
        <v>5</v>
      </c>
      <c r="F539" s="6">
        <v>4</v>
      </c>
      <c r="G539" s="6">
        <v>4</v>
      </c>
      <c r="H539" s="6">
        <v>4</v>
      </c>
      <c r="I539" s="6">
        <v>3</v>
      </c>
      <c r="J539" s="6">
        <v>3</v>
      </c>
      <c r="K539" s="6">
        <v>2</v>
      </c>
      <c r="L539" s="6">
        <v>2</v>
      </c>
      <c r="M539" s="6">
        <v>2</v>
      </c>
      <c r="N539" s="6">
        <v>2</v>
      </c>
      <c r="O539" s="6">
        <v>2</v>
      </c>
      <c r="P539" s="6">
        <v>2</v>
      </c>
      <c r="Q539" s="6">
        <v>2</v>
      </c>
      <c r="R539" s="6">
        <v>2</v>
      </c>
      <c r="S539" s="6">
        <v>2</v>
      </c>
      <c r="T539" s="6">
        <v>2</v>
      </c>
      <c r="U539" s="6">
        <v>3</v>
      </c>
      <c r="V539" s="6">
        <v>3</v>
      </c>
      <c r="W539" s="6">
        <v>3</v>
      </c>
      <c r="X539" s="6">
        <v>3</v>
      </c>
    </row>
    <row r="541" spans="3:24" x14ac:dyDescent="0.25">
      <c r="C541" s="6" t="s">
        <v>51</v>
      </c>
      <c r="D541" s="6">
        <v>3</v>
      </c>
      <c r="E541" s="6">
        <v>3</v>
      </c>
      <c r="F541" s="6">
        <v>3</v>
      </c>
      <c r="G541" s="6">
        <v>3</v>
      </c>
      <c r="H541" s="6">
        <v>3</v>
      </c>
      <c r="I541" s="6">
        <v>3</v>
      </c>
      <c r="J541" s="6">
        <v>4</v>
      </c>
      <c r="K541" s="6">
        <v>4</v>
      </c>
      <c r="L541" s="6">
        <v>4</v>
      </c>
      <c r="M541" s="6">
        <v>4</v>
      </c>
      <c r="N541" s="6">
        <v>4</v>
      </c>
      <c r="O541" s="6">
        <v>4</v>
      </c>
      <c r="P541" s="6">
        <v>4</v>
      </c>
      <c r="Q541" s="6">
        <v>4</v>
      </c>
      <c r="R541" s="6">
        <v>4</v>
      </c>
      <c r="S541" s="6">
        <v>3</v>
      </c>
      <c r="T541" s="6">
        <v>3</v>
      </c>
      <c r="U541" s="6">
        <v>3</v>
      </c>
      <c r="V541" s="6">
        <v>3</v>
      </c>
      <c r="W541" s="6">
        <v>3</v>
      </c>
      <c r="X541" s="6">
        <v>3</v>
      </c>
    </row>
    <row r="543" spans="3:24" x14ac:dyDescent="0.25">
      <c r="C543" s="6" t="s">
        <v>50</v>
      </c>
      <c r="D543" s="6">
        <v>3</v>
      </c>
      <c r="E543" s="6">
        <v>3</v>
      </c>
      <c r="F543" s="6">
        <v>3</v>
      </c>
      <c r="G543" s="6">
        <v>3</v>
      </c>
      <c r="H543" s="6">
        <v>2</v>
      </c>
      <c r="I543" s="6">
        <v>2</v>
      </c>
      <c r="J543" s="6">
        <v>2</v>
      </c>
      <c r="K543" s="6">
        <v>2</v>
      </c>
      <c r="L543" s="6">
        <v>2</v>
      </c>
      <c r="M543" s="6">
        <v>2</v>
      </c>
      <c r="N543" s="6">
        <v>2</v>
      </c>
      <c r="O543" s="6">
        <v>2</v>
      </c>
      <c r="P543" s="6">
        <v>2</v>
      </c>
      <c r="Q543" s="6">
        <v>2</v>
      </c>
      <c r="R543" s="6">
        <v>2</v>
      </c>
      <c r="S543" s="6">
        <v>2</v>
      </c>
      <c r="T543" s="6">
        <v>2</v>
      </c>
      <c r="U543" s="6">
        <v>2</v>
      </c>
      <c r="V543" s="6">
        <v>2</v>
      </c>
      <c r="W543" s="6">
        <v>2</v>
      </c>
      <c r="X543" s="6">
        <v>2</v>
      </c>
    </row>
    <row r="545" spans="3:24" x14ac:dyDescent="0.25">
      <c r="C545" s="6" t="s">
        <v>51</v>
      </c>
      <c r="D545" s="6">
        <v>3</v>
      </c>
      <c r="E545" s="6">
        <v>3</v>
      </c>
      <c r="F545" s="6">
        <v>3</v>
      </c>
      <c r="G545" s="6">
        <v>3</v>
      </c>
      <c r="H545" s="6">
        <v>3</v>
      </c>
      <c r="I545" s="6">
        <v>3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3</v>
      </c>
      <c r="T545" s="6">
        <v>3</v>
      </c>
      <c r="U545" s="6">
        <v>3</v>
      </c>
      <c r="V545" s="6">
        <v>3</v>
      </c>
      <c r="W545" s="6">
        <v>3</v>
      </c>
      <c r="X545" s="6">
        <v>3</v>
      </c>
    </row>
    <row r="547" spans="3:24" x14ac:dyDescent="0.25">
      <c r="C547" s="6" t="s">
        <v>50</v>
      </c>
      <c r="D547" s="6">
        <v>8</v>
      </c>
      <c r="E547" s="6">
        <v>8</v>
      </c>
      <c r="F547" s="6">
        <v>7</v>
      </c>
      <c r="G547" s="6">
        <v>6</v>
      </c>
      <c r="H547" s="6">
        <v>5</v>
      </c>
      <c r="I547" s="6">
        <v>5</v>
      </c>
      <c r="J547" s="6">
        <v>4</v>
      </c>
      <c r="K547" s="6">
        <v>3</v>
      </c>
      <c r="L547" s="6">
        <v>2</v>
      </c>
      <c r="M547" s="6">
        <v>2</v>
      </c>
      <c r="N547" s="6">
        <v>2</v>
      </c>
      <c r="O547" s="6">
        <v>2</v>
      </c>
      <c r="P547" s="6">
        <v>2</v>
      </c>
      <c r="Q547" s="6">
        <v>3</v>
      </c>
      <c r="R547" s="6">
        <v>4</v>
      </c>
      <c r="S547" s="6">
        <v>4</v>
      </c>
      <c r="T547" s="6">
        <v>5</v>
      </c>
      <c r="U547" s="6">
        <v>6</v>
      </c>
      <c r="V547" s="6">
        <v>7</v>
      </c>
      <c r="W547" s="6">
        <v>8</v>
      </c>
      <c r="X547" s="6">
        <v>8</v>
      </c>
    </row>
    <row r="549" spans="3:24" x14ac:dyDescent="0.25">
      <c r="C549" s="6" t="s">
        <v>51</v>
      </c>
      <c r="D549" s="6">
        <v>5</v>
      </c>
      <c r="E549" s="6">
        <v>5</v>
      </c>
      <c r="F549" s="6">
        <v>4</v>
      </c>
      <c r="G549" s="6">
        <v>4</v>
      </c>
      <c r="H549" s="6">
        <v>4</v>
      </c>
      <c r="I549" s="6">
        <v>5</v>
      </c>
      <c r="J549" s="6">
        <v>6</v>
      </c>
      <c r="K549" s="6">
        <v>6</v>
      </c>
      <c r="L549" s="6">
        <v>6</v>
      </c>
      <c r="M549" s="6">
        <v>6</v>
      </c>
      <c r="N549" s="6">
        <v>6</v>
      </c>
      <c r="O549" s="6">
        <v>6</v>
      </c>
      <c r="P549" s="6">
        <v>6</v>
      </c>
      <c r="Q549" s="6">
        <v>6</v>
      </c>
      <c r="R549" s="6">
        <v>6</v>
      </c>
      <c r="S549" s="6">
        <v>5</v>
      </c>
      <c r="T549" s="6">
        <v>4</v>
      </c>
      <c r="U549" s="6">
        <v>4</v>
      </c>
      <c r="V549" s="6">
        <v>4</v>
      </c>
      <c r="W549" s="6">
        <v>5</v>
      </c>
      <c r="X549" s="6">
        <v>5</v>
      </c>
    </row>
    <row r="551" spans="3:24" x14ac:dyDescent="0.25">
      <c r="C551" s="6" t="s">
        <v>50</v>
      </c>
      <c r="D551" s="6">
        <v>9</v>
      </c>
      <c r="E551" s="6">
        <v>9</v>
      </c>
      <c r="F551" s="6">
        <v>8</v>
      </c>
      <c r="G551" s="6">
        <v>7</v>
      </c>
      <c r="H551" s="6">
        <v>6</v>
      </c>
      <c r="I551" s="6">
        <v>5</v>
      </c>
      <c r="J551" s="6">
        <v>4</v>
      </c>
      <c r="K551" s="6">
        <v>3</v>
      </c>
      <c r="L551" s="6">
        <v>2</v>
      </c>
      <c r="M551" s="6">
        <v>2</v>
      </c>
      <c r="N551" s="6">
        <v>2</v>
      </c>
      <c r="O551" s="6">
        <v>2</v>
      </c>
      <c r="P551" s="6">
        <v>2</v>
      </c>
      <c r="Q551" s="6">
        <v>3</v>
      </c>
      <c r="R551" s="6">
        <v>4</v>
      </c>
      <c r="S551" s="6">
        <v>4</v>
      </c>
      <c r="T551" s="6">
        <v>5</v>
      </c>
      <c r="U551" s="6">
        <v>6</v>
      </c>
      <c r="V551" s="6">
        <v>7</v>
      </c>
      <c r="W551" s="6">
        <v>8</v>
      </c>
      <c r="X551" s="6">
        <v>8</v>
      </c>
    </row>
    <row r="553" spans="3:24" x14ac:dyDescent="0.25">
      <c r="C553" s="6" t="s">
        <v>51</v>
      </c>
      <c r="D553" s="6">
        <v>5</v>
      </c>
      <c r="E553" s="6">
        <v>5</v>
      </c>
      <c r="F553" s="6">
        <v>4</v>
      </c>
      <c r="G553" s="6">
        <v>4</v>
      </c>
      <c r="H553" s="6">
        <v>4</v>
      </c>
      <c r="I553" s="6">
        <v>5</v>
      </c>
      <c r="J553" s="6">
        <v>6</v>
      </c>
      <c r="K553" s="6">
        <v>6</v>
      </c>
      <c r="L553" s="6">
        <v>6</v>
      </c>
      <c r="M553" s="6">
        <v>6</v>
      </c>
      <c r="N553" s="6">
        <v>6</v>
      </c>
      <c r="O553" s="6">
        <v>6</v>
      </c>
      <c r="P553" s="6">
        <v>6</v>
      </c>
      <c r="Q553" s="6">
        <v>6</v>
      </c>
      <c r="R553" s="6">
        <v>6</v>
      </c>
      <c r="S553" s="6">
        <v>5</v>
      </c>
      <c r="T553" s="6">
        <v>4</v>
      </c>
      <c r="U553" s="6">
        <v>4</v>
      </c>
      <c r="V553" s="6">
        <v>4</v>
      </c>
      <c r="W553" s="6">
        <v>5</v>
      </c>
      <c r="X553" s="6">
        <v>5</v>
      </c>
    </row>
    <row r="555" spans="3:24" x14ac:dyDescent="0.25">
      <c r="C555" s="6" t="s">
        <v>50</v>
      </c>
      <c r="D555" s="6">
        <v>9</v>
      </c>
      <c r="E555" s="6">
        <v>9</v>
      </c>
      <c r="F555" s="6">
        <v>8</v>
      </c>
      <c r="G555" s="6">
        <v>7</v>
      </c>
      <c r="H555" s="6">
        <v>6</v>
      </c>
      <c r="I555" s="6">
        <v>5</v>
      </c>
      <c r="J555" s="6">
        <v>4</v>
      </c>
      <c r="K555" s="6">
        <v>3</v>
      </c>
      <c r="L555" s="6">
        <v>2</v>
      </c>
      <c r="M555" s="6">
        <v>2</v>
      </c>
      <c r="N555" s="6">
        <v>2</v>
      </c>
      <c r="O555" s="6">
        <v>2</v>
      </c>
      <c r="P555" s="6">
        <v>2</v>
      </c>
      <c r="Q555" s="6">
        <v>3</v>
      </c>
      <c r="R555" s="6">
        <v>4</v>
      </c>
      <c r="S555" s="6">
        <v>4</v>
      </c>
      <c r="T555" s="6">
        <v>5</v>
      </c>
      <c r="U555" s="6">
        <v>6</v>
      </c>
      <c r="V555" s="6">
        <v>7</v>
      </c>
      <c r="W555" s="6">
        <v>8</v>
      </c>
      <c r="X555" s="6">
        <v>8</v>
      </c>
    </row>
    <row r="557" spans="3:24" x14ac:dyDescent="0.25">
      <c r="C557" s="6" t="s">
        <v>51</v>
      </c>
      <c r="D557" s="6">
        <v>5</v>
      </c>
      <c r="E557" s="6">
        <v>5</v>
      </c>
      <c r="F557" s="6">
        <v>4</v>
      </c>
      <c r="G557" s="6">
        <v>4</v>
      </c>
      <c r="H557" s="6">
        <v>4</v>
      </c>
      <c r="I557" s="6">
        <v>5</v>
      </c>
      <c r="J557" s="6">
        <v>6</v>
      </c>
      <c r="K557" s="6">
        <v>6</v>
      </c>
      <c r="L557" s="6">
        <v>6</v>
      </c>
      <c r="M557" s="6">
        <v>6</v>
      </c>
      <c r="N557" s="6">
        <v>6</v>
      </c>
      <c r="O557" s="6">
        <v>6</v>
      </c>
      <c r="P557" s="6">
        <v>6</v>
      </c>
      <c r="Q557" s="6">
        <v>6</v>
      </c>
      <c r="R557" s="6">
        <v>6</v>
      </c>
      <c r="S557" s="6">
        <v>5</v>
      </c>
      <c r="T557" s="6">
        <v>4</v>
      </c>
      <c r="U557" s="6">
        <v>4</v>
      </c>
      <c r="V557" s="6">
        <v>4</v>
      </c>
      <c r="W557" s="6">
        <v>5</v>
      </c>
      <c r="X557" s="6">
        <v>5</v>
      </c>
    </row>
    <row r="559" spans="3:24" x14ac:dyDescent="0.25">
      <c r="C559" s="6" t="s">
        <v>50</v>
      </c>
      <c r="D559" s="6">
        <v>9</v>
      </c>
      <c r="E559" s="6">
        <v>9</v>
      </c>
      <c r="F559" s="6">
        <v>8</v>
      </c>
      <c r="G559" s="6">
        <v>7</v>
      </c>
      <c r="H559" s="6">
        <v>6</v>
      </c>
      <c r="I559" s="6">
        <v>5</v>
      </c>
      <c r="J559" s="6">
        <v>4</v>
      </c>
      <c r="K559" s="6">
        <v>3</v>
      </c>
      <c r="L559" s="6">
        <v>2</v>
      </c>
      <c r="M559" s="6">
        <v>2</v>
      </c>
      <c r="N559" s="6">
        <v>2</v>
      </c>
      <c r="O559" s="6">
        <v>2</v>
      </c>
      <c r="P559" s="6">
        <v>2</v>
      </c>
      <c r="Q559" s="6">
        <v>3</v>
      </c>
      <c r="R559" s="6">
        <v>4</v>
      </c>
      <c r="S559" s="6">
        <v>4</v>
      </c>
      <c r="T559" s="6">
        <v>5</v>
      </c>
      <c r="U559" s="6">
        <v>6</v>
      </c>
      <c r="V559" s="6">
        <v>7</v>
      </c>
      <c r="W559" s="6">
        <v>8</v>
      </c>
      <c r="X559" s="6">
        <v>8</v>
      </c>
    </row>
    <row r="561" spans="3:24" x14ac:dyDescent="0.25">
      <c r="C561" s="6" t="s">
        <v>51</v>
      </c>
      <c r="D561" s="6">
        <v>5</v>
      </c>
      <c r="E561" s="6">
        <v>5</v>
      </c>
      <c r="F561" s="6">
        <v>4</v>
      </c>
      <c r="G561" s="6">
        <v>4</v>
      </c>
      <c r="H561" s="6">
        <v>4</v>
      </c>
      <c r="I561" s="6">
        <v>5</v>
      </c>
      <c r="J561" s="6">
        <v>6</v>
      </c>
      <c r="K561" s="6">
        <v>6</v>
      </c>
      <c r="L561" s="6">
        <v>6</v>
      </c>
      <c r="M561" s="6">
        <v>6</v>
      </c>
      <c r="N561" s="6">
        <v>6</v>
      </c>
      <c r="O561" s="6">
        <v>6</v>
      </c>
      <c r="P561" s="6">
        <v>6</v>
      </c>
      <c r="Q561" s="6">
        <v>6</v>
      </c>
      <c r="R561" s="6">
        <v>6</v>
      </c>
      <c r="S561" s="6">
        <v>5</v>
      </c>
      <c r="T561" s="6">
        <v>4</v>
      </c>
      <c r="U561" s="6">
        <v>4</v>
      </c>
      <c r="V561" s="6">
        <v>4</v>
      </c>
      <c r="W561" s="6">
        <v>5</v>
      </c>
      <c r="X561" s="6">
        <v>5</v>
      </c>
    </row>
    <row r="563" spans="3:24" x14ac:dyDescent="0.25">
      <c r="C563" s="6" t="s">
        <v>50</v>
      </c>
      <c r="D563" s="6">
        <v>2</v>
      </c>
      <c r="E563" s="6">
        <v>2</v>
      </c>
      <c r="F563" s="6">
        <v>2</v>
      </c>
      <c r="G563" s="6">
        <v>2</v>
      </c>
      <c r="H563" s="6">
        <v>2</v>
      </c>
      <c r="I563" s="6">
        <v>2</v>
      </c>
      <c r="J563" s="6">
        <v>2</v>
      </c>
      <c r="K563" s="6">
        <v>2</v>
      </c>
      <c r="L563" s="6">
        <v>2</v>
      </c>
      <c r="M563" s="6">
        <v>2</v>
      </c>
      <c r="N563" s="6">
        <v>2</v>
      </c>
      <c r="O563" s="6">
        <v>2</v>
      </c>
      <c r="P563" s="6">
        <v>2</v>
      </c>
      <c r="Q563" s="6">
        <v>2</v>
      </c>
      <c r="R563" s="6">
        <v>2</v>
      </c>
      <c r="S563" s="6">
        <v>3</v>
      </c>
      <c r="T563" s="6">
        <v>3</v>
      </c>
      <c r="U563" s="6">
        <v>4</v>
      </c>
      <c r="V563" s="6">
        <v>4</v>
      </c>
      <c r="W563" s="6">
        <v>5</v>
      </c>
      <c r="X563" s="6">
        <v>5</v>
      </c>
    </row>
    <row r="565" spans="3:24" x14ac:dyDescent="0.25">
      <c r="C565" s="6" t="s">
        <v>51</v>
      </c>
      <c r="D565" s="6">
        <v>5</v>
      </c>
      <c r="E565" s="6">
        <v>5</v>
      </c>
      <c r="F565" s="6">
        <v>4</v>
      </c>
      <c r="G565" s="6">
        <v>4</v>
      </c>
      <c r="H565" s="6">
        <v>4</v>
      </c>
      <c r="I565" s="6">
        <v>5</v>
      </c>
      <c r="J565" s="6">
        <v>6</v>
      </c>
      <c r="K565" s="6">
        <v>6</v>
      </c>
      <c r="L565" s="6">
        <v>6</v>
      </c>
      <c r="M565" s="6">
        <v>6</v>
      </c>
      <c r="N565" s="6">
        <v>6</v>
      </c>
      <c r="O565" s="6">
        <v>6</v>
      </c>
      <c r="P565" s="6">
        <v>6</v>
      </c>
      <c r="Q565" s="6">
        <v>6</v>
      </c>
      <c r="R565" s="6">
        <v>6</v>
      </c>
      <c r="S565" s="6">
        <v>5</v>
      </c>
      <c r="T565" s="6">
        <v>4</v>
      </c>
      <c r="U565" s="6">
        <v>4</v>
      </c>
      <c r="V565" s="6">
        <v>4</v>
      </c>
      <c r="W565" s="6">
        <v>4</v>
      </c>
      <c r="X565" s="6">
        <v>4</v>
      </c>
    </row>
    <row r="567" spans="3:24" x14ac:dyDescent="0.25">
      <c r="C567" s="6" t="s">
        <v>50</v>
      </c>
      <c r="D567" s="6">
        <v>5</v>
      </c>
      <c r="E567" s="6">
        <v>5</v>
      </c>
      <c r="F567" s="6">
        <v>4</v>
      </c>
      <c r="G567" s="6">
        <v>4</v>
      </c>
      <c r="H567" s="6">
        <v>4</v>
      </c>
      <c r="I567" s="6">
        <v>3</v>
      </c>
      <c r="J567" s="6">
        <v>3</v>
      </c>
      <c r="K567" s="6">
        <v>2</v>
      </c>
      <c r="L567" s="6">
        <v>2</v>
      </c>
      <c r="M567" s="6">
        <v>2</v>
      </c>
      <c r="N567" s="6">
        <v>2</v>
      </c>
      <c r="O567" s="6">
        <v>2</v>
      </c>
      <c r="P567" s="6">
        <v>2</v>
      </c>
      <c r="Q567" s="6">
        <v>2</v>
      </c>
      <c r="R567" s="6">
        <v>2</v>
      </c>
      <c r="S567" s="6">
        <v>3</v>
      </c>
      <c r="T567" s="6">
        <v>3</v>
      </c>
      <c r="U567" s="6">
        <v>4</v>
      </c>
      <c r="V567" s="6">
        <v>4</v>
      </c>
      <c r="W567" s="6">
        <v>5</v>
      </c>
      <c r="X567" s="6">
        <v>5</v>
      </c>
    </row>
    <row r="569" spans="3:24" x14ac:dyDescent="0.25">
      <c r="C569" s="6" t="s">
        <v>51</v>
      </c>
      <c r="D569" s="6">
        <v>4</v>
      </c>
      <c r="E569" s="6">
        <v>4</v>
      </c>
      <c r="F569" s="6">
        <v>4</v>
      </c>
      <c r="G569" s="6">
        <v>3</v>
      </c>
      <c r="H569" s="6">
        <v>3</v>
      </c>
      <c r="I569" s="6">
        <v>3</v>
      </c>
      <c r="J569" s="6">
        <v>4</v>
      </c>
      <c r="K569" s="6">
        <v>4</v>
      </c>
      <c r="L569" s="6">
        <v>4</v>
      </c>
      <c r="M569" s="6">
        <v>4</v>
      </c>
      <c r="N569" s="6">
        <v>4</v>
      </c>
      <c r="O569" s="6">
        <v>4</v>
      </c>
      <c r="P569" s="6">
        <v>4</v>
      </c>
      <c r="Q569" s="6">
        <v>4</v>
      </c>
      <c r="R569" s="6">
        <v>4</v>
      </c>
      <c r="S569" s="6">
        <v>3</v>
      </c>
      <c r="T569" s="6">
        <v>3</v>
      </c>
      <c r="U569" s="6">
        <v>3</v>
      </c>
      <c r="V569" s="6">
        <v>3</v>
      </c>
      <c r="W569" s="6">
        <v>3</v>
      </c>
      <c r="X569" s="6">
        <v>3</v>
      </c>
    </row>
    <row r="571" spans="3:24" x14ac:dyDescent="0.25">
      <c r="C571" s="6" t="s">
        <v>50</v>
      </c>
      <c r="D571" s="6">
        <v>5</v>
      </c>
      <c r="E571" s="6">
        <v>5</v>
      </c>
      <c r="F571" s="6">
        <v>4</v>
      </c>
      <c r="G571" s="6">
        <v>4</v>
      </c>
      <c r="H571" s="6">
        <v>4</v>
      </c>
      <c r="I571" s="6">
        <v>3</v>
      </c>
      <c r="J571" s="6">
        <v>3</v>
      </c>
      <c r="K571" s="6">
        <v>2</v>
      </c>
      <c r="L571" s="6">
        <v>2</v>
      </c>
      <c r="M571" s="6">
        <v>2</v>
      </c>
      <c r="N571" s="6">
        <v>2</v>
      </c>
      <c r="O571" s="6">
        <v>2</v>
      </c>
      <c r="P571" s="6">
        <v>2</v>
      </c>
      <c r="Q571" s="6">
        <v>2</v>
      </c>
      <c r="R571" s="6">
        <v>2</v>
      </c>
      <c r="S571" s="6">
        <v>3</v>
      </c>
      <c r="T571" s="6">
        <v>3</v>
      </c>
      <c r="U571" s="6">
        <v>4</v>
      </c>
      <c r="V571" s="6">
        <v>4</v>
      </c>
      <c r="W571" s="6">
        <v>5</v>
      </c>
      <c r="X571" s="6">
        <v>5</v>
      </c>
    </row>
    <row r="573" spans="3:24" x14ac:dyDescent="0.25">
      <c r="C573" s="6" t="s">
        <v>51</v>
      </c>
      <c r="D573" s="6">
        <v>3</v>
      </c>
      <c r="E573" s="6">
        <v>3</v>
      </c>
      <c r="F573" s="6">
        <v>3</v>
      </c>
      <c r="G573" s="6">
        <v>3</v>
      </c>
      <c r="H573" s="6">
        <v>3</v>
      </c>
      <c r="I573" s="6">
        <v>3</v>
      </c>
      <c r="J573" s="6">
        <v>4</v>
      </c>
      <c r="K573" s="6">
        <v>4</v>
      </c>
      <c r="L573" s="6">
        <v>4</v>
      </c>
      <c r="M573" s="6">
        <v>4</v>
      </c>
      <c r="N573" s="6">
        <v>4</v>
      </c>
      <c r="O573" s="6">
        <v>4</v>
      </c>
      <c r="P573" s="6">
        <v>4</v>
      </c>
      <c r="Q573" s="6">
        <v>4</v>
      </c>
      <c r="R573" s="6">
        <v>4</v>
      </c>
      <c r="S573" s="6">
        <v>3</v>
      </c>
      <c r="T573" s="6">
        <v>3</v>
      </c>
      <c r="U573" s="6">
        <v>3</v>
      </c>
      <c r="V573" s="6">
        <v>3</v>
      </c>
      <c r="W573" s="6">
        <v>3</v>
      </c>
      <c r="X573" s="6">
        <v>3</v>
      </c>
    </row>
    <row r="575" spans="3:24" x14ac:dyDescent="0.25">
      <c r="C575" s="6" t="s">
        <v>50</v>
      </c>
      <c r="D575" s="6">
        <v>5</v>
      </c>
      <c r="E575" s="6">
        <v>5</v>
      </c>
      <c r="F575" s="6">
        <v>4</v>
      </c>
      <c r="G575" s="6">
        <v>4</v>
      </c>
      <c r="H575" s="6">
        <v>4</v>
      </c>
      <c r="I575" s="6">
        <v>3</v>
      </c>
      <c r="J575" s="6">
        <v>3</v>
      </c>
      <c r="K575" s="6">
        <v>2</v>
      </c>
      <c r="L575" s="6">
        <v>2</v>
      </c>
      <c r="M575" s="6">
        <v>2</v>
      </c>
      <c r="N575" s="6">
        <v>2</v>
      </c>
      <c r="O575" s="6">
        <v>2</v>
      </c>
      <c r="P575" s="6">
        <v>2</v>
      </c>
      <c r="Q575" s="6">
        <v>2</v>
      </c>
      <c r="R575" s="6">
        <v>2</v>
      </c>
      <c r="S575" s="6">
        <v>3</v>
      </c>
      <c r="T575" s="6">
        <v>3</v>
      </c>
      <c r="U575" s="6">
        <v>4</v>
      </c>
      <c r="V575" s="6">
        <v>4</v>
      </c>
      <c r="W575" s="6">
        <v>5</v>
      </c>
      <c r="X575" s="6">
        <v>5</v>
      </c>
    </row>
    <row r="577" spans="3:24" x14ac:dyDescent="0.25">
      <c r="C577" s="6" t="s">
        <v>51</v>
      </c>
      <c r="D577" s="6">
        <v>3</v>
      </c>
      <c r="E577" s="6">
        <v>3</v>
      </c>
      <c r="F577" s="6">
        <v>3</v>
      </c>
      <c r="G577" s="6">
        <v>3</v>
      </c>
      <c r="H577" s="6">
        <v>3</v>
      </c>
      <c r="I577" s="6">
        <v>3</v>
      </c>
      <c r="J577" s="6">
        <v>4</v>
      </c>
      <c r="K577" s="6">
        <v>4</v>
      </c>
      <c r="L577" s="6">
        <v>4</v>
      </c>
      <c r="M577" s="6">
        <v>4</v>
      </c>
      <c r="N577" s="6">
        <v>4</v>
      </c>
      <c r="O577" s="6">
        <v>4</v>
      </c>
      <c r="P577" s="6">
        <v>4</v>
      </c>
      <c r="Q577" s="6">
        <v>4</v>
      </c>
      <c r="R577" s="6">
        <v>4</v>
      </c>
      <c r="S577" s="6">
        <v>3</v>
      </c>
      <c r="T577" s="6">
        <v>3</v>
      </c>
      <c r="U577" s="6">
        <v>3</v>
      </c>
      <c r="V577" s="6">
        <v>3</v>
      </c>
      <c r="W577" s="6">
        <v>3</v>
      </c>
      <c r="X577" s="6">
        <v>3</v>
      </c>
    </row>
    <row r="579" spans="3:24" x14ac:dyDescent="0.25">
      <c r="C579" s="6" t="s">
        <v>50</v>
      </c>
      <c r="D579" s="6">
        <v>5</v>
      </c>
      <c r="E579" s="6">
        <v>5</v>
      </c>
      <c r="F579" s="6">
        <v>4</v>
      </c>
      <c r="G579" s="6">
        <v>4</v>
      </c>
      <c r="H579" s="6">
        <v>4</v>
      </c>
      <c r="I579" s="6">
        <v>3</v>
      </c>
      <c r="J579" s="6">
        <v>3</v>
      </c>
      <c r="K579" s="6">
        <v>2</v>
      </c>
      <c r="L579" s="6">
        <v>2</v>
      </c>
      <c r="M579" s="6">
        <v>2</v>
      </c>
      <c r="N579" s="6">
        <v>2</v>
      </c>
      <c r="O579" s="6">
        <v>2</v>
      </c>
      <c r="P579" s="6">
        <v>2</v>
      </c>
      <c r="Q579" s="6">
        <v>2</v>
      </c>
      <c r="R579" s="6">
        <v>2</v>
      </c>
      <c r="S579" s="6">
        <v>3</v>
      </c>
      <c r="T579" s="6">
        <v>3</v>
      </c>
      <c r="U579" s="6">
        <v>4</v>
      </c>
      <c r="V579" s="6">
        <v>4</v>
      </c>
      <c r="W579" s="6">
        <v>5</v>
      </c>
      <c r="X579" s="6">
        <v>5</v>
      </c>
    </row>
    <row r="581" spans="3:24" x14ac:dyDescent="0.25">
      <c r="C581" s="6" t="s">
        <v>51</v>
      </c>
      <c r="D581" s="6">
        <v>3</v>
      </c>
      <c r="E581" s="6">
        <v>3</v>
      </c>
      <c r="F581" s="6">
        <v>3</v>
      </c>
      <c r="G581" s="6">
        <v>3</v>
      </c>
      <c r="H581" s="6">
        <v>3</v>
      </c>
      <c r="I581" s="6">
        <v>3</v>
      </c>
      <c r="J581" s="6">
        <v>4</v>
      </c>
      <c r="K581" s="6">
        <v>4</v>
      </c>
      <c r="L581" s="6">
        <v>4</v>
      </c>
      <c r="M581" s="6">
        <v>4</v>
      </c>
      <c r="N581" s="6">
        <v>4</v>
      </c>
      <c r="O581" s="6">
        <v>4</v>
      </c>
      <c r="P581" s="6">
        <v>4</v>
      </c>
      <c r="Q581" s="6">
        <v>4</v>
      </c>
      <c r="R581" s="6">
        <v>4</v>
      </c>
      <c r="S581" s="6">
        <v>3</v>
      </c>
      <c r="T581" s="6">
        <v>3</v>
      </c>
      <c r="U581" s="6">
        <v>3</v>
      </c>
      <c r="V581" s="6">
        <v>3</v>
      </c>
      <c r="W581" s="6">
        <v>3</v>
      </c>
      <c r="X581" s="6">
        <v>3</v>
      </c>
    </row>
    <row r="583" spans="3:24" x14ac:dyDescent="0.25">
      <c r="C583" s="6" t="s">
        <v>50</v>
      </c>
      <c r="D583" s="6">
        <v>5</v>
      </c>
      <c r="E583" s="6">
        <v>5</v>
      </c>
      <c r="F583" s="6">
        <v>4</v>
      </c>
      <c r="G583" s="6">
        <v>4</v>
      </c>
      <c r="H583" s="6">
        <v>4</v>
      </c>
      <c r="I583" s="6">
        <v>3</v>
      </c>
      <c r="J583" s="6">
        <v>3</v>
      </c>
      <c r="K583" s="6">
        <v>2</v>
      </c>
      <c r="L583" s="6">
        <v>2</v>
      </c>
      <c r="M583" s="6">
        <v>2</v>
      </c>
      <c r="N583" s="6">
        <v>2</v>
      </c>
      <c r="O583" s="6">
        <v>2</v>
      </c>
      <c r="P583" s="6">
        <v>2</v>
      </c>
      <c r="Q583" s="6">
        <v>2</v>
      </c>
      <c r="R583" s="6">
        <v>2</v>
      </c>
      <c r="S583" s="6">
        <v>2</v>
      </c>
      <c r="T583" s="6">
        <v>2</v>
      </c>
      <c r="U583" s="6">
        <v>3</v>
      </c>
      <c r="V583" s="6">
        <v>3</v>
      </c>
      <c r="W583" s="6">
        <v>3</v>
      </c>
      <c r="X583" s="6">
        <v>3</v>
      </c>
    </row>
    <row r="585" spans="3:24" x14ac:dyDescent="0.25">
      <c r="C585" s="6" t="s">
        <v>51</v>
      </c>
      <c r="D585" s="6">
        <v>3</v>
      </c>
      <c r="E585" s="6">
        <v>3</v>
      </c>
      <c r="F585" s="6">
        <v>3</v>
      </c>
      <c r="G585" s="6">
        <v>3</v>
      </c>
      <c r="H585" s="6">
        <v>3</v>
      </c>
      <c r="I585" s="6">
        <v>3</v>
      </c>
      <c r="J585" s="6">
        <v>4</v>
      </c>
      <c r="K585" s="6">
        <v>4</v>
      </c>
      <c r="L585" s="6">
        <v>4</v>
      </c>
      <c r="M585" s="6">
        <v>4</v>
      </c>
      <c r="N585" s="6">
        <v>4</v>
      </c>
      <c r="O585" s="6">
        <v>4</v>
      </c>
      <c r="P585" s="6">
        <v>4</v>
      </c>
      <c r="Q585" s="6">
        <v>4</v>
      </c>
      <c r="R585" s="6">
        <v>4</v>
      </c>
      <c r="S585" s="6">
        <v>3</v>
      </c>
      <c r="T585" s="6">
        <v>3</v>
      </c>
      <c r="U585" s="6">
        <v>3</v>
      </c>
      <c r="V585" s="6">
        <v>3</v>
      </c>
      <c r="W585" s="6">
        <v>3</v>
      </c>
      <c r="X585" s="6">
        <v>3</v>
      </c>
    </row>
    <row r="587" spans="3:24" x14ac:dyDescent="0.25">
      <c r="C587" s="6" t="s">
        <v>50</v>
      </c>
      <c r="D587" s="6">
        <v>3</v>
      </c>
      <c r="E587" s="6">
        <v>3</v>
      </c>
      <c r="F587" s="6">
        <v>3</v>
      </c>
      <c r="G587" s="6">
        <v>3</v>
      </c>
      <c r="H587" s="6">
        <v>2</v>
      </c>
      <c r="I587" s="6">
        <v>2</v>
      </c>
      <c r="J587" s="6">
        <v>2</v>
      </c>
      <c r="K587" s="6">
        <v>2</v>
      </c>
      <c r="L587" s="6">
        <v>2</v>
      </c>
      <c r="M587" s="6">
        <v>2</v>
      </c>
      <c r="N587" s="6">
        <v>2</v>
      </c>
      <c r="O587" s="6">
        <v>2</v>
      </c>
      <c r="P587" s="6">
        <v>2</v>
      </c>
      <c r="Q587" s="6">
        <v>2</v>
      </c>
      <c r="R587" s="6">
        <v>2</v>
      </c>
      <c r="S587" s="6">
        <v>2</v>
      </c>
      <c r="T587" s="6">
        <v>2</v>
      </c>
      <c r="U587" s="6">
        <v>2</v>
      </c>
      <c r="V587" s="6">
        <v>2</v>
      </c>
      <c r="W587" s="6">
        <v>2</v>
      </c>
      <c r="X587" s="6">
        <v>2</v>
      </c>
    </row>
    <row r="589" spans="3:24" x14ac:dyDescent="0.25">
      <c r="C589" s="6" t="s">
        <v>51</v>
      </c>
      <c r="D589" s="6">
        <v>3</v>
      </c>
      <c r="E589" s="6">
        <v>3</v>
      </c>
      <c r="F589" s="6">
        <v>3</v>
      </c>
      <c r="G589" s="6">
        <v>3</v>
      </c>
      <c r="H589" s="6">
        <v>3</v>
      </c>
      <c r="I589" s="6">
        <v>3</v>
      </c>
      <c r="J589" s="6">
        <v>4</v>
      </c>
      <c r="K589" s="6">
        <v>4</v>
      </c>
      <c r="L589" s="6">
        <v>4</v>
      </c>
      <c r="M589" s="6">
        <v>4</v>
      </c>
      <c r="N589" s="6">
        <v>4</v>
      </c>
      <c r="O589" s="6">
        <v>4</v>
      </c>
      <c r="P589" s="6">
        <v>4</v>
      </c>
      <c r="Q589" s="6">
        <v>4</v>
      </c>
      <c r="R589" s="6">
        <v>4</v>
      </c>
      <c r="S589" s="6">
        <v>3</v>
      </c>
      <c r="T589" s="6">
        <v>3</v>
      </c>
      <c r="U589" s="6">
        <v>3</v>
      </c>
      <c r="V589" s="6">
        <v>3</v>
      </c>
      <c r="W589" s="6">
        <v>3</v>
      </c>
      <c r="X589" s="6">
        <v>3</v>
      </c>
    </row>
    <row r="591" spans="3:24" x14ac:dyDescent="0.25">
      <c r="C591" s="6" t="s">
        <v>50</v>
      </c>
      <c r="D591" s="6">
        <v>8</v>
      </c>
      <c r="E591" s="6">
        <v>8</v>
      </c>
      <c r="F591" s="6">
        <v>7</v>
      </c>
      <c r="G591" s="6">
        <v>6</v>
      </c>
      <c r="H591" s="6">
        <v>5</v>
      </c>
      <c r="I591" s="6">
        <v>5</v>
      </c>
      <c r="J591" s="6">
        <v>4</v>
      </c>
      <c r="K591" s="6">
        <v>3</v>
      </c>
      <c r="L591" s="6">
        <v>2</v>
      </c>
      <c r="M591" s="6">
        <v>2</v>
      </c>
      <c r="N591" s="6">
        <v>2</v>
      </c>
      <c r="O591" s="6">
        <v>2</v>
      </c>
      <c r="P591" s="6">
        <v>2</v>
      </c>
      <c r="Q591" s="6">
        <v>2</v>
      </c>
      <c r="R591" s="6">
        <v>2</v>
      </c>
      <c r="S591" s="6">
        <v>2</v>
      </c>
      <c r="T591" s="6">
        <v>2</v>
      </c>
      <c r="U591" s="6">
        <v>2</v>
      </c>
      <c r="V591" s="6">
        <v>2</v>
      </c>
      <c r="W591" s="6">
        <v>2</v>
      </c>
      <c r="X591" s="6">
        <v>2</v>
      </c>
    </row>
    <row r="593" spans="3:24" x14ac:dyDescent="0.25">
      <c r="C593" s="6" t="s">
        <v>51</v>
      </c>
      <c r="D593" s="6">
        <v>5</v>
      </c>
      <c r="E593" s="6">
        <v>5</v>
      </c>
      <c r="F593" s="6">
        <v>4</v>
      </c>
      <c r="G593" s="6">
        <v>4</v>
      </c>
      <c r="H593" s="6">
        <v>4</v>
      </c>
      <c r="I593" s="6">
        <v>4</v>
      </c>
      <c r="J593" s="6">
        <v>5</v>
      </c>
      <c r="K593" s="6">
        <v>5</v>
      </c>
      <c r="L593" s="6">
        <v>5</v>
      </c>
      <c r="M593" s="6">
        <v>5</v>
      </c>
      <c r="N593" s="6">
        <v>5</v>
      </c>
      <c r="O593" s="6">
        <v>5</v>
      </c>
      <c r="P593" s="6">
        <v>5</v>
      </c>
      <c r="Q593" s="6">
        <v>5</v>
      </c>
      <c r="R593" s="6">
        <v>5</v>
      </c>
      <c r="S593" s="6">
        <v>4</v>
      </c>
      <c r="T593" s="6">
        <v>4</v>
      </c>
      <c r="U593" s="6">
        <v>4</v>
      </c>
      <c r="V593" s="6">
        <v>4</v>
      </c>
      <c r="W593" s="6">
        <v>5</v>
      </c>
      <c r="X593" s="6">
        <v>5</v>
      </c>
    </row>
    <row r="595" spans="3:24" x14ac:dyDescent="0.25">
      <c r="C595" s="6" t="s">
        <v>50</v>
      </c>
      <c r="D595" s="6">
        <v>8</v>
      </c>
      <c r="E595" s="6">
        <v>8</v>
      </c>
      <c r="F595" s="6">
        <v>7</v>
      </c>
      <c r="G595" s="6">
        <v>6</v>
      </c>
      <c r="H595" s="6">
        <v>5</v>
      </c>
      <c r="I595" s="6">
        <v>5</v>
      </c>
      <c r="J595" s="6">
        <v>4</v>
      </c>
      <c r="K595" s="6">
        <v>3</v>
      </c>
      <c r="L595" s="6">
        <v>2</v>
      </c>
      <c r="M595" s="6">
        <v>2</v>
      </c>
      <c r="N595" s="6">
        <v>2</v>
      </c>
      <c r="O595" s="6">
        <v>2</v>
      </c>
      <c r="P595" s="6">
        <v>2</v>
      </c>
      <c r="Q595" s="6">
        <v>2</v>
      </c>
      <c r="R595" s="6">
        <v>2</v>
      </c>
      <c r="S595" s="6">
        <v>2</v>
      </c>
      <c r="T595" s="6">
        <v>2</v>
      </c>
      <c r="U595" s="6">
        <v>2</v>
      </c>
      <c r="V595" s="6">
        <v>2</v>
      </c>
      <c r="W595" s="6">
        <v>2</v>
      </c>
      <c r="X595" s="6">
        <v>2</v>
      </c>
    </row>
    <row r="597" spans="3:24" x14ac:dyDescent="0.25">
      <c r="C597" s="6" t="s">
        <v>51</v>
      </c>
      <c r="D597" s="6">
        <v>5</v>
      </c>
      <c r="E597" s="6">
        <v>5</v>
      </c>
      <c r="F597" s="6">
        <v>4</v>
      </c>
      <c r="G597" s="6">
        <v>4</v>
      </c>
      <c r="H597" s="6">
        <v>4</v>
      </c>
      <c r="I597" s="6">
        <v>4</v>
      </c>
      <c r="J597" s="6">
        <v>5</v>
      </c>
      <c r="K597" s="6">
        <v>5</v>
      </c>
      <c r="L597" s="6">
        <v>5</v>
      </c>
      <c r="M597" s="6">
        <v>5</v>
      </c>
      <c r="N597" s="6">
        <v>5</v>
      </c>
      <c r="O597" s="6">
        <v>5</v>
      </c>
      <c r="P597" s="6">
        <v>5</v>
      </c>
      <c r="Q597" s="6">
        <v>5</v>
      </c>
      <c r="R597" s="6">
        <v>5</v>
      </c>
      <c r="S597" s="6">
        <v>4</v>
      </c>
      <c r="T597" s="6">
        <v>4</v>
      </c>
      <c r="U597" s="6">
        <v>4</v>
      </c>
      <c r="V597" s="6">
        <v>4</v>
      </c>
      <c r="W597" s="6">
        <v>5</v>
      </c>
      <c r="X597" s="6">
        <v>5</v>
      </c>
    </row>
    <row r="599" spans="3:24" x14ac:dyDescent="0.25">
      <c r="C599" s="6" t="s">
        <v>50</v>
      </c>
      <c r="D599" s="6">
        <v>8</v>
      </c>
      <c r="E599" s="6">
        <v>8</v>
      </c>
      <c r="F599" s="6">
        <v>7</v>
      </c>
      <c r="G599" s="6">
        <v>6</v>
      </c>
      <c r="H599" s="6">
        <v>5</v>
      </c>
      <c r="I599" s="6">
        <v>5</v>
      </c>
      <c r="J599" s="6">
        <v>4</v>
      </c>
      <c r="K599" s="6">
        <v>3</v>
      </c>
      <c r="L599" s="6">
        <v>2</v>
      </c>
      <c r="M599" s="6">
        <v>2</v>
      </c>
      <c r="N599" s="6">
        <v>2</v>
      </c>
      <c r="O599" s="6">
        <v>2</v>
      </c>
      <c r="P599" s="6">
        <v>2</v>
      </c>
      <c r="Q599" s="6">
        <v>2</v>
      </c>
      <c r="R599" s="6">
        <v>2</v>
      </c>
      <c r="S599" s="6">
        <v>2</v>
      </c>
      <c r="T599" s="6">
        <v>2</v>
      </c>
      <c r="U599" s="6">
        <v>2</v>
      </c>
      <c r="V599" s="6">
        <v>2</v>
      </c>
      <c r="W599" s="6">
        <v>2</v>
      </c>
      <c r="X599" s="6">
        <v>2</v>
      </c>
    </row>
    <row r="601" spans="3:24" x14ac:dyDescent="0.25">
      <c r="C601" s="6" t="s">
        <v>51</v>
      </c>
      <c r="D601" s="6">
        <v>3</v>
      </c>
      <c r="E601" s="6">
        <v>3</v>
      </c>
      <c r="F601" s="6">
        <v>3</v>
      </c>
      <c r="G601" s="6">
        <v>3</v>
      </c>
      <c r="H601" s="6">
        <v>4</v>
      </c>
      <c r="I601" s="6">
        <v>4</v>
      </c>
      <c r="J601" s="6">
        <v>5</v>
      </c>
      <c r="K601" s="6">
        <v>5</v>
      </c>
      <c r="L601" s="6">
        <v>5</v>
      </c>
      <c r="M601" s="6">
        <v>5</v>
      </c>
      <c r="N601" s="6">
        <v>5</v>
      </c>
      <c r="O601" s="6">
        <v>5</v>
      </c>
      <c r="P601" s="6">
        <v>5</v>
      </c>
      <c r="Q601" s="6">
        <v>5</v>
      </c>
      <c r="R601" s="6">
        <v>5</v>
      </c>
      <c r="S601" s="6">
        <v>4</v>
      </c>
      <c r="T601" s="6">
        <v>4</v>
      </c>
      <c r="U601" s="6">
        <v>4</v>
      </c>
      <c r="V601" s="6">
        <v>4</v>
      </c>
      <c r="W601" s="6">
        <v>5</v>
      </c>
      <c r="X601" s="6">
        <v>5</v>
      </c>
    </row>
    <row r="603" spans="3:24" x14ac:dyDescent="0.25">
      <c r="C603" s="6" t="s">
        <v>50</v>
      </c>
      <c r="D603" s="6">
        <v>8</v>
      </c>
      <c r="E603" s="6">
        <v>8</v>
      </c>
      <c r="F603" s="6">
        <v>7</v>
      </c>
      <c r="G603" s="6">
        <v>6</v>
      </c>
      <c r="H603" s="6">
        <v>5</v>
      </c>
      <c r="I603" s="6">
        <v>5</v>
      </c>
      <c r="J603" s="6">
        <v>4</v>
      </c>
      <c r="K603" s="6">
        <v>3</v>
      </c>
      <c r="L603" s="6">
        <v>2</v>
      </c>
      <c r="M603" s="6">
        <v>2</v>
      </c>
      <c r="N603" s="6">
        <v>2</v>
      </c>
      <c r="O603" s="6">
        <v>2</v>
      </c>
      <c r="P603" s="6">
        <v>2</v>
      </c>
      <c r="Q603" s="6">
        <v>2</v>
      </c>
      <c r="R603" s="6">
        <v>2</v>
      </c>
      <c r="S603" s="6">
        <v>2</v>
      </c>
      <c r="T603" s="6">
        <v>2</v>
      </c>
      <c r="U603" s="6">
        <v>2</v>
      </c>
      <c r="V603" s="6">
        <v>2</v>
      </c>
      <c r="W603" s="6">
        <v>2</v>
      </c>
      <c r="X603" s="6">
        <v>2</v>
      </c>
    </row>
    <row r="605" spans="3:24" x14ac:dyDescent="0.25">
      <c r="C605" s="6" t="s">
        <v>51</v>
      </c>
      <c r="D605" s="6">
        <v>5</v>
      </c>
      <c r="E605" s="6">
        <v>5</v>
      </c>
      <c r="F605" s="6">
        <v>4</v>
      </c>
      <c r="G605" s="6">
        <v>4</v>
      </c>
      <c r="H605" s="6">
        <v>4</v>
      </c>
      <c r="I605" s="6">
        <v>4</v>
      </c>
      <c r="J605" s="6">
        <v>5</v>
      </c>
      <c r="K605" s="6">
        <v>5</v>
      </c>
      <c r="L605" s="6">
        <v>5</v>
      </c>
      <c r="M605" s="6">
        <v>5</v>
      </c>
      <c r="N605" s="6">
        <v>5</v>
      </c>
      <c r="O605" s="6">
        <v>5</v>
      </c>
      <c r="P605" s="6">
        <v>5</v>
      </c>
      <c r="Q605" s="6">
        <v>5</v>
      </c>
      <c r="R605" s="6">
        <v>5</v>
      </c>
      <c r="S605" s="6">
        <v>4</v>
      </c>
      <c r="T605" s="6">
        <v>4</v>
      </c>
      <c r="U605" s="6">
        <v>4</v>
      </c>
      <c r="V605" s="6">
        <v>4</v>
      </c>
      <c r="W605" s="6">
        <v>5</v>
      </c>
      <c r="X605" s="6">
        <v>5</v>
      </c>
    </row>
    <row r="607" spans="3:24" x14ac:dyDescent="0.25">
      <c r="C607" s="6" t="s">
        <v>50</v>
      </c>
      <c r="D607" s="6">
        <v>8</v>
      </c>
      <c r="E607" s="6">
        <v>8</v>
      </c>
      <c r="F607" s="6">
        <v>7</v>
      </c>
      <c r="G607" s="6">
        <v>6</v>
      </c>
      <c r="H607" s="6">
        <v>5</v>
      </c>
      <c r="I607" s="6">
        <v>5</v>
      </c>
      <c r="J607" s="6">
        <v>4</v>
      </c>
      <c r="K607" s="6">
        <v>3</v>
      </c>
      <c r="L607" s="6">
        <v>2</v>
      </c>
      <c r="M607" s="6">
        <v>2</v>
      </c>
      <c r="N607" s="6">
        <v>2</v>
      </c>
      <c r="O607" s="6">
        <v>2</v>
      </c>
      <c r="P607" s="6">
        <v>2</v>
      </c>
      <c r="Q607" s="6">
        <v>2</v>
      </c>
      <c r="R607" s="6">
        <v>2</v>
      </c>
      <c r="S607" s="6">
        <v>2</v>
      </c>
      <c r="T607" s="6">
        <v>2</v>
      </c>
      <c r="U607" s="6">
        <v>2</v>
      </c>
      <c r="V607" s="6">
        <v>2</v>
      </c>
      <c r="W607" s="6">
        <v>2</v>
      </c>
      <c r="X607" s="6">
        <v>2</v>
      </c>
    </row>
    <row r="609" spans="3:24" x14ac:dyDescent="0.25">
      <c r="C609" s="6" t="s">
        <v>51</v>
      </c>
      <c r="D609" s="6">
        <v>5</v>
      </c>
      <c r="E609" s="6">
        <v>5</v>
      </c>
      <c r="F609" s="6">
        <v>4</v>
      </c>
      <c r="G609" s="6">
        <v>4</v>
      </c>
      <c r="H609" s="6">
        <v>4</v>
      </c>
      <c r="I609" s="6">
        <v>4</v>
      </c>
      <c r="J609" s="6">
        <v>5</v>
      </c>
      <c r="K609" s="6">
        <v>5</v>
      </c>
      <c r="L609" s="6">
        <v>5</v>
      </c>
      <c r="M609" s="6">
        <v>5</v>
      </c>
      <c r="N609" s="6">
        <v>5</v>
      </c>
      <c r="O609" s="6">
        <v>5</v>
      </c>
      <c r="P609" s="6">
        <v>5</v>
      </c>
      <c r="Q609" s="6">
        <v>5</v>
      </c>
      <c r="R609" s="6">
        <v>5</v>
      </c>
      <c r="S609" s="6">
        <v>4</v>
      </c>
      <c r="T609" s="6">
        <v>4</v>
      </c>
      <c r="U609" s="6">
        <v>4</v>
      </c>
      <c r="V609" s="6">
        <v>4</v>
      </c>
      <c r="W609" s="6">
        <v>5</v>
      </c>
      <c r="X609" s="6">
        <v>5</v>
      </c>
    </row>
    <row r="611" spans="3:24" x14ac:dyDescent="0.25">
      <c r="C611" s="6" t="s">
        <v>50</v>
      </c>
      <c r="D611" s="6">
        <v>3</v>
      </c>
      <c r="E611" s="6">
        <v>3</v>
      </c>
      <c r="F611" s="6">
        <v>3</v>
      </c>
      <c r="G611" s="6">
        <v>3</v>
      </c>
      <c r="H611" s="6">
        <v>2</v>
      </c>
      <c r="I611" s="6">
        <v>2</v>
      </c>
      <c r="J611" s="6">
        <v>2</v>
      </c>
      <c r="K611" s="6">
        <v>2</v>
      </c>
      <c r="L611" s="6">
        <v>2</v>
      </c>
      <c r="M611" s="6">
        <v>2</v>
      </c>
      <c r="N611" s="6">
        <v>2</v>
      </c>
      <c r="O611" s="6">
        <v>2</v>
      </c>
      <c r="P611" s="6">
        <v>2</v>
      </c>
      <c r="Q611" s="6">
        <v>2</v>
      </c>
      <c r="R611" s="6">
        <v>3</v>
      </c>
      <c r="S611" s="6">
        <v>3</v>
      </c>
      <c r="T611" s="6">
        <v>4</v>
      </c>
      <c r="U611" s="6">
        <v>5</v>
      </c>
      <c r="V611" s="6">
        <v>5</v>
      </c>
      <c r="W611" s="6">
        <v>6</v>
      </c>
      <c r="X611" s="6">
        <v>6</v>
      </c>
    </row>
    <row r="613" spans="3:24" x14ac:dyDescent="0.25">
      <c r="C613" s="6" t="s">
        <v>51</v>
      </c>
      <c r="D613" s="6">
        <v>4</v>
      </c>
      <c r="E613" s="6">
        <v>4</v>
      </c>
      <c r="F613" s="6">
        <v>4</v>
      </c>
      <c r="G613" s="6">
        <v>3</v>
      </c>
      <c r="H613" s="6">
        <v>4</v>
      </c>
      <c r="I613" s="6">
        <v>4</v>
      </c>
      <c r="J613" s="6">
        <v>5</v>
      </c>
      <c r="K613" s="6">
        <v>5</v>
      </c>
      <c r="L613" s="6">
        <v>5</v>
      </c>
      <c r="M613" s="6">
        <v>5</v>
      </c>
      <c r="N613" s="6">
        <v>5</v>
      </c>
      <c r="O613" s="6">
        <v>5</v>
      </c>
      <c r="P613" s="6">
        <v>5</v>
      </c>
      <c r="Q613" s="6">
        <v>5</v>
      </c>
      <c r="R613" s="6">
        <v>5</v>
      </c>
      <c r="S613" s="6">
        <v>4</v>
      </c>
      <c r="T613" s="6">
        <v>4</v>
      </c>
      <c r="U613" s="6">
        <v>3</v>
      </c>
      <c r="V613" s="6">
        <v>3</v>
      </c>
      <c r="W613" s="6">
        <v>3</v>
      </c>
      <c r="X613" s="6">
        <v>3</v>
      </c>
    </row>
    <row r="615" spans="3:24" x14ac:dyDescent="0.25">
      <c r="C615" s="6" t="s">
        <v>50</v>
      </c>
      <c r="D615" s="6">
        <v>6</v>
      </c>
      <c r="E615" s="6">
        <v>6</v>
      </c>
      <c r="F615" s="6">
        <v>5</v>
      </c>
      <c r="G615" s="6">
        <v>5</v>
      </c>
      <c r="H615" s="6">
        <v>4</v>
      </c>
      <c r="I615" s="6">
        <v>4</v>
      </c>
      <c r="J615" s="6">
        <v>3</v>
      </c>
      <c r="K615" s="6">
        <v>2</v>
      </c>
      <c r="L615" s="6">
        <v>2</v>
      </c>
      <c r="M615" s="6">
        <v>2</v>
      </c>
      <c r="N615" s="6">
        <v>2</v>
      </c>
      <c r="O615" s="6">
        <v>2</v>
      </c>
      <c r="P615" s="6">
        <v>2</v>
      </c>
      <c r="Q615" s="6">
        <v>2</v>
      </c>
      <c r="R615" s="6">
        <v>2</v>
      </c>
      <c r="S615" s="6">
        <v>3</v>
      </c>
      <c r="T615" s="6">
        <v>3</v>
      </c>
      <c r="U615" s="6">
        <v>4</v>
      </c>
      <c r="V615" s="6">
        <v>4</v>
      </c>
      <c r="W615" s="6">
        <v>5</v>
      </c>
      <c r="X615" s="6">
        <v>5</v>
      </c>
    </row>
    <row r="617" spans="3:24" x14ac:dyDescent="0.25">
      <c r="C617" s="6" t="s">
        <v>51</v>
      </c>
      <c r="D617" s="6">
        <v>3</v>
      </c>
      <c r="E617" s="6">
        <v>3</v>
      </c>
      <c r="F617" s="6">
        <v>3</v>
      </c>
      <c r="G617" s="6">
        <v>3</v>
      </c>
      <c r="H617" s="6">
        <v>3</v>
      </c>
      <c r="I617" s="6">
        <v>3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3</v>
      </c>
      <c r="T617" s="6">
        <v>3</v>
      </c>
      <c r="U617" s="6">
        <v>3</v>
      </c>
      <c r="V617" s="6">
        <v>3</v>
      </c>
      <c r="W617" s="6">
        <v>3</v>
      </c>
      <c r="X617" s="6">
        <v>3</v>
      </c>
    </row>
    <row r="619" spans="3:24" x14ac:dyDescent="0.25">
      <c r="C619" s="6" t="s">
        <v>50</v>
      </c>
      <c r="D619" s="6">
        <v>5</v>
      </c>
      <c r="E619" s="6">
        <v>5</v>
      </c>
      <c r="F619" s="6">
        <v>4</v>
      </c>
      <c r="G619" s="6">
        <v>4</v>
      </c>
      <c r="H619" s="6">
        <v>4</v>
      </c>
      <c r="I619" s="6">
        <v>3</v>
      </c>
      <c r="J619" s="6">
        <v>3</v>
      </c>
      <c r="K619" s="6">
        <v>2</v>
      </c>
      <c r="L619" s="6">
        <v>2</v>
      </c>
      <c r="M619" s="6">
        <v>2</v>
      </c>
      <c r="N619" s="6">
        <v>2</v>
      </c>
      <c r="O619" s="6">
        <v>2</v>
      </c>
      <c r="P619" s="6">
        <v>2</v>
      </c>
      <c r="Q619" s="6">
        <v>2</v>
      </c>
      <c r="R619" s="6">
        <v>2</v>
      </c>
      <c r="S619" s="6">
        <v>3</v>
      </c>
      <c r="T619" s="6">
        <v>3</v>
      </c>
      <c r="U619" s="6">
        <v>4</v>
      </c>
      <c r="V619" s="6">
        <v>4</v>
      </c>
      <c r="W619" s="6">
        <v>5</v>
      </c>
      <c r="X619" s="6">
        <v>5</v>
      </c>
    </row>
    <row r="621" spans="3:24" x14ac:dyDescent="0.25">
      <c r="C621" s="6" t="s">
        <v>51</v>
      </c>
      <c r="D621" s="6">
        <v>3</v>
      </c>
      <c r="E621" s="6">
        <v>3</v>
      </c>
      <c r="F621" s="6">
        <v>3</v>
      </c>
      <c r="G621" s="6">
        <v>3</v>
      </c>
      <c r="H621" s="6">
        <v>4</v>
      </c>
      <c r="I621" s="6">
        <v>4</v>
      </c>
      <c r="J621" s="6">
        <v>5</v>
      </c>
      <c r="K621" s="6">
        <v>5</v>
      </c>
      <c r="L621" s="6">
        <v>5</v>
      </c>
      <c r="M621" s="6">
        <v>5</v>
      </c>
      <c r="N621" s="6">
        <v>5</v>
      </c>
      <c r="O621" s="6">
        <v>5</v>
      </c>
      <c r="P621" s="6">
        <v>5</v>
      </c>
      <c r="Q621" s="6">
        <v>5</v>
      </c>
      <c r="R621" s="6">
        <v>5</v>
      </c>
      <c r="S621" s="6">
        <v>4</v>
      </c>
      <c r="T621" s="6">
        <v>4</v>
      </c>
      <c r="U621" s="6">
        <v>3</v>
      </c>
      <c r="V621" s="6">
        <v>3</v>
      </c>
      <c r="W621" s="6">
        <v>3</v>
      </c>
      <c r="X621" s="6">
        <v>3</v>
      </c>
    </row>
    <row r="623" spans="3:24" x14ac:dyDescent="0.25">
      <c r="C623" s="6" t="s">
        <v>50</v>
      </c>
      <c r="D623" s="6">
        <v>5</v>
      </c>
      <c r="E623" s="6">
        <v>5</v>
      </c>
      <c r="F623" s="6">
        <v>4</v>
      </c>
      <c r="G623" s="6">
        <v>4</v>
      </c>
      <c r="H623" s="6">
        <v>4</v>
      </c>
      <c r="I623" s="6">
        <v>3</v>
      </c>
      <c r="J623" s="6">
        <v>3</v>
      </c>
      <c r="K623" s="6">
        <v>2</v>
      </c>
      <c r="L623" s="6">
        <v>2</v>
      </c>
      <c r="M623" s="6">
        <v>2</v>
      </c>
      <c r="N623" s="6">
        <v>2</v>
      </c>
      <c r="O623" s="6">
        <v>2</v>
      </c>
      <c r="P623" s="6">
        <v>2</v>
      </c>
      <c r="Q623" s="6">
        <v>2</v>
      </c>
      <c r="R623" s="6">
        <v>3</v>
      </c>
      <c r="S623" s="6">
        <v>3</v>
      </c>
      <c r="T623" s="6">
        <v>4</v>
      </c>
      <c r="U623" s="6">
        <v>5</v>
      </c>
      <c r="V623" s="6">
        <v>5</v>
      </c>
      <c r="W623" s="6">
        <v>6</v>
      </c>
      <c r="X623" s="6">
        <v>6</v>
      </c>
    </row>
    <row r="625" spans="3:24" x14ac:dyDescent="0.25">
      <c r="C625" s="6" t="s">
        <v>51</v>
      </c>
      <c r="D625" s="6">
        <v>3</v>
      </c>
      <c r="E625" s="6">
        <v>3</v>
      </c>
      <c r="F625" s="6">
        <v>3</v>
      </c>
      <c r="G625" s="6">
        <v>3</v>
      </c>
      <c r="H625" s="6">
        <v>3</v>
      </c>
      <c r="I625" s="6">
        <v>3</v>
      </c>
      <c r="J625" s="6">
        <v>4</v>
      </c>
      <c r="K625" s="6">
        <v>4</v>
      </c>
      <c r="L625" s="6">
        <v>4</v>
      </c>
      <c r="M625" s="6">
        <v>4</v>
      </c>
      <c r="N625" s="6">
        <v>4</v>
      </c>
      <c r="O625" s="6">
        <v>4</v>
      </c>
      <c r="P625" s="6">
        <v>4</v>
      </c>
      <c r="Q625" s="6">
        <v>4</v>
      </c>
      <c r="R625" s="6">
        <v>4</v>
      </c>
      <c r="S625" s="6">
        <v>3</v>
      </c>
      <c r="T625" s="6">
        <v>3</v>
      </c>
      <c r="U625" s="6">
        <v>3</v>
      </c>
      <c r="V625" s="6">
        <v>3</v>
      </c>
      <c r="W625" s="6">
        <v>3</v>
      </c>
      <c r="X625" s="6">
        <v>3</v>
      </c>
    </row>
    <row r="627" spans="3:24" x14ac:dyDescent="0.25">
      <c r="C627" s="6" t="s">
        <v>50</v>
      </c>
      <c r="D627" s="6">
        <v>6</v>
      </c>
      <c r="E627" s="6">
        <v>6</v>
      </c>
      <c r="F627" s="6">
        <v>5</v>
      </c>
      <c r="G627" s="6">
        <v>5</v>
      </c>
      <c r="H627" s="6">
        <v>4</v>
      </c>
      <c r="I627" s="6">
        <v>4</v>
      </c>
      <c r="J627" s="6">
        <v>3</v>
      </c>
      <c r="K627" s="6">
        <v>2</v>
      </c>
      <c r="L627" s="6">
        <v>2</v>
      </c>
      <c r="M627" s="6">
        <v>2</v>
      </c>
      <c r="N627" s="6">
        <v>2</v>
      </c>
      <c r="O627" s="6">
        <v>2</v>
      </c>
      <c r="P627" s="6">
        <v>2</v>
      </c>
      <c r="Q627" s="6">
        <v>2</v>
      </c>
      <c r="R627" s="6">
        <v>2</v>
      </c>
      <c r="S627" s="6">
        <v>2</v>
      </c>
      <c r="T627" s="6">
        <v>3</v>
      </c>
      <c r="U627" s="6">
        <v>3</v>
      </c>
      <c r="V627" s="6">
        <v>4</v>
      </c>
      <c r="W627" s="6">
        <v>4</v>
      </c>
      <c r="X627" s="6">
        <v>4</v>
      </c>
    </row>
    <row r="629" spans="3:24" x14ac:dyDescent="0.25">
      <c r="C629" s="6" t="s">
        <v>51</v>
      </c>
      <c r="D629" s="6">
        <v>3</v>
      </c>
      <c r="E629" s="6">
        <v>3</v>
      </c>
      <c r="F629" s="6">
        <v>3</v>
      </c>
      <c r="G629" s="6">
        <v>3</v>
      </c>
      <c r="H629" s="6">
        <v>3</v>
      </c>
      <c r="I629" s="6">
        <v>3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3</v>
      </c>
      <c r="T629" s="6">
        <v>3</v>
      </c>
      <c r="U629" s="6">
        <v>3</v>
      </c>
      <c r="V629" s="6">
        <v>3</v>
      </c>
      <c r="W629" s="6">
        <v>3</v>
      </c>
      <c r="X629" s="6">
        <v>3</v>
      </c>
    </row>
    <row r="631" spans="3:24" x14ac:dyDescent="0.25">
      <c r="C631" s="6" t="s">
        <v>50</v>
      </c>
      <c r="D631" s="6">
        <v>4</v>
      </c>
      <c r="E631" s="6">
        <v>4</v>
      </c>
      <c r="F631" s="6">
        <v>4</v>
      </c>
      <c r="G631" s="6">
        <v>3</v>
      </c>
      <c r="H631" s="6">
        <v>3</v>
      </c>
      <c r="I631" s="6">
        <v>3</v>
      </c>
      <c r="J631" s="6">
        <v>2</v>
      </c>
      <c r="K631" s="6">
        <v>2</v>
      </c>
      <c r="L631" s="6">
        <v>2</v>
      </c>
      <c r="M631" s="6">
        <v>2</v>
      </c>
      <c r="N631" s="6">
        <v>2</v>
      </c>
      <c r="O631" s="6">
        <v>2</v>
      </c>
      <c r="P631" s="6">
        <v>2</v>
      </c>
      <c r="Q631" s="6">
        <v>2</v>
      </c>
      <c r="R631" s="6">
        <v>2</v>
      </c>
      <c r="S631" s="6">
        <v>2</v>
      </c>
      <c r="T631" s="6">
        <v>2</v>
      </c>
      <c r="U631" s="6">
        <v>2</v>
      </c>
      <c r="V631" s="6">
        <v>2</v>
      </c>
      <c r="W631" s="6">
        <v>2</v>
      </c>
      <c r="X631" s="6">
        <v>2</v>
      </c>
    </row>
    <row r="633" spans="3:24" x14ac:dyDescent="0.25">
      <c r="C633" s="6" t="s">
        <v>51</v>
      </c>
      <c r="D633" s="6">
        <v>3</v>
      </c>
      <c r="E633" s="6">
        <v>3</v>
      </c>
      <c r="F633" s="6">
        <v>3</v>
      </c>
      <c r="G633" s="6">
        <v>3</v>
      </c>
      <c r="H633" s="6">
        <v>2</v>
      </c>
      <c r="I633" s="6">
        <v>3</v>
      </c>
      <c r="J633" s="6">
        <v>3</v>
      </c>
      <c r="K633" s="6">
        <v>3</v>
      </c>
      <c r="L633" s="6">
        <v>3</v>
      </c>
      <c r="M633" s="6">
        <v>3</v>
      </c>
      <c r="N633" s="6">
        <v>3</v>
      </c>
      <c r="O633" s="6">
        <v>3</v>
      </c>
      <c r="P633" s="6">
        <v>3</v>
      </c>
      <c r="Q633" s="6">
        <v>3</v>
      </c>
      <c r="R633" s="6">
        <v>3</v>
      </c>
      <c r="S633" s="6">
        <v>3</v>
      </c>
      <c r="T633" s="6">
        <v>2</v>
      </c>
      <c r="U633" s="6">
        <v>3</v>
      </c>
      <c r="V633" s="6">
        <v>3</v>
      </c>
      <c r="W633" s="6">
        <v>3</v>
      </c>
      <c r="X633" s="6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9"/>
  <sheetViews>
    <sheetView workbookViewId="0">
      <selection activeCell="F13" sqref="F13"/>
    </sheetView>
  </sheetViews>
  <sheetFormatPr defaultColWidth="8.625" defaultRowHeight="15.75" x14ac:dyDescent="0.25"/>
  <cols>
    <col min="1" max="1" width="8.625" style="1"/>
    <col min="2" max="2" width="13.625" style="35" customWidth="1"/>
    <col min="3" max="4" width="8.625" style="35"/>
    <col min="5" max="16384" width="8.625" style="1"/>
  </cols>
  <sheetData>
    <row r="2" spans="2:5" x14ac:dyDescent="0.25">
      <c r="B2" s="1" t="s">
        <v>0</v>
      </c>
      <c r="C2" s="21" t="s">
        <v>190</v>
      </c>
    </row>
    <row r="3" spans="2:5" x14ac:dyDescent="0.25">
      <c r="B3" s="1" t="s">
        <v>1</v>
      </c>
      <c r="C3" s="4" t="s">
        <v>188</v>
      </c>
    </row>
    <row r="4" spans="2:5" x14ac:dyDescent="0.25">
      <c r="C4" s="35" t="s">
        <v>2</v>
      </c>
    </row>
    <row r="5" spans="2:5" x14ac:dyDescent="0.25">
      <c r="B5" s="36"/>
    </row>
    <row r="6" spans="2:5" s="5" customFormat="1" ht="16.5" thickBot="1" x14ac:dyDescent="0.3">
      <c r="B6" s="37"/>
      <c r="C6" s="37"/>
      <c r="D6" s="37"/>
    </row>
    <row r="7" spans="2:5" ht="16.5" thickTop="1" x14ac:dyDescent="0.25"/>
    <row r="8" spans="2:5" x14ac:dyDescent="0.25">
      <c r="B8" s="38">
        <v>43283</v>
      </c>
      <c r="C8" s="35" t="s">
        <v>188</v>
      </c>
      <c r="D8" s="35">
        <v>1</v>
      </c>
      <c r="E8" s="1" t="s">
        <v>189</v>
      </c>
    </row>
    <row r="9" spans="2:5" s="3" customFormat="1" x14ac:dyDescent="0.25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B1:BS633"/>
  <sheetViews>
    <sheetView workbookViewId="0">
      <selection activeCell="E3" sqref="E3"/>
    </sheetView>
  </sheetViews>
  <sheetFormatPr defaultColWidth="8.875" defaultRowHeight="15.75" x14ac:dyDescent="0.25"/>
  <cols>
    <col min="1" max="16384" width="8.875" style="6"/>
  </cols>
  <sheetData>
    <row r="1" spans="2:71" x14ac:dyDescent="0.25">
      <c r="AA1" s="6" t="s">
        <v>187</v>
      </c>
      <c r="AX1" s="6" t="s">
        <v>186</v>
      </c>
    </row>
    <row r="2" spans="2:71" ht="16.5" x14ac:dyDescent="0.25">
      <c r="B2" s="6" t="s">
        <v>182</v>
      </c>
      <c r="C2" s="34">
        <f>SUM(E3:Y633)</f>
        <v>0</v>
      </c>
      <c r="E2" s="6" t="s">
        <v>183</v>
      </c>
      <c r="O2" s="6" t="s">
        <v>184</v>
      </c>
      <c r="Y2" s="6" t="s">
        <v>185</v>
      </c>
      <c r="AB2" s="6" t="s">
        <v>183</v>
      </c>
      <c r="AL2" s="6" t="s">
        <v>184</v>
      </c>
      <c r="AV2" s="6" t="s">
        <v>185</v>
      </c>
      <c r="AY2" s="6" t="s">
        <v>183</v>
      </c>
      <c r="BI2" s="6" t="s">
        <v>184</v>
      </c>
      <c r="BS2" s="6" t="s">
        <v>185</v>
      </c>
    </row>
    <row r="3" spans="2:71" x14ac:dyDescent="0.25">
      <c r="D3" s="6" t="s">
        <v>50</v>
      </c>
      <c r="E3" s="6">
        <f>IF(AB3=AY3,0,1)</f>
        <v>0</v>
      </c>
      <c r="F3" s="6">
        <f t="shared" ref="F3:Y3" si="0">IF(AC3=AZ3,0,1)</f>
        <v>0</v>
      </c>
      <c r="G3" s="6">
        <f t="shared" si="0"/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AA3" s="6" t="str">
        <f>IF(最佳化斷筋點!C3="","",最佳化斷筋點!C3)</f>
        <v>上層</v>
      </c>
      <c r="AB3" s="6">
        <f>IF(最佳化斷筋點!D3="","",最佳化斷筋點!D3)</f>
        <v>2</v>
      </c>
      <c r="AC3" s="6">
        <f>IF(最佳化斷筋點!E3="","",最佳化斷筋點!E3)</f>
        <v>2</v>
      </c>
      <c r="AD3" s="6">
        <f>IF(最佳化斷筋點!F3="","",最佳化斷筋點!F3)</f>
        <v>2</v>
      </c>
      <c r="AE3" s="6">
        <f>IF(最佳化斷筋點!G3="","",最佳化斷筋點!G3)</f>
        <v>2</v>
      </c>
      <c r="AF3" s="6">
        <f>IF(最佳化斷筋點!H3="","",最佳化斷筋點!H3)</f>
        <v>2</v>
      </c>
      <c r="AG3" s="6">
        <f>IF(最佳化斷筋點!I3="","",最佳化斷筋點!I3)</f>
        <v>2</v>
      </c>
      <c r="AH3" s="6">
        <f>IF(最佳化斷筋點!J3="","",最佳化斷筋點!J3)</f>
        <v>2</v>
      </c>
      <c r="AI3" s="6">
        <f>IF(最佳化斷筋點!K3="","",最佳化斷筋點!K3)</f>
        <v>2</v>
      </c>
      <c r="AJ3" s="6">
        <f>IF(最佳化斷筋點!L3="","",最佳化斷筋點!L3)</f>
        <v>2</v>
      </c>
      <c r="AK3" s="6">
        <f>IF(最佳化斷筋點!M3="","",最佳化斷筋點!M3)</f>
        <v>2</v>
      </c>
      <c r="AL3" s="6">
        <f>IF(最佳化斷筋點!N3="","",最佳化斷筋點!N3)</f>
        <v>2</v>
      </c>
      <c r="AM3" s="6">
        <f>IF(最佳化斷筋點!O3="","",最佳化斷筋點!O3)</f>
        <v>2</v>
      </c>
      <c r="AN3" s="6">
        <f>IF(最佳化斷筋點!P3="","",最佳化斷筋點!P3)</f>
        <v>2</v>
      </c>
      <c r="AO3" s="6">
        <f>IF(最佳化斷筋點!Q3="","",最佳化斷筋點!Q3)</f>
        <v>2</v>
      </c>
      <c r="AP3" s="6">
        <f>IF(最佳化斷筋點!R3="","",最佳化斷筋點!R3)</f>
        <v>2</v>
      </c>
      <c r="AQ3" s="6">
        <f>IF(最佳化斷筋點!S3="","",最佳化斷筋點!S3)</f>
        <v>2</v>
      </c>
      <c r="AR3" s="6">
        <f>IF(最佳化斷筋點!T3="","",最佳化斷筋點!T3)</f>
        <v>2</v>
      </c>
      <c r="AS3" s="6">
        <f>IF(最佳化斷筋點!U3="","",最佳化斷筋點!U3)</f>
        <v>2</v>
      </c>
      <c r="AT3" s="6">
        <f>IF(最佳化斷筋點!V3="","",最佳化斷筋點!V3)</f>
        <v>2</v>
      </c>
      <c r="AU3" s="6">
        <f>IF(最佳化斷筋點!W3="","",最佳化斷筋點!W3)</f>
        <v>2</v>
      </c>
      <c r="AV3" s="6">
        <f>IF(最佳化斷筋點!X3="","",最佳化斷筋點!X3)</f>
        <v>2</v>
      </c>
      <c r="AX3" s="6" t="s">
        <v>50</v>
      </c>
      <c r="AY3" s="6">
        <v>2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</row>
    <row r="4" spans="2:71" x14ac:dyDescent="0.25">
      <c r="E4" s="6">
        <f t="shared" ref="E4:E67" si="1">IF(AB4=AY4,0,1)</f>
        <v>0</v>
      </c>
      <c r="F4" s="6">
        <f t="shared" ref="F4:F67" si="2">IF(AC4=AZ4,0,1)</f>
        <v>0</v>
      </c>
      <c r="G4" s="6">
        <f t="shared" ref="G4:G67" si="3">IF(AD4=BA4,0,1)</f>
        <v>0</v>
      </c>
      <c r="H4" s="6">
        <f t="shared" ref="H4:H67" si="4">IF(AE4=BB4,0,1)</f>
        <v>0</v>
      </c>
      <c r="I4" s="6">
        <f t="shared" ref="I4:I67" si="5">IF(AF4=BC4,0,1)</f>
        <v>0</v>
      </c>
      <c r="J4" s="6">
        <f t="shared" ref="J4:J67" si="6">IF(AG4=BD4,0,1)</f>
        <v>0</v>
      </c>
      <c r="K4" s="6">
        <f t="shared" ref="K4:K67" si="7">IF(AH4=BE4,0,1)</f>
        <v>0</v>
      </c>
      <c r="L4" s="6">
        <f t="shared" ref="L4:L67" si="8">IF(AI4=BF4,0,1)</f>
        <v>0</v>
      </c>
      <c r="M4" s="6">
        <f t="shared" ref="M4:M67" si="9">IF(AJ4=BG4,0,1)</f>
        <v>0</v>
      </c>
      <c r="N4" s="6">
        <f t="shared" ref="N4:N67" si="10">IF(AK4=BH4,0,1)</f>
        <v>0</v>
      </c>
      <c r="O4" s="6">
        <f t="shared" ref="O4:O67" si="11">IF(AL4=BI4,0,1)</f>
        <v>0</v>
      </c>
      <c r="P4" s="6">
        <f t="shared" ref="P4:P67" si="12">IF(AM4=BJ4,0,1)</f>
        <v>0</v>
      </c>
      <c r="Q4" s="6">
        <f t="shared" ref="Q4:Q67" si="13">IF(AN4=BK4,0,1)</f>
        <v>0</v>
      </c>
      <c r="R4" s="6">
        <f t="shared" ref="R4:R67" si="14">IF(AO4=BL4,0,1)</f>
        <v>0</v>
      </c>
      <c r="S4" s="6">
        <f t="shared" ref="S4:S67" si="15">IF(AP4=BM4,0,1)</f>
        <v>0</v>
      </c>
      <c r="T4" s="6">
        <f t="shared" ref="T4:T67" si="16">IF(AQ4=BN4,0,1)</f>
        <v>0</v>
      </c>
      <c r="U4" s="6">
        <f t="shared" ref="U4:U67" si="17">IF(AR4=BO4,0,1)</f>
        <v>0</v>
      </c>
      <c r="V4" s="6">
        <f t="shared" ref="V4:V67" si="18">IF(AS4=BP4,0,1)</f>
        <v>0</v>
      </c>
      <c r="W4" s="6">
        <f t="shared" ref="W4:W67" si="19">IF(AT4=BQ4,0,1)</f>
        <v>0</v>
      </c>
      <c r="X4" s="6">
        <f t="shared" ref="X4:X67" si="20">IF(AU4=BR4,0,1)</f>
        <v>0</v>
      </c>
      <c r="Y4" s="6">
        <f t="shared" ref="Y4:Y67" si="21">IF(AV4=BS4,0,1)</f>
        <v>0</v>
      </c>
      <c r="AA4" s="6" t="str">
        <f>IF(最佳化斷筋點!C4="","",最佳化斷筋點!C4)</f>
        <v/>
      </c>
      <c r="AB4" s="6" t="str">
        <f>IF(最佳化斷筋點!D4="","",最佳化斷筋點!D4)</f>
        <v/>
      </c>
      <c r="AC4" s="6" t="str">
        <f>IF(最佳化斷筋點!E4="","",最佳化斷筋點!E4)</f>
        <v/>
      </c>
      <c r="AD4" s="6" t="str">
        <f>IF(最佳化斷筋點!F4="","",最佳化斷筋點!F4)</f>
        <v/>
      </c>
      <c r="AE4" s="6" t="str">
        <f>IF(最佳化斷筋點!G4="","",最佳化斷筋點!G4)</f>
        <v/>
      </c>
      <c r="AF4" s="6" t="str">
        <f>IF(最佳化斷筋點!H4="","",最佳化斷筋點!H4)</f>
        <v/>
      </c>
      <c r="AG4" s="6" t="str">
        <f>IF(最佳化斷筋點!I4="","",最佳化斷筋點!I4)</f>
        <v/>
      </c>
      <c r="AH4" s="6" t="str">
        <f>IF(最佳化斷筋點!J4="","",最佳化斷筋點!J4)</f>
        <v/>
      </c>
      <c r="AI4" s="6" t="str">
        <f>IF(最佳化斷筋點!K4="","",最佳化斷筋點!K4)</f>
        <v/>
      </c>
      <c r="AJ4" s="6" t="str">
        <f>IF(最佳化斷筋點!L4="","",最佳化斷筋點!L4)</f>
        <v/>
      </c>
      <c r="AK4" s="6" t="str">
        <f>IF(最佳化斷筋點!M4="","",最佳化斷筋點!M4)</f>
        <v/>
      </c>
      <c r="AL4" s="6" t="str">
        <f>IF(最佳化斷筋點!N4="","",最佳化斷筋點!N4)</f>
        <v/>
      </c>
      <c r="AM4" s="6" t="str">
        <f>IF(最佳化斷筋點!O4="","",最佳化斷筋點!O4)</f>
        <v/>
      </c>
      <c r="AN4" s="6" t="str">
        <f>IF(最佳化斷筋點!P4="","",最佳化斷筋點!P4)</f>
        <v/>
      </c>
      <c r="AO4" s="6" t="str">
        <f>IF(最佳化斷筋點!Q4="","",最佳化斷筋點!Q4)</f>
        <v/>
      </c>
      <c r="AP4" s="6" t="str">
        <f>IF(最佳化斷筋點!R4="","",最佳化斷筋點!R4)</f>
        <v/>
      </c>
      <c r="AQ4" s="6" t="str">
        <f>IF(最佳化斷筋點!S4="","",最佳化斷筋點!S4)</f>
        <v/>
      </c>
      <c r="AR4" s="6" t="str">
        <f>IF(最佳化斷筋點!T4="","",最佳化斷筋點!T4)</f>
        <v/>
      </c>
      <c r="AS4" s="6" t="str">
        <f>IF(最佳化斷筋點!U4="","",最佳化斷筋點!U4)</f>
        <v/>
      </c>
      <c r="AT4" s="6" t="str">
        <f>IF(最佳化斷筋點!V4="","",最佳化斷筋點!V4)</f>
        <v/>
      </c>
      <c r="AU4" s="6" t="str">
        <f>IF(最佳化斷筋點!W4="","",最佳化斷筋點!W4)</f>
        <v/>
      </c>
      <c r="AV4" s="6" t="str">
        <f>IF(最佳化斷筋點!X4="","",最佳化斷筋點!X4)</f>
        <v/>
      </c>
    </row>
    <row r="5" spans="2:71" x14ac:dyDescent="0.25">
      <c r="D5" s="6" t="s">
        <v>51</v>
      </c>
      <c r="E5" s="6">
        <f t="shared" si="1"/>
        <v>0</v>
      </c>
      <c r="F5" s="6">
        <f t="shared" si="2"/>
        <v>0</v>
      </c>
      <c r="G5" s="6">
        <f t="shared" si="3"/>
        <v>0</v>
      </c>
      <c r="H5" s="6">
        <f t="shared" si="4"/>
        <v>0</v>
      </c>
      <c r="I5" s="6">
        <f t="shared" si="5"/>
        <v>0</v>
      </c>
      <c r="J5" s="6">
        <f t="shared" si="6"/>
        <v>0</v>
      </c>
      <c r="K5" s="6">
        <f t="shared" si="7"/>
        <v>0</v>
      </c>
      <c r="L5" s="6">
        <f t="shared" si="8"/>
        <v>0</v>
      </c>
      <c r="M5" s="6">
        <f t="shared" si="9"/>
        <v>0</v>
      </c>
      <c r="N5" s="6">
        <f t="shared" si="10"/>
        <v>0</v>
      </c>
      <c r="O5" s="6">
        <f t="shared" si="11"/>
        <v>0</v>
      </c>
      <c r="P5" s="6">
        <f t="shared" si="12"/>
        <v>0</v>
      </c>
      <c r="Q5" s="6">
        <f t="shared" si="13"/>
        <v>0</v>
      </c>
      <c r="R5" s="6">
        <f t="shared" si="14"/>
        <v>0</v>
      </c>
      <c r="S5" s="6">
        <f t="shared" si="15"/>
        <v>0</v>
      </c>
      <c r="T5" s="6">
        <f t="shared" si="16"/>
        <v>0</v>
      </c>
      <c r="U5" s="6">
        <f t="shared" si="17"/>
        <v>0</v>
      </c>
      <c r="V5" s="6">
        <f t="shared" si="18"/>
        <v>0</v>
      </c>
      <c r="W5" s="6">
        <f t="shared" si="19"/>
        <v>0</v>
      </c>
      <c r="X5" s="6">
        <f t="shared" si="20"/>
        <v>0</v>
      </c>
      <c r="Y5" s="6">
        <f t="shared" si="21"/>
        <v>0</v>
      </c>
      <c r="AA5" s="6" t="str">
        <f>IF(最佳化斷筋點!C5="","",最佳化斷筋點!C5)</f>
        <v>下層</v>
      </c>
      <c r="AB5" s="6">
        <f>IF(最佳化斷筋點!D5="","",最佳化斷筋點!D5)</f>
        <v>12</v>
      </c>
      <c r="AC5" s="6">
        <f>IF(最佳化斷筋點!E5="","",最佳化斷筋點!E5)</f>
        <v>11</v>
      </c>
      <c r="AD5" s="6">
        <f>IF(最佳化斷筋點!F5="","",最佳化斷筋點!F5)</f>
        <v>10</v>
      </c>
      <c r="AE5" s="6">
        <f>IF(最佳化斷筋點!G5="","",最佳化斷筋點!G5)</f>
        <v>9</v>
      </c>
      <c r="AF5" s="6">
        <f>IF(最佳化斷筋點!H5="","",最佳化斷筋點!H5)</f>
        <v>9</v>
      </c>
      <c r="AG5" s="6">
        <f>IF(最佳化斷筋點!I5="","",最佳化斷筋點!I5)</f>
        <v>11</v>
      </c>
      <c r="AH5" s="6">
        <f>IF(最佳化斷筋點!J5="","",最佳化斷筋點!J5)</f>
        <v>12</v>
      </c>
      <c r="AI5" s="6">
        <f>IF(最佳化斷筋點!K5="","",最佳化斷筋點!K5)</f>
        <v>13</v>
      </c>
      <c r="AJ5" s="6">
        <f>IF(最佳化斷筋點!L5="","",最佳化斷筋點!L5)</f>
        <v>14</v>
      </c>
      <c r="AK5" s="6">
        <f>IF(最佳化斷筋點!M5="","",最佳化斷筋點!M5)</f>
        <v>14</v>
      </c>
      <c r="AL5" s="6">
        <f>IF(最佳化斷筋點!N5="","",最佳化斷筋點!N5)</f>
        <v>14</v>
      </c>
      <c r="AM5" s="6">
        <f>IF(最佳化斷筋點!O5="","",最佳化斷筋點!O5)</f>
        <v>14</v>
      </c>
      <c r="AN5" s="6">
        <f>IF(最佳化斷筋點!P5="","",最佳化斷筋點!P5)</f>
        <v>14</v>
      </c>
      <c r="AO5" s="6">
        <f>IF(最佳化斷筋點!Q5="","",最佳化斷筋點!Q5)</f>
        <v>13</v>
      </c>
      <c r="AP5" s="6">
        <f>IF(最佳化斷筋點!R5="","",最佳化斷筋點!R5)</f>
        <v>12</v>
      </c>
      <c r="AQ5" s="6">
        <f>IF(最佳化斷筋點!S5="","",最佳化斷筋點!S5)</f>
        <v>11</v>
      </c>
      <c r="AR5" s="6">
        <f>IF(最佳化斷筋點!T5="","",最佳化斷筋點!T5)</f>
        <v>9</v>
      </c>
      <c r="AS5" s="6">
        <f>IF(最佳化斷筋點!U5="","",最佳化斷筋點!U5)</f>
        <v>9</v>
      </c>
      <c r="AT5" s="6">
        <f>IF(最佳化斷筋點!V5="","",最佳化斷筋點!V5)</f>
        <v>10</v>
      </c>
      <c r="AU5" s="6">
        <f>IF(最佳化斷筋點!W5="","",最佳化斷筋點!W5)</f>
        <v>11</v>
      </c>
      <c r="AV5" s="6">
        <f>IF(最佳化斷筋點!X5="","",最佳化斷筋點!X5)</f>
        <v>12</v>
      </c>
      <c r="AX5" s="6" t="s">
        <v>51</v>
      </c>
      <c r="AY5" s="6">
        <v>12</v>
      </c>
      <c r="AZ5" s="6">
        <v>11</v>
      </c>
      <c r="BA5" s="6">
        <v>10</v>
      </c>
      <c r="BB5" s="6">
        <v>9</v>
      </c>
      <c r="BC5" s="6">
        <v>9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13</v>
      </c>
      <c r="BM5" s="6">
        <v>12</v>
      </c>
      <c r="BN5" s="6">
        <v>11</v>
      </c>
      <c r="BO5" s="6">
        <v>9</v>
      </c>
      <c r="BP5" s="6">
        <v>9</v>
      </c>
      <c r="BQ5" s="6">
        <v>10</v>
      </c>
      <c r="BR5" s="6">
        <v>11</v>
      </c>
      <c r="BS5" s="6">
        <v>12</v>
      </c>
    </row>
    <row r="6" spans="2:71" x14ac:dyDescent="0.25">
      <c r="E6" s="6">
        <f t="shared" si="1"/>
        <v>0</v>
      </c>
      <c r="F6" s="6">
        <f t="shared" si="2"/>
        <v>0</v>
      </c>
      <c r="G6" s="6">
        <f t="shared" si="3"/>
        <v>0</v>
      </c>
      <c r="H6" s="6">
        <f t="shared" si="4"/>
        <v>0</v>
      </c>
      <c r="I6" s="6">
        <f t="shared" si="5"/>
        <v>0</v>
      </c>
      <c r="J6" s="6">
        <f t="shared" si="6"/>
        <v>0</v>
      </c>
      <c r="K6" s="6">
        <f t="shared" si="7"/>
        <v>0</v>
      </c>
      <c r="L6" s="6">
        <f t="shared" si="8"/>
        <v>0</v>
      </c>
      <c r="M6" s="6">
        <f t="shared" si="9"/>
        <v>0</v>
      </c>
      <c r="N6" s="6">
        <f t="shared" si="10"/>
        <v>0</v>
      </c>
      <c r="O6" s="6">
        <f t="shared" si="11"/>
        <v>0</v>
      </c>
      <c r="P6" s="6">
        <f t="shared" si="12"/>
        <v>0</v>
      </c>
      <c r="Q6" s="6">
        <f t="shared" si="13"/>
        <v>0</v>
      </c>
      <c r="R6" s="6">
        <f t="shared" si="14"/>
        <v>0</v>
      </c>
      <c r="S6" s="6">
        <f t="shared" si="15"/>
        <v>0</v>
      </c>
      <c r="T6" s="6">
        <f t="shared" si="16"/>
        <v>0</v>
      </c>
      <c r="U6" s="6">
        <f t="shared" si="17"/>
        <v>0</v>
      </c>
      <c r="V6" s="6">
        <f t="shared" si="18"/>
        <v>0</v>
      </c>
      <c r="W6" s="6">
        <f t="shared" si="19"/>
        <v>0</v>
      </c>
      <c r="X6" s="6">
        <f t="shared" si="20"/>
        <v>0</v>
      </c>
      <c r="Y6" s="6">
        <f t="shared" si="21"/>
        <v>0</v>
      </c>
      <c r="AA6" s="6" t="str">
        <f>IF(最佳化斷筋點!C6="","",最佳化斷筋點!C6)</f>
        <v/>
      </c>
      <c r="AB6" s="6" t="str">
        <f>IF(最佳化斷筋點!D6="","",最佳化斷筋點!D6)</f>
        <v/>
      </c>
      <c r="AC6" s="6" t="str">
        <f>IF(最佳化斷筋點!E6="","",最佳化斷筋點!E6)</f>
        <v/>
      </c>
      <c r="AD6" s="6" t="str">
        <f>IF(最佳化斷筋點!F6="","",最佳化斷筋點!F6)</f>
        <v/>
      </c>
      <c r="AE6" s="6" t="str">
        <f>IF(最佳化斷筋點!G6="","",最佳化斷筋點!G6)</f>
        <v/>
      </c>
      <c r="AF6" s="6" t="str">
        <f>IF(最佳化斷筋點!H6="","",最佳化斷筋點!H6)</f>
        <v/>
      </c>
      <c r="AG6" s="6" t="str">
        <f>IF(最佳化斷筋點!I6="","",最佳化斷筋點!I6)</f>
        <v/>
      </c>
      <c r="AH6" s="6" t="str">
        <f>IF(最佳化斷筋點!J6="","",最佳化斷筋點!J6)</f>
        <v/>
      </c>
      <c r="AI6" s="6" t="str">
        <f>IF(最佳化斷筋點!K6="","",最佳化斷筋點!K6)</f>
        <v/>
      </c>
      <c r="AJ6" s="6" t="str">
        <f>IF(最佳化斷筋點!L6="","",最佳化斷筋點!L6)</f>
        <v/>
      </c>
      <c r="AK6" s="6" t="str">
        <f>IF(最佳化斷筋點!M6="","",最佳化斷筋點!M6)</f>
        <v/>
      </c>
      <c r="AL6" s="6" t="str">
        <f>IF(最佳化斷筋點!N6="","",最佳化斷筋點!N6)</f>
        <v/>
      </c>
      <c r="AM6" s="6" t="str">
        <f>IF(最佳化斷筋點!O6="","",最佳化斷筋點!O6)</f>
        <v/>
      </c>
      <c r="AN6" s="6" t="str">
        <f>IF(最佳化斷筋點!P6="","",最佳化斷筋點!P6)</f>
        <v/>
      </c>
      <c r="AO6" s="6" t="str">
        <f>IF(最佳化斷筋點!Q6="","",最佳化斷筋點!Q6)</f>
        <v/>
      </c>
      <c r="AP6" s="6" t="str">
        <f>IF(最佳化斷筋點!R6="","",最佳化斷筋點!R6)</f>
        <v/>
      </c>
      <c r="AQ6" s="6" t="str">
        <f>IF(最佳化斷筋點!S6="","",最佳化斷筋點!S6)</f>
        <v/>
      </c>
      <c r="AR6" s="6" t="str">
        <f>IF(最佳化斷筋點!T6="","",最佳化斷筋點!T6)</f>
        <v/>
      </c>
      <c r="AS6" s="6" t="str">
        <f>IF(最佳化斷筋點!U6="","",最佳化斷筋點!U6)</f>
        <v/>
      </c>
      <c r="AT6" s="6" t="str">
        <f>IF(最佳化斷筋點!V6="","",最佳化斷筋點!V6)</f>
        <v/>
      </c>
      <c r="AU6" s="6" t="str">
        <f>IF(最佳化斷筋點!W6="","",最佳化斷筋點!W6)</f>
        <v/>
      </c>
      <c r="AV6" s="6" t="str">
        <f>IF(最佳化斷筋點!X6="","",最佳化斷筋點!X6)</f>
        <v/>
      </c>
    </row>
    <row r="7" spans="2:71" x14ac:dyDescent="0.25">
      <c r="D7" s="6" t="s">
        <v>50</v>
      </c>
      <c r="E7" s="6">
        <f t="shared" si="1"/>
        <v>0</v>
      </c>
      <c r="F7" s="6">
        <f t="shared" si="2"/>
        <v>0</v>
      </c>
      <c r="G7" s="6">
        <f t="shared" si="3"/>
        <v>0</v>
      </c>
      <c r="H7" s="6">
        <f t="shared" si="4"/>
        <v>0</v>
      </c>
      <c r="I7" s="6">
        <f t="shared" si="5"/>
        <v>0</v>
      </c>
      <c r="J7" s="6">
        <f t="shared" si="6"/>
        <v>0</v>
      </c>
      <c r="K7" s="6">
        <f t="shared" si="7"/>
        <v>0</v>
      </c>
      <c r="L7" s="6">
        <f t="shared" si="8"/>
        <v>0</v>
      </c>
      <c r="M7" s="6">
        <f t="shared" si="9"/>
        <v>0</v>
      </c>
      <c r="N7" s="6">
        <f t="shared" si="10"/>
        <v>0</v>
      </c>
      <c r="O7" s="6">
        <f t="shared" si="11"/>
        <v>0</v>
      </c>
      <c r="P7" s="6">
        <f t="shared" si="12"/>
        <v>0</v>
      </c>
      <c r="Q7" s="6">
        <f t="shared" si="13"/>
        <v>0</v>
      </c>
      <c r="R7" s="6">
        <f t="shared" si="14"/>
        <v>0</v>
      </c>
      <c r="S7" s="6">
        <f t="shared" si="15"/>
        <v>0</v>
      </c>
      <c r="T7" s="6">
        <f t="shared" si="16"/>
        <v>0</v>
      </c>
      <c r="U7" s="6">
        <f t="shared" si="17"/>
        <v>0</v>
      </c>
      <c r="V7" s="6">
        <f t="shared" si="18"/>
        <v>0</v>
      </c>
      <c r="W7" s="6">
        <f t="shared" si="19"/>
        <v>0</v>
      </c>
      <c r="X7" s="6">
        <f t="shared" si="20"/>
        <v>0</v>
      </c>
      <c r="Y7" s="6">
        <f t="shared" si="21"/>
        <v>0</v>
      </c>
      <c r="AA7" s="6" t="str">
        <f>IF(最佳化斷筋點!C7="","",最佳化斷筋點!C7)</f>
        <v>上層</v>
      </c>
      <c r="AB7" s="6">
        <f>IF(最佳化斷筋點!D7="","",最佳化斷筋點!D7)</f>
        <v>4</v>
      </c>
      <c r="AC7" s="6">
        <f>IF(最佳化斷筋點!E7="","",最佳化斷筋點!E7)</f>
        <v>4</v>
      </c>
      <c r="AD7" s="6">
        <f>IF(最佳化斷筋點!F7="","",最佳化斷筋點!F7)</f>
        <v>4</v>
      </c>
      <c r="AE7" s="6">
        <f>IF(最佳化斷筋點!G7="","",最佳化斷筋點!G7)</f>
        <v>3</v>
      </c>
      <c r="AF7" s="6">
        <f>IF(最佳化斷筋點!H7="","",最佳化斷筋點!H7)</f>
        <v>3</v>
      </c>
      <c r="AG7" s="6">
        <f>IF(最佳化斷筋點!I7="","",最佳化斷筋點!I7)</f>
        <v>3</v>
      </c>
      <c r="AH7" s="6">
        <f>IF(最佳化斷筋點!J7="","",最佳化斷筋點!J7)</f>
        <v>2</v>
      </c>
      <c r="AI7" s="6">
        <f>IF(最佳化斷筋點!K7="","",最佳化斷筋點!K7)</f>
        <v>2</v>
      </c>
      <c r="AJ7" s="6">
        <f>IF(最佳化斷筋點!L7="","",最佳化斷筋點!L7)</f>
        <v>2</v>
      </c>
      <c r="AK7" s="6">
        <f>IF(最佳化斷筋點!M7="","",最佳化斷筋點!M7)</f>
        <v>2</v>
      </c>
      <c r="AL7" s="6">
        <f>IF(最佳化斷筋點!N7="","",最佳化斷筋點!N7)</f>
        <v>2</v>
      </c>
      <c r="AM7" s="6">
        <f>IF(最佳化斷筋點!O7="","",最佳化斷筋點!O7)</f>
        <v>2</v>
      </c>
      <c r="AN7" s="6">
        <f>IF(最佳化斷筋點!P7="","",最佳化斷筋點!P7)</f>
        <v>2</v>
      </c>
      <c r="AO7" s="6">
        <f>IF(最佳化斷筋點!Q7="","",最佳化斷筋點!Q7)</f>
        <v>2</v>
      </c>
      <c r="AP7" s="6">
        <f>IF(最佳化斷筋點!R7="","",最佳化斷筋點!R7)</f>
        <v>2</v>
      </c>
      <c r="AQ7" s="6">
        <f>IF(最佳化斷筋點!S7="","",最佳化斷筋點!S7)</f>
        <v>2</v>
      </c>
      <c r="AR7" s="6">
        <f>IF(最佳化斷筋點!T7="","",最佳化斷筋點!T7)</f>
        <v>2</v>
      </c>
      <c r="AS7" s="6">
        <f>IF(最佳化斷筋點!U7="","",最佳化斷筋點!U7)</f>
        <v>2</v>
      </c>
      <c r="AT7" s="6">
        <f>IF(最佳化斷筋點!V7="","",最佳化斷筋點!V7)</f>
        <v>2</v>
      </c>
      <c r="AU7" s="6">
        <f>IF(最佳化斷筋點!W7="","",最佳化斷筋點!W7)</f>
        <v>2</v>
      </c>
      <c r="AV7" s="6">
        <f>IF(最佳化斷筋點!X7="","",最佳化斷筋點!X7)</f>
        <v>2</v>
      </c>
      <c r="AX7" s="6" t="s">
        <v>50</v>
      </c>
      <c r="AY7" s="6">
        <v>4</v>
      </c>
      <c r="AZ7" s="6">
        <v>4</v>
      </c>
      <c r="BA7" s="6">
        <v>4</v>
      </c>
      <c r="BB7" s="6">
        <v>3</v>
      </c>
      <c r="BC7" s="6">
        <v>3</v>
      </c>
      <c r="BD7" s="6">
        <v>3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</row>
    <row r="8" spans="2:71" x14ac:dyDescent="0.25">
      <c r="E8" s="6">
        <f t="shared" si="1"/>
        <v>0</v>
      </c>
      <c r="F8" s="6">
        <f t="shared" si="2"/>
        <v>0</v>
      </c>
      <c r="G8" s="6">
        <f t="shared" si="3"/>
        <v>0</v>
      </c>
      <c r="H8" s="6">
        <f t="shared" si="4"/>
        <v>0</v>
      </c>
      <c r="I8" s="6">
        <f t="shared" si="5"/>
        <v>0</v>
      </c>
      <c r="J8" s="6">
        <f t="shared" si="6"/>
        <v>0</v>
      </c>
      <c r="K8" s="6">
        <f t="shared" si="7"/>
        <v>0</v>
      </c>
      <c r="L8" s="6">
        <f t="shared" si="8"/>
        <v>0</v>
      </c>
      <c r="M8" s="6">
        <f t="shared" si="9"/>
        <v>0</v>
      </c>
      <c r="N8" s="6">
        <f t="shared" si="10"/>
        <v>0</v>
      </c>
      <c r="O8" s="6">
        <f t="shared" si="11"/>
        <v>0</v>
      </c>
      <c r="P8" s="6">
        <f t="shared" si="12"/>
        <v>0</v>
      </c>
      <c r="Q8" s="6">
        <f t="shared" si="13"/>
        <v>0</v>
      </c>
      <c r="R8" s="6">
        <f t="shared" si="14"/>
        <v>0</v>
      </c>
      <c r="S8" s="6">
        <f t="shared" si="15"/>
        <v>0</v>
      </c>
      <c r="T8" s="6">
        <f t="shared" si="16"/>
        <v>0</v>
      </c>
      <c r="U8" s="6">
        <f t="shared" si="17"/>
        <v>0</v>
      </c>
      <c r="V8" s="6">
        <f t="shared" si="18"/>
        <v>0</v>
      </c>
      <c r="W8" s="6">
        <f t="shared" si="19"/>
        <v>0</v>
      </c>
      <c r="X8" s="6">
        <f t="shared" si="20"/>
        <v>0</v>
      </c>
      <c r="Y8" s="6">
        <f t="shared" si="21"/>
        <v>0</v>
      </c>
      <c r="AA8" s="6" t="str">
        <f>IF(最佳化斷筋點!C8="","",最佳化斷筋點!C8)</f>
        <v/>
      </c>
      <c r="AB8" s="6" t="str">
        <f>IF(最佳化斷筋點!D8="","",最佳化斷筋點!D8)</f>
        <v/>
      </c>
      <c r="AC8" s="6" t="str">
        <f>IF(最佳化斷筋點!E8="","",最佳化斷筋點!E8)</f>
        <v/>
      </c>
      <c r="AD8" s="6" t="str">
        <f>IF(最佳化斷筋點!F8="","",最佳化斷筋點!F8)</f>
        <v/>
      </c>
      <c r="AE8" s="6" t="str">
        <f>IF(最佳化斷筋點!G8="","",最佳化斷筋點!G8)</f>
        <v/>
      </c>
      <c r="AF8" s="6" t="str">
        <f>IF(最佳化斷筋點!H8="","",最佳化斷筋點!H8)</f>
        <v/>
      </c>
      <c r="AG8" s="6" t="str">
        <f>IF(最佳化斷筋點!I8="","",最佳化斷筋點!I8)</f>
        <v/>
      </c>
      <c r="AH8" s="6" t="str">
        <f>IF(最佳化斷筋點!J8="","",最佳化斷筋點!J8)</f>
        <v/>
      </c>
      <c r="AI8" s="6" t="str">
        <f>IF(最佳化斷筋點!K8="","",最佳化斷筋點!K8)</f>
        <v/>
      </c>
      <c r="AJ8" s="6" t="str">
        <f>IF(最佳化斷筋點!L8="","",最佳化斷筋點!L8)</f>
        <v/>
      </c>
      <c r="AK8" s="6" t="str">
        <f>IF(最佳化斷筋點!M8="","",最佳化斷筋點!M8)</f>
        <v/>
      </c>
      <c r="AL8" s="6" t="str">
        <f>IF(最佳化斷筋點!N8="","",最佳化斷筋點!N8)</f>
        <v/>
      </c>
      <c r="AM8" s="6" t="str">
        <f>IF(最佳化斷筋點!O8="","",最佳化斷筋點!O8)</f>
        <v/>
      </c>
      <c r="AN8" s="6" t="str">
        <f>IF(最佳化斷筋點!P8="","",最佳化斷筋點!P8)</f>
        <v/>
      </c>
      <c r="AO8" s="6" t="str">
        <f>IF(最佳化斷筋點!Q8="","",最佳化斷筋點!Q8)</f>
        <v/>
      </c>
      <c r="AP8" s="6" t="str">
        <f>IF(最佳化斷筋點!R8="","",最佳化斷筋點!R8)</f>
        <v/>
      </c>
      <c r="AQ8" s="6" t="str">
        <f>IF(最佳化斷筋點!S8="","",最佳化斷筋點!S8)</f>
        <v/>
      </c>
      <c r="AR8" s="6" t="str">
        <f>IF(最佳化斷筋點!T8="","",最佳化斷筋點!T8)</f>
        <v/>
      </c>
      <c r="AS8" s="6" t="str">
        <f>IF(最佳化斷筋點!U8="","",最佳化斷筋點!U8)</f>
        <v/>
      </c>
      <c r="AT8" s="6" t="str">
        <f>IF(最佳化斷筋點!V8="","",最佳化斷筋點!V8)</f>
        <v/>
      </c>
      <c r="AU8" s="6" t="str">
        <f>IF(最佳化斷筋點!W8="","",最佳化斷筋點!W8)</f>
        <v/>
      </c>
      <c r="AV8" s="6" t="str">
        <f>IF(最佳化斷筋點!X8="","",最佳化斷筋點!X8)</f>
        <v/>
      </c>
    </row>
    <row r="9" spans="2:71" x14ac:dyDescent="0.25">
      <c r="D9" s="6" t="s">
        <v>51</v>
      </c>
      <c r="E9" s="6">
        <f t="shared" si="1"/>
        <v>0</v>
      </c>
      <c r="F9" s="6">
        <f t="shared" si="2"/>
        <v>0</v>
      </c>
      <c r="G9" s="6">
        <f t="shared" si="3"/>
        <v>0</v>
      </c>
      <c r="H9" s="6">
        <f t="shared" si="4"/>
        <v>0</v>
      </c>
      <c r="I9" s="6">
        <f t="shared" si="5"/>
        <v>0</v>
      </c>
      <c r="J9" s="6">
        <f t="shared" si="6"/>
        <v>0</v>
      </c>
      <c r="K9" s="6">
        <f t="shared" si="7"/>
        <v>0</v>
      </c>
      <c r="L9" s="6">
        <f t="shared" si="8"/>
        <v>0</v>
      </c>
      <c r="M9" s="6">
        <f t="shared" si="9"/>
        <v>0</v>
      </c>
      <c r="N9" s="6">
        <f t="shared" si="10"/>
        <v>0</v>
      </c>
      <c r="O9" s="6">
        <f t="shared" si="11"/>
        <v>0</v>
      </c>
      <c r="P9" s="6">
        <f t="shared" si="12"/>
        <v>0</v>
      </c>
      <c r="Q9" s="6">
        <f t="shared" si="13"/>
        <v>0</v>
      </c>
      <c r="R9" s="6">
        <f t="shared" si="14"/>
        <v>0</v>
      </c>
      <c r="S9" s="6">
        <f t="shared" si="15"/>
        <v>0</v>
      </c>
      <c r="T9" s="6">
        <f t="shared" si="16"/>
        <v>0</v>
      </c>
      <c r="U9" s="6">
        <f t="shared" si="17"/>
        <v>0</v>
      </c>
      <c r="V9" s="6">
        <f t="shared" si="18"/>
        <v>0</v>
      </c>
      <c r="W9" s="6">
        <f t="shared" si="19"/>
        <v>0</v>
      </c>
      <c r="X9" s="6">
        <f t="shared" si="20"/>
        <v>0</v>
      </c>
      <c r="Y9" s="6">
        <f t="shared" si="21"/>
        <v>0</v>
      </c>
      <c r="AA9" s="6" t="str">
        <f>IF(最佳化斷筋點!C9="","",最佳化斷筋點!C9)</f>
        <v>下層</v>
      </c>
      <c r="AB9" s="6">
        <f>IF(最佳化斷筋點!D9="","",最佳化斷筋點!D9)</f>
        <v>3</v>
      </c>
      <c r="AC9" s="6">
        <f>IF(最佳化斷筋點!E9="","",最佳化斷筋點!E9)</f>
        <v>3</v>
      </c>
      <c r="AD9" s="6">
        <f>IF(最佳化斷筋點!F9="","",最佳化斷筋點!F9)</f>
        <v>3</v>
      </c>
      <c r="AE9" s="6">
        <f>IF(最佳化斷筋點!G9="","",最佳化斷筋點!G9)</f>
        <v>3</v>
      </c>
      <c r="AF9" s="6">
        <f>IF(最佳化斷筋點!H9="","",最佳化斷筋點!H9)</f>
        <v>3</v>
      </c>
      <c r="AG9" s="6">
        <f>IF(最佳化斷筋點!I9="","",最佳化斷筋點!I9)</f>
        <v>3</v>
      </c>
      <c r="AH9" s="6">
        <f>IF(最佳化斷筋點!J9="","",最佳化斷筋點!J9)</f>
        <v>4</v>
      </c>
      <c r="AI9" s="6">
        <f>IF(最佳化斷筋點!K9="","",最佳化斷筋點!K9)</f>
        <v>4</v>
      </c>
      <c r="AJ9" s="6">
        <f>IF(最佳化斷筋點!L9="","",最佳化斷筋點!L9)</f>
        <v>4</v>
      </c>
      <c r="AK9" s="6">
        <f>IF(最佳化斷筋點!M9="","",最佳化斷筋點!M9)</f>
        <v>4</v>
      </c>
      <c r="AL9" s="6">
        <f>IF(最佳化斷筋點!N9="","",最佳化斷筋點!N9)</f>
        <v>4</v>
      </c>
      <c r="AM9" s="6">
        <f>IF(最佳化斷筋點!O9="","",最佳化斷筋點!O9)</f>
        <v>4</v>
      </c>
      <c r="AN9" s="6">
        <f>IF(最佳化斷筋點!P9="","",最佳化斷筋點!P9)</f>
        <v>4</v>
      </c>
      <c r="AO9" s="6">
        <f>IF(最佳化斷筋點!Q9="","",最佳化斷筋點!Q9)</f>
        <v>4</v>
      </c>
      <c r="AP9" s="6">
        <f>IF(最佳化斷筋點!R9="","",最佳化斷筋點!R9)</f>
        <v>4</v>
      </c>
      <c r="AQ9" s="6">
        <f>IF(最佳化斷筋點!S9="","",最佳化斷筋點!S9)</f>
        <v>3</v>
      </c>
      <c r="AR9" s="6">
        <f>IF(最佳化斷筋點!T9="","",最佳化斷筋點!T9)</f>
        <v>3</v>
      </c>
      <c r="AS9" s="6">
        <f>IF(最佳化斷筋點!U9="","",最佳化斷筋點!U9)</f>
        <v>3</v>
      </c>
      <c r="AT9" s="6">
        <f>IF(最佳化斷筋點!V9="","",最佳化斷筋點!V9)</f>
        <v>4</v>
      </c>
      <c r="AU9" s="6">
        <f>IF(最佳化斷筋點!W9="","",最佳化斷筋點!W9)</f>
        <v>4</v>
      </c>
      <c r="AV9" s="6">
        <f>IF(最佳化斷筋點!X9="","",最佳化斷筋點!X9)</f>
        <v>4</v>
      </c>
      <c r="AX9" s="6" t="s">
        <v>51</v>
      </c>
      <c r="AY9" s="6">
        <v>3</v>
      </c>
      <c r="AZ9" s="6">
        <v>3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3</v>
      </c>
      <c r="BO9" s="6">
        <v>3</v>
      </c>
      <c r="BP9" s="6">
        <v>3</v>
      </c>
      <c r="BQ9" s="6">
        <v>4</v>
      </c>
      <c r="BR9" s="6">
        <v>4</v>
      </c>
      <c r="BS9" s="6">
        <v>4</v>
      </c>
    </row>
    <row r="10" spans="2:71" x14ac:dyDescent="0.25">
      <c r="E10" s="6">
        <f t="shared" si="1"/>
        <v>0</v>
      </c>
      <c r="F10" s="6">
        <f t="shared" si="2"/>
        <v>0</v>
      </c>
      <c r="G10" s="6">
        <f t="shared" si="3"/>
        <v>0</v>
      </c>
      <c r="H10" s="6">
        <f t="shared" si="4"/>
        <v>0</v>
      </c>
      <c r="I10" s="6">
        <f t="shared" si="5"/>
        <v>0</v>
      </c>
      <c r="J10" s="6">
        <f t="shared" si="6"/>
        <v>0</v>
      </c>
      <c r="K10" s="6">
        <f t="shared" si="7"/>
        <v>0</v>
      </c>
      <c r="L10" s="6">
        <f t="shared" si="8"/>
        <v>0</v>
      </c>
      <c r="M10" s="6">
        <f t="shared" si="9"/>
        <v>0</v>
      </c>
      <c r="N10" s="6">
        <f t="shared" si="10"/>
        <v>0</v>
      </c>
      <c r="O10" s="6">
        <f t="shared" si="11"/>
        <v>0</v>
      </c>
      <c r="P10" s="6">
        <f t="shared" si="12"/>
        <v>0</v>
      </c>
      <c r="Q10" s="6">
        <f t="shared" si="13"/>
        <v>0</v>
      </c>
      <c r="R10" s="6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AA10" s="6" t="str">
        <f>IF(最佳化斷筋點!C10="","",最佳化斷筋點!C10)</f>
        <v/>
      </c>
      <c r="AB10" s="6" t="str">
        <f>IF(最佳化斷筋點!D10="","",最佳化斷筋點!D10)</f>
        <v/>
      </c>
      <c r="AC10" s="6" t="str">
        <f>IF(最佳化斷筋點!E10="","",最佳化斷筋點!E10)</f>
        <v/>
      </c>
      <c r="AD10" s="6" t="str">
        <f>IF(最佳化斷筋點!F10="","",最佳化斷筋點!F10)</f>
        <v/>
      </c>
      <c r="AE10" s="6" t="str">
        <f>IF(最佳化斷筋點!G10="","",最佳化斷筋點!G10)</f>
        <v/>
      </c>
      <c r="AF10" s="6" t="str">
        <f>IF(最佳化斷筋點!H10="","",最佳化斷筋點!H10)</f>
        <v/>
      </c>
      <c r="AG10" s="6" t="str">
        <f>IF(最佳化斷筋點!I10="","",最佳化斷筋點!I10)</f>
        <v/>
      </c>
      <c r="AH10" s="6" t="str">
        <f>IF(最佳化斷筋點!J10="","",最佳化斷筋點!J10)</f>
        <v/>
      </c>
      <c r="AI10" s="6" t="str">
        <f>IF(最佳化斷筋點!K10="","",最佳化斷筋點!K10)</f>
        <v/>
      </c>
      <c r="AJ10" s="6" t="str">
        <f>IF(最佳化斷筋點!L10="","",最佳化斷筋點!L10)</f>
        <v/>
      </c>
      <c r="AK10" s="6" t="str">
        <f>IF(最佳化斷筋點!M10="","",最佳化斷筋點!M10)</f>
        <v/>
      </c>
      <c r="AL10" s="6" t="str">
        <f>IF(最佳化斷筋點!N10="","",最佳化斷筋點!N10)</f>
        <v/>
      </c>
      <c r="AM10" s="6" t="str">
        <f>IF(最佳化斷筋點!O10="","",最佳化斷筋點!O10)</f>
        <v/>
      </c>
      <c r="AN10" s="6" t="str">
        <f>IF(最佳化斷筋點!P10="","",最佳化斷筋點!P10)</f>
        <v/>
      </c>
      <c r="AO10" s="6" t="str">
        <f>IF(最佳化斷筋點!Q10="","",最佳化斷筋點!Q10)</f>
        <v/>
      </c>
      <c r="AP10" s="6" t="str">
        <f>IF(最佳化斷筋點!R10="","",最佳化斷筋點!R10)</f>
        <v/>
      </c>
      <c r="AQ10" s="6" t="str">
        <f>IF(最佳化斷筋點!S10="","",最佳化斷筋點!S10)</f>
        <v/>
      </c>
      <c r="AR10" s="6" t="str">
        <f>IF(最佳化斷筋點!T10="","",最佳化斷筋點!T10)</f>
        <v/>
      </c>
      <c r="AS10" s="6" t="str">
        <f>IF(最佳化斷筋點!U10="","",最佳化斷筋點!U10)</f>
        <v/>
      </c>
      <c r="AT10" s="6" t="str">
        <f>IF(最佳化斷筋點!V10="","",最佳化斷筋點!V10)</f>
        <v/>
      </c>
      <c r="AU10" s="6" t="str">
        <f>IF(最佳化斷筋點!W10="","",最佳化斷筋點!W10)</f>
        <v/>
      </c>
      <c r="AV10" s="6" t="str">
        <f>IF(最佳化斷筋點!X10="","",最佳化斷筋點!X10)</f>
        <v/>
      </c>
    </row>
    <row r="11" spans="2:71" x14ac:dyDescent="0.25">
      <c r="D11" s="6" t="s">
        <v>50</v>
      </c>
      <c r="E11" s="6">
        <f t="shared" si="1"/>
        <v>0</v>
      </c>
      <c r="F11" s="6">
        <f t="shared" si="2"/>
        <v>0</v>
      </c>
      <c r="G11" s="6">
        <f t="shared" si="3"/>
        <v>0</v>
      </c>
      <c r="H11" s="6">
        <f t="shared" si="4"/>
        <v>0</v>
      </c>
      <c r="I11" s="6">
        <f t="shared" si="5"/>
        <v>0</v>
      </c>
      <c r="J11" s="6">
        <f t="shared" si="6"/>
        <v>0</v>
      </c>
      <c r="K11" s="6">
        <f t="shared" si="7"/>
        <v>0</v>
      </c>
      <c r="L11" s="6">
        <f t="shared" si="8"/>
        <v>0</v>
      </c>
      <c r="M11" s="6">
        <f t="shared" si="9"/>
        <v>0</v>
      </c>
      <c r="N11" s="6">
        <f t="shared" si="10"/>
        <v>0</v>
      </c>
      <c r="O11" s="6">
        <f t="shared" si="11"/>
        <v>0</v>
      </c>
      <c r="P11" s="6">
        <f t="shared" si="12"/>
        <v>0</v>
      </c>
      <c r="Q11" s="6">
        <f t="shared" si="13"/>
        <v>0</v>
      </c>
      <c r="R11" s="6">
        <f t="shared" si="14"/>
        <v>0</v>
      </c>
      <c r="S11" s="6">
        <f t="shared" si="15"/>
        <v>0</v>
      </c>
      <c r="T11" s="6">
        <f t="shared" si="16"/>
        <v>0</v>
      </c>
      <c r="U11" s="6">
        <f t="shared" si="17"/>
        <v>0</v>
      </c>
      <c r="V11" s="6">
        <f t="shared" si="18"/>
        <v>0</v>
      </c>
      <c r="W11" s="6">
        <f t="shared" si="19"/>
        <v>0</v>
      </c>
      <c r="X11" s="6">
        <f t="shared" si="20"/>
        <v>0</v>
      </c>
      <c r="Y11" s="6">
        <f t="shared" si="21"/>
        <v>0</v>
      </c>
      <c r="AA11" s="6" t="str">
        <f>IF(最佳化斷筋點!C11="","",最佳化斷筋點!C11)</f>
        <v>上層</v>
      </c>
      <c r="AB11" s="6">
        <f>IF(最佳化斷筋點!D11="","",最佳化斷筋點!D11)</f>
        <v>4</v>
      </c>
      <c r="AC11" s="6">
        <f>IF(最佳化斷筋點!E11="","",最佳化斷筋點!E11)</f>
        <v>4</v>
      </c>
      <c r="AD11" s="6">
        <f>IF(最佳化斷筋點!F11="","",最佳化斷筋點!F11)</f>
        <v>4</v>
      </c>
      <c r="AE11" s="6">
        <f>IF(最佳化斷筋點!G11="","",最佳化斷筋點!G11)</f>
        <v>3</v>
      </c>
      <c r="AF11" s="6">
        <f>IF(最佳化斷筋點!H11="","",最佳化斷筋點!H11)</f>
        <v>3</v>
      </c>
      <c r="AG11" s="6">
        <f>IF(最佳化斷筋點!I11="","",最佳化斷筋點!I11)</f>
        <v>3</v>
      </c>
      <c r="AH11" s="6">
        <f>IF(最佳化斷筋點!J11="","",最佳化斷筋點!J11)</f>
        <v>2</v>
      </c>
      <c r="AI11" s="6">
        <f>IF(最佳化斷筋點!K11="","",最佳化斷筋點!K11)</f>
        <v>2</v>
      </c>
      <c r="AJ11" s="6">
        <f>IF(最佳化斷筋點!L11="","",最佳化斷筋點!L11)</f>
        <v>2</v>
      </c>
      <c r="AK11" s="6">
        <f>IF(最佳化斷筋點!M11="","",最佳化斷筋點!M11)</f>
        <v>2</v>
      </c>
      <c r="AL11" s="6">
        <f>IF(最佳化斷筋點!N11="","",最佳化斷筋點!N11)</f>
        <v>2</v>
      </c>
      <c r="AM11" s="6">
        <f>IF(最佳化斷筋點!O11="","",最佳化斷筋點!O11)</f>
        <v>2</v>
      </c>
      <c r="AN11" s="6">
        <f>IF(最佳化斷筋點!P11="","",最佳化斷筋點!P11)</f>
        <v>2</v>
      </c>
      <c r="AO11" s="6">
        <f>IF(最佳化斷筋點!Q11="","",最佳化斷筋點!Q11)</f>
        <v>2</v>
      </c>
      <c r="AP11" s="6">
        <f>IF(最佳化斷筋點!R11="","",最佳化斷筋點!R11)</f>
        <v>2</v>
      </c>
      <c r="AQ11" s="6">
        <f>IF(最佳化斷筋點!S11="","",最佳化斷筋點!S11)</f>
        <v>2</v>
      </c>
      <c r="AR11" s="6">
        <f>IF(最佳化斷筋點!T11="","",最佳化斷筋點!T11)</f>
        <v>2</v>
      </c>
      <c r="AS11" s="6">
        <f>IF(最佳化斷筋點!U11="","",最佳化斷筋點!U11)</f>
        <v>2</v>
      </c>
      <c r="AT11" s="6">
        <f>IF(最佳化斷筋點!V11="","",最佳化斷筋點!V11)</f>
        <v>2</v>
      </c>
      <c r="AU11" s="6">
        <f>IF(最佳化斷筋點!W11="","",最佳化斷筋點!W11)</f>
        <v>2</v>
      </c>
      <c r="AV11" s="6">
        <f>IF(最佳化斷筋點!X11="","",最佳化斷筋點!X11)</f>
        <v>2</v>
      </c>
      <c r="AX11" s="6" t="s">
        <v>50</v>
      </c>
      <c r="AY11" s="6">
        <v>4</v>
      </c>
      <c r="AZ11" s="6">
        <v>4</v>
      </c>
      <c r="BA11" s="6">
        <v>4</v>
      </c>
      <c r="BB11" s="6">
        <v>3</v>
      </c>
      <c r="BC11" s="6">
        <v>3</v>
      </c>
      <c r="BD11" s="6">
        <v>3</v>
      </c>
      <c r="BE11" s="6">
        <v>2</v>
      </c>
      <c r="BF11" s="6">
        <v>2</v>
      </c>
      <c r="BG11" s="6">
        <v>2</v>
      </c>
      <c r="BH11" s="6">
        <v>2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</row>
    <row r="12" spans="2:71" x14ac:dyDescent="0.25">
      <c r="E12" s="6">
        <f t="shared" si="1"/>
        <v>0</v>
      </c>
      <c r="F12" s="6">
        <f t="shared" si="2"/>
        <v>0</v>
      </c>
      <c r="G12" s="6">
        <f t="shared" si="3"/>
        <v>0</v>
      </c>
      <c r="H12" s="6">
        <f t="shared" si="4"/>
        <v>0</v>
      </c>
      <c r="I12" s="6">
        <f t="shared" si="5"/>
        <v>0</v>
      </c>
      <c r="J12" s="6">
        <f t="shared" si="6"/>
        <v>0</v>
      </c>
      <c r="K12" s="6">
        <f t="shared" si="7"/>
        <v>0</v>
      </c>
      <c r="L12" s="6">
        <f t="shared" si="8"/>
        <v>0</v>
      </c>
      <c r="M12" s="6">
        <f t="shared" si="9"/>
        <v>0</v>
      </c>
      <c r="N12" s="6">
        <f t="shared" si="10"/>
        <v>0</v>
      </c>
      <c r="O12" s="6">
        <f t="shared" si="11"/>
        <v>0</v>
      </c>
      <c r="P12" s="6">
        <f t="shared" si="12"/>
        <v>0</v>
      </c>
      <c r="Q12" s="6">
        <f t="shared" si="13"/>
        <v>0</v>
      </c>
      <c r="R12" s="6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AA12" s="6" t="str">
        <f>IF(最佳化斷筋點!C12="","",最佳化斷筋點!C12)</f>
        <v/>
      </c>
      <c r="AB12" s="6" t="str">
        <f>IF(最佳化斷筋點!D12="","",最佳化斷筋點!D12)</f>
        <v/>
      </c>
      <c r="AC12" s="6" t="str">
        <f>IF(最佳化斷筋點!E12="","",最佳化斷筋點!E12)</f>
        <v/>
      </c>
      <c r="AD12" s="6" t="str">
        <f>IF(最佳化斷筋點!F12="","",最佳化斷筋點!F12)</f>
        <v/>
      </c>
      <c r="AE12" s="6" t="str">
        <f>IF(最佳化斷筋點!G12="","",最佳化斷筋點!G12)</f>
        <v/>
      </c>
      <c r="AF12" s="6" t="str">
        <f>IF(最佳化斷筋點!H12="","",最佳化斷筋點!H12)</f>
        <v/>
      </c>
      <c r="AG12" s="6" t="str">
        <f>IF(最佳化斷筋點!I12="","",最佳化斷筋點!I12)</f>
        <v/>
      </c>
      <c r="AH12" s="6" t="str">
        <f>IF(最佳化斷筋點!J12="","",最佳化斷筋點!J12)</f>
        <v/>
      </c>
      <c r="AI12" s="6" t="str">
        <f>IF(最佳化斷筋點!K12="","",最佳化斷筋點!K12)</f>
        <v/>
      </c>
      <c r="AJ12" s="6" t="str">
        <f>IF(最佳化斷筋點!L12="","",最佳化斷筋點!L12)</f>
        <v/>
      </c>
      <c r="AK12" s="6" t="str">
        <f>IF(最佳化斷筋點!M12="","",最佳化斷筋點!M12)</f>
        <v/>
      </c>
      <c r="AL12" s="6" t="str">
        <f>IF(最佳化斷筋點!N12="","",最佳化斷筋點!N12)</f>
        <v/>
      </c>
      <c r="AM12" s="6" t="str">
        <f>IF(最佳化斷筋點!O12="","",最佳化斷筋點!O12)</f>
        <v/>
      </c>
      <c r="AN12" s="6" t="str">
        <f>IF(最佳化斷筋點!P12="","",最佳化斷筋點!P12)</f>
        <v/>
      </c>
      <c r="AO12" s="6" t="str">
        <f>IF(最佳化斷筋點!Q12="","",最佳化斷筋點!Q12)</f>
        <v/>
      </c>
      <c r="AP12" s="6" t="str">
        <f>IF(最佳化斷筋點!R12="","",最佳化斷筋點!R12)</f>
        <v/>
      </c>
      <c r="AQ12" s="6" t="str">
        <f>IF(最佳化斷筋點!S12="","",最佳化斷筋點!S12)</f>
        <v/>
      </c>
      <c r="AR12" s="6" t="str">
        <f>IF(最佳化斷筋點!T12="","",最佳化斷筋點!T12)</f>
        <v/>
      </c>
      <c r="AS12" s="6" t="str">
        <f>IF(最佳化斷筋點!U12="","",最佳化斷筋點!U12)</f>
        <v/>
      </c>
      <c r="AT12" s="6" t="str">
        <f>IF(最佳化斷筋點!V12="","",最佳化斷筋點!V12)</f>
        <v/>
      </c>
      <c r="AU12" s="6" t="str">
        <f>IF(最佳化斷筋點!W12="","",最佳化斷筋點!W12)</f>
        <v/>
      </c>
      <c r="AV12" s="6" t="str">
        <f>IF(最佳化斷筋點!X12="","",最佳化斷筋點!X12)</f>
        <v/>
      </c>
    </row>
    <row r="13" spans="2:71" x14ac:dyDescent="0.25">
      <c r="D13" s="6" t="s">
        <v>51</v>
      </c>
      <c r="E13" s="6">
        <f t="shared" si="1"/>
        <v>0</v>
      </c>
      <c r="F13" s="6">
        <f t="shared" si="2"/>
        <v>0</v>
      </c>
      <c r="G13" s="6">
        <f t="shared" si="3"/>
        <v>0</v>
      </c>
      <c r="H13" s="6">
        <f t="shared" si="4"/>
        <v>0</v>
      </c>
      <c r="I13" s="6">
        <f t="shared" si="5"/>
        <v>0</v>
      </c>
      <c r="J13" s="6">
        <f t="shared" si="6"/>
        <v>0</v>
      </c>
      <c r="K13" s="6">
        <f t="shared" si="7"/>
        <v>0</v>
      </c>
      <c r="L13" s="6">
        <f t="shared" si="8"/>
        <v>0</v>
      </c>
      <c r="M13" s="6">
        <f t="shared" si="9"/>
        <v>0</v>
      </c>
      <c r="N13" s="6">
        <f t="shared" si="10"/>
        <v>0</v>
      </c>
      <c r="O13" s="6">
        <f t="shared" si="11"/>
        <v>0</v>
      </c>
      <c r="P13" s="6">
        <f t="shared" si="12"/>
        <v>0</v>
      </c>
      <c r="Q13" s="6">
        <f t="shared" si="13"/>
        <v>0</v>
      </c>
      <c r="R13" s="6">
        <f t="shared" si="14"/>
        <v>0</v>
      </c>
      <c r="S13" s="6">
        <f t="shared" si="15"/>
        <v>0</v>
      </c>
      <c r="T13" s="6">
        <f t="shared" si="16"/>
        <v>0</v>
      </c>
      <c r="U13" s="6">
        <f t="shared" si="17"/>
        <v>0</v>
      </c>
      <c r="V13" s="6">
        <f t="shared" si="18"/>
        <v>0</v>
      </c>
      <c r="W13" s="6">
        <f t="shared" si="19"/>
        <v>0</v>
      </c>
      <c r="X13" s="6">
        <f t="shared" si="20"/>
        <v>0</v>
      </c>
      <c r="Y13" s="6">
        <f t="shared" si="21"/>
        <v>0</v>
      </c>
      <c r="AA13" s="6" t="str">
        <f>IF(最佳化斷筋點!C13="","",最佳化斷筋點!C13)</f>
        <v>下層</v>
      </c>
      <c r="AB13" s="6">
        <f>IF(最佳化斷筋點!D13="","",最佳化斷筋點!D13)</f>
        <v>3</v>
      </c>
      <c r="AC13" s="6">
        <f>IF(最佳化斷筋點!E13="","",最佳化斷筋點!E13)</f>
        <v>3</v>
      </c>
      <c r="AD13" s="6">
        <f>IF(最佳化斷筋點!F13="","",最佳化斷筋點!F13)</f>
        <v>3</v>
      </c>
      <c r="AE13" s="6">
        <f>IF(最佳化斷筋點!G13="","",最佳化斷筋點!G13)</f>
        <v>3</v>
      </c>
      <c r="AF13" s="6">
        <f>IF(最佳化斷筋點!H13="","",最佳化斷筋點!H13)</f>
        <v>3</v>
      </c>
      <c r="AG13" s="6">
        <f>IF(最佳化斷筋點!I13="","",最佳化斷筋點!I13)</f>
        <v>3</v>
      </c>
      <c r="AH13" s="6">
        <f>IF(最佳化斷筋點!J13="","",最佳化斷筋點!J13)</f>
        <v>4</v>
      </c>
      <c r="AI13" s="6">
        <f>IF(最佳化斷筋點!K13="","",最佳化斷筋點!K13)</f>
        <v>4</v>
      </c>
      <c r="AJ13" s="6">
        <f>IF(最佳化斷筋點!L13="","",最佳化斷筋點!L13)</f>
        <v>4</v>
      </c>
      <c r="AK13" s="6">
        <f>IF(最佳化斷筋點!M13="","",最佳化斷筋點!M13)</f>
        <v>4</v>
      </c>
      <c r="AL13" s="6">
        <f>IF(最佳化斷筋點!N13="","",最佳化斷筋點!N13)</f>
        <v>4</v>
      </c>
      <c r="AM13" s="6">
        <f>IF(最佳化斷筋點!O13="","",最佳化斷筋點!O13)</f>
        <v>4</v>
      </c>
      <c r="AN13" s="6">
        <f>IF(最佳化斷筋點!P13="","",最佳化斷筋點!P13)</f>
        <v>4</v>
      </c>
      <c r="AO13" s="6">
        <f>IF(最佳化斷筋點!Q13="","",最佳化斷筋點!Q13)</f>
        <v>4</v>
      </c>
      <c r="AP13" s="6">
        <f>IF(最佳化斷筋點!R13="","",最佳化斷筋點!R13)</f>
        <v>4</v>
      </c>
      <c r="AQ13" s="6">
        <f>IF(最佳化斷筋點!S13="","",最佳化斷筋點!S13)</f>
        <v>3</v>
      </c>
      <c r="AR13" s="6">
        <f>IF(最佳化斷筋點!T13="","",最佳化斷筋點!T13)</f>
        <v>3</v>
      </c>
      <c r="AS13" s="6">
        <f>IF(最佳化斷筋點!U13="","",最佳化斷筋點!U13)</f>
        <v>3</v>
      </c>
      <c r="AT13" s="6">
        <f>IF(最佳化斷筋點!V13="","",最佳化斷筋點!V13)</f>
        <v>4</v>
      </c>
      <c r="AU13" s="6">
        <f>IF(最佳化斷筋點!W13="","",最佳化斷筋點!W13)</f>
        <v>4</v>
      </c>
      <c r="AV13" s="6">
        <f>IF(最佳化斷筋點!X13="","",最佳化斷筋點!X13)</f>
        <v>4</v>
      </c>
      <c r="AX13" s="6" t="s">
        <v>51</v>
      </c>
      <c r="AY13" s="6">
        <v>3</v>
      </c>
      <c r="AZ13" s="6">
        <v>3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3</v>
      </c>
      <c r="BO13" s="6">
        <v>3</v>
      </c>
      <c r="BP13" s="6">
        <v>3</v>
      </c>
      <c r="BQ13" s="6">
        <v>4</v>
      </c>
      <c r="BR13" s="6">
        <v>4</v>
      </c>
      <c r="BS13" s="6">
        <v>4</v>
      </c>
    </row>
    <row r="14" spans="2:71" x14ac:dyDescent="0.25">
      <c r="E14" s="6">
        <f t="shared" si="1"/>
        <v>0</v>
      </c>
      <c r="F14" s="6">
        <f t="shared" si="2"/>
        <v>0</v>
      </c>
      <c r="G14" s="6">
        <f t="shared" si="3"/>
        <v>0</v>
      </c>
      <c r="H14" s="6">
        <f t="shared" si="4"/>
        <v>0</v>
      </c>
      <c r="I14" s="6">
        <f t="shared" si="5"/>
        <v>0</v>
      </c>
      <c r="J14" s="6">
        <f t="shared" si="6"/>
        <v>0</v>
      </c>
      <c r="K14" s="6">
        <f t="shared" si="7"/>
        <v>0</v>
      </c>
      <c r="L14" s="6">
        <f t="shared" si="8"/>
        <v>0</v>
      </c>
      <c r="M14" s="6">
        <f t="shared" si="9"/>
        <v>0</v>
      </c>
      <c r="N14" s="6">
        <f t="shared" si="10"/>
        <v>0</v>
      </c>
      <c r="O14" s="6">
        <f t="shared" si="11"/>
        <v>0</v>
      </c>
      <c r="P14" s="6">
        <f t="shared" si="12"/>
        <v>0</v>
      </c>
      <c r="Q14" s="6">
        <f t="shared" si="13"/>
        <v>0</v>
      </c>
      <c r="R14" s="6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AA14" s="6" t="str">
        <f>IF(最佳化斷筋點!C14="","",最佳化斷筋點!C14)</f>
        <v/>
      </c>
      <c r="AB14" s="6" t="str">
        <f>IF(最佳化斷筋點!D14="","",最佳化斷筋點!D14)</f>
        <v/>
      </c>
      <c r="AC14" s="6" t="str">
        <f>IF(最佳化斷筋點!E14="","",最佳化斷筋點!E14)</f>
        <v/>
      </c>
      <c r="AD14" s="6" t="str">
        <f>IF(最佳化斷筋點!F14="","",最佳化斷筋點!F14)</f>
        <v/>
      </c>
      <c r="AE14" s="6" t="str">
        <f>IF(最佳化斷筋點!G14="","",最佳化斷筋點!G14)</f>
        <v/>
      </c>
      <c r="AF14" s="6" t="str">
        <f>IF(最佳化斷筋點!H14="","",最佳化斷筋點!H14)</f>
        <v/>
      </c>
      <c r="AG14" s="6" t="str">
        <f>IF(最佳化斷筋點!I14="","",最佳化斷筋點!I14)</f>
        <v/>
      </c>
      <c r="AH14" s="6" t="str">
        <f>IF(最佳化斷筋點!J14="","",最佳化斷筋點!J14)</f>
        <v/>
      </c>
      <c r="AI14" s="6" t="str">
        <f>IF(最佳化斷筋點!K14="","",最佳化斷筋點!K14)</f>
        <v/>
      </c>
      <c r="AJ14" s="6" t="str">
        <f>IF(最佳化斷筋點!L14="","",最佳化斷筋點!L14)</f>
        <v/>
      </c>
      <c r="AK14" s="6" t="str">
        <f>IF(最佳化斷筋點!M14="","",最佳化斷筋點!M14)</f>
        <v/>
      </c>
      <c r="AL14" s="6" t="str">
        <f>IF(最佳化斷筋點!N14="","",最佳化斷筋點!N14)</f>
        <v/>
      </c>
      <c r="AM14" s="6" t="str">
        <f>IF(最佳化斷筋點!O14="","",最佳化斷筋點!O14)</f>
        <v/>
      </c>
      <c r="AN14" s="6" t="str">
        <f>IF(最佳化斷筋點!P14="","",最佳化斷筋點!P14)</f>
        <v/>
      </c>
      <c r="AO14" s="6" t="str">
        <f>IF(最佳化斷筋點!Q14="","",最佳化斷筋點!Q14)</f>
        <v/>
      </c>
      <c r="AP14" s="6" t="str">
        <f>IF(最佳化斷筋點!R14="","",最佳化斷筋點!R14)</f>
        <v/>
      </c>
      <c r="AQ14" s="6" t="str">
        <f>IF(最佳化斷筋點!S14="","",最佳化斷筋點!S14)</f>
        <v/>
      </c>
      <c r="AR14" s="6" t="str">
        <f>IF(最佳化斷筋點!T14="","",最佳化斷筋點!T14)</f>
        <v/>
      </c>
      <c r="AS14" s="6" t="str">
        <f>IF(最佳化斷筋點!U14="","",最佳化斷筋點!U14)</f>
        <v/>
      </c>
      <c r="AT14" s="6" t="str">
        <f>IF(最佳化斷筋點!V14="","",最佳化斷筋點!V14)</f>
        <v/>
      </c>
      <c r="AU14" s="6" t="str">
        <f>IF(最佳化斷筋點!W14="","",最佳化斷筋點!W14)</f>
        <v/>
      </c>
      <c r="AV14" s="6" t="str">
        <f>IF(最佳化斷筋點!X14="","",最佳化斷筋點!X14)</f>
        <v/>
      </c>
    </row>
    <row r="15" spans="2:71" x14ac:dyDescent="0.25">
      <c r="D15" s="6" t="s">
        <v>50</v>
      </c>
      <c r="E15" s="6">
        <f t="shared" si="1"/>
        <v>0</v>
      </c>
      <c r="F15" s="6">
        <f t="shared" si="2"/>
        <v>0</v>
      </c>
      <c r="G15" s="6">
        <f t="shared" si="3"/>
        <v>0</v>
      </c>
      <c r="H15" s="6">
        <f t="shared" si="4"/>
        <v>0</v>
      </c>
      <c r="I15" s="6">
        <f t="shared" si="5"/>
        <v>0</v>
      </c>
      <c r="J15" s="6">
        <f t="shared" si="6"/>
        <v>0</v>
      </c>
      <c r="K15" s="6">
        <f t="shared" si="7"/>
        <v>0</v>
      </c>
      <c r="L15" s="6">
        <f t="shared" si="8"/>
        <v>0</v>
      </c>
      <c r="M15" s="6">
        <f t="shared" si="9"/>
        <v>0</v>
      </c>
      <c r="N15" s="6">
        <f t="shared" si="10"/>
        <v>0</v>
      </c>
      <c r="O15" s="6">
        <f t="shared" si="11"/>
        <v>0</v>
      </c>
      <c r="P15" s="6">
        <f t="shared" si="12"/>
        <v>0</v>
      </c>
      <c r="Q15" s="6">
        <f t="shared" si="13"/>
        <v>0</v>
      </c>
      <c r="R15" s="6">
        <f t="shared" si="14"/>
        <v>0</v>
      </c>
      <c r="S15" s="6">
        <f t="shared" si="15"/>
        <v>0</v>
      </c>
      <c r="T15" s="6">
        <f t="shared" si="16"/>
        <v>0</v>
      </c>
      <c r="U15" s="6">
        <f t="shared" si="17"/>
        <v>0</v>
      </c>
      <c r="V15" s="6">
        <f t="shared" si="18"/>
        <v>0</v>
      </c>
      <c r="W15" s="6">
        <f t="shared" si="19"/>
        <v>0</v>
      </c>
      <c r="X15" s="6">
        <f t="shared" si="20"/>
        <v>0</v>
      </c>
      <c r="Y15" s="6">
        <f t="shared" si="21"/>
        <v>0</v>
      </c>
      <c r="AA15" s="6" t="str">
        <f>IF(最佳化斷筋點!C15="","",最佳化斷筋點!C15)</f>
        <v>上層</v>
      </c>
      <c r="AB15" s="6">
        <f>IF(最佳化斷筋點!D15="","",最佳化斷筋點!D15)</f>
        <v>4</v>
      </c>
      <c r="AC15" s="6">
        <f>IF(最佳化斷筋點!E15="","",最佳化斷筋點!E15)</f>
        <v>4</v>
      </c>
      <c r="AD15" s="6">
        <f>IF(最佳化斷筋點!F15="","",最佳化斷筋點!F15)</f>
        <v>4</v>
      </c>
      <c r="AE15" s="6">
        <f>IF(最佳化斷筋點!G15="","",最佳化斷筋點!G15)</f>
        <v>3</v>
      </c>
      <c r="AF15" s="6">
        <f>IF(最佳化斷筋點!H15="","",最佳化斷筋點!H15)</f>
        <v>3</v>
      </c>
      <c r="AG15" s="6">
        <f>IF(最佳化斷筋點!I15="","",最佳化斷筋點!I15)</f>
        <v>3</v>
      </c>
      <c r="AH15" s="6">
        <f>IF(最佳化斷筋點!J15="","",最佳化斷筋點!J15)</f>
        <v>2</v>
      </c>
      <c r="AI15" s="6">
        <f>IF(最佳化斷筋點!K15="","",最佳化斷筋點!K15)</f>
        <v>2</v>
      </c>
      <c r="AJ15" s="6">
        <f>IF(最佳化斷筋點!L15="","",最佳化斷筋點!L15)</f>
        <v>2</v>
      </c>
      <c r="AK15" s="6">
        <f>IF(最佳化斷筋點!M15="","",最佳化斷筋點!M15)</f>
        <v>2</v>
      </c>
      <c r="AL15" s="6">
        <f>IF(最佳化斷筋點!N15="","",最佳化斷筋點!N15)</f>
        <v>2</v>
      </c>
      <c r="AM15" s="6">
        <f>IF(最佳化斷筋點!O15="","",最佳化斷筋點!O15)</f>
        <v>2</v>
      </c>
      <c r="AN15" s="6">
        <f>IF(最佳化斷筋點!P15="","",最佳化斷筋點!P15)</f>
        <v>2</v>
      </c>
      <c r="AO15" s="6">
        <f>IF(最佳化斷筋點!Q15="","",最佳化斷筋點!Q15)</f>
        <v>2</v>
      </c>
      <c r="AP15" s="6">
        <f>IF(最佳化斷筋點!R15="","",最佳化斷筋點!R15)</f>
        <v>2</v>
      </c>
      <c r="AQ15" s="6">
        <f>IF(最佳化斷筋點!S15="","",最佳化斷筋點!S15)</f>
        <v>2</v>
      </c>
      <c r="AR15" s="6">
        <f>IF(最佳化斷筋點!T15="","",最佳化斷筋點!T15)</f>
        <v>3</v>
      </c>
      <c r="AS15" s="6">
        <f>IF(最佳化斷筋點!U15="","",最佳化斷筋點!U15)</f>
        <v>3</v>
      </c>
      <c r="AT15" s="6">
        <f>IF(最佳化斷筋點!V15="","",最佳化斷筋點!V15)</f>
        <v>4</v>
      </c>
      <c r="AU15" s="6">
        <f>IF(最佳化斷筋點!W15="","",最佳化斷筋點!W15)</f>
        <v>4</v>
      </c>
      <c r="AV15" s="6">
        <f>IF(最佳化斷筋點!X15="","",最佳化斷筋點!X15)</f>
        <v>4</v>
      </c>
      <c r="AX15" s="6" t="s">
        <v>50</v>
      </c>
      <c r="AY15" s="6">
        <v>4</v>
      </c>
      <c r="AZ15" s="6">
        <v>4</v>
      </c>
      <c r="BA15" s="6">
        <v>4</v>
      </c>
      <c r="BB15" s="6">
        <v>3</v>
      </c>
      <c r="BC15" s="6">
        <v>3</v>
      </c>
      <c r="BD15" s="6">
        <v>3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</row>
    <row r="16" spans="2:71" x14ac:dyDescent="0.25">
      <c r="E16" s="6">
        <f t="shared" si="1"/>
        <v>0</v>
      </c>
      <c r="F16" s="6">
        <f t="shared" si="2"/>
        <v>0</v>
      </c>
      <c r="G16" s="6">
        <f t="shared" si="3"/>
        <v>0</v>
      </c>
      <c r="H16" s="6">
        <f t="shared" si="4"/>
        <v>0</v>
      </c>
      <c r="I16" s="6">
        <f t="shared" si="5"/>
        <v>0</v>
      </c>
      <c r="J16" s="6">
        <f t="shared" si="6"/>
        <v>0</v>
      </c>
      <c r="K16" s="6">
        <f t="shared" si="7"/>
        <v>0</v>
      </c>
      <c r="L16" s="6">
        <f t="shared" si="8"/>
        <v>0</v>
      </c>
      <c r="M16" s="6">
        <f t="shared" si="9"/>
        <v>0</v>
      </c>
      <c r="N16" s="6">
        <f t="shared" si="10"/>
        <v>0</v>
      </c>
      <c r="O16" s="6">
        <f t="shared" si="11"/>
        <v>0</v>
      </c>
      <c r="P16" s="6">
        <f t="shared" si="12"/>
        <v>0</v>
      </c>
      <c r="Q16" s="6">
        <f t="shared" si="13"/>
        <v>0</v>
      </c>
      <c r="R16" s="6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AA16" s="6" t="str">
        <f>IF(最佳化斷筋點!C16="","",最佳化斷筋點!C16)</f>
        <v/>
      </c>
      <c r="AB16" s="6" t="str">
        <f>IF(最佳化斷筋點!D16="","",最佳化斷筋點!D16)</f>
        <v/>
      </c>
      <c r="AC16" s="6" t="str">
        <f>IF(最佳化斷筋點!E16="","",最佳化斷筋點!E16)</f>
        <v/>
      </c>
      <c r="AD16" s="6" t="str">
        <f>IF(最佳化斷筋點!F16="","",最佳化斷筋點!F16)</f>
        <v/>
      </c>
      <c r="AE16" s="6" t="str">
        <f>IF(最佳化斷筋點!G16="","",最佳化斷筋點!G16)</f>
        <v/>
      </c>
      <c r="AF16" s="6" t="str">
        <f>IF(最佳化斷筋點!H16="","",最佳化斷筋點!H16)</f>
        <v/>
      </c>
      <c r="AG16" s="6" t="str">
        <f>IF(最佳化斷筋點!I16="","",最佳化斷筋點!I16)</f>
        <v/>
      </c>
      <c r="AH16" s="6" t="str">
        <f>IF(最佳化斷筋點!J16="","",最佳化斷筋點!J16)</f>
        <v/>
      </c>
      <c r="AI16" s="6" t="str">
        <f>IF(最佳化斷筋點!K16="","",最佳化斷筋點!K16)</f>
        <v/>
      </c>
      <c r="AJ16" s="6" t="str">
        <f>IF(最佳化斷筋點!L16="","",最佳化斷筋點!L16)</f>
        <v/>
      </c>
      <c r="AK16" s="6" t="str">
        <f>IF(最佳化斷筋點!M16="","",最佳化斷筋點!M16)</f>
        <v/>
      </c>
      <c r="AL16" s="6" t="str">
        <f>IF(最佳化斷筋點!N16="","",最佳化斷筋點!N16)</f>
        <v/>
      </c>
      <c r="AM16" s="6" t="str">
        <f>IF(最佳化斷筋點!O16="","",最佳化斷筋點!O16)</f>
        <v/>
      </c>
      <c r="AN16" s="6" t="str">
        <f>IF(最佳化斷筋點!P16="","",最佳化斷筋點!P16)</f>
        <v/>
      </c>
      <c r="AO16" s="6" t="str">
        <f>IF(最佳化斷筋點!Q16="","",最佳化斷筋點!Q16)</f>
        <v/>
      </c>
      <c r="AP16" s="6" t="str">
        <f>IF(最佳化斷筋點!R16="","",最佳化斷筋點!R16)</f>
        <v/>
      </c>
      <c r="AQ16" s="6" t="str">
        <f>IF(最佳化斷筋點!S16="","",最佳化斷筋點!S16)</f>
        <v/>
      </c>
      <c r="AR16" s="6" t="str">
        <f>IF(最佳化斷筋點!T16="","",最佳化斷筋點!T16)</f>
        <v/>
      </c>
      <c r="AS16" s="6" t="str">
        <f>IF(最佳化斷筋點!U16="","",最佳化斷筋點!U16)</f>
        <v/>
      </c>
      <c r="AT16" s="6" t="str">
        <f>IF(最佳化斷筋點!V16="","",最佳化斷筋點!V16)</f>
        <v/>
      </c>
      <c r="AU16" s="6" t="str">
        <f>IF(最佳化斷筋點!W16="","",最佳化斷筋點!W16)</f>
        <v/>
      </c>
      <c r="AV16" s="6" t="str">
        <f>IF(最佳化斷筋點!X16="","",最佳化斷筋點!X16)</f>
        <v/>
      </c>
    </row>
    <row r="17" spans="4:71" x14ac:dyDescent="0.25">
      <c r="D17" s="6" t="s">
        <v>51</v>
      </c>
      <c r="E17" s="6">
        <f t="shared" si="1"/>
        <v>0</v>
      </c>
      <c r="F17" s="6">
        <f t="shared" si="2"/>
        <v>0</v>
      </c>
      <c r="G17" s="6">
        <f t="shared" si="3"/>
        <v>0</v>
      </c>
      <c r="H17" s="6">
        <f t="shared" si="4"/>
        <v>0</v>
      </c>
      <c r="I17" s="6">
        <f t="shared" si="5"/>
        <v>0</v>
      </c>
      <c r="J17" s="6">
        <f t="shared" si="6"/>
        <v>0</v>
      </c>
      <c r="K17" s="6">
        <f t="shared" si="7"/>
        <v>0</v>
      </c>
      <c r="L17" s="6">
        <f t="shared" si="8"/>
        <v>0</v>
      </c>
      <c r="M17" s="6">
        <f t="shared" si="9"/>
        <v>0</v>
      </c>
      <c r="N17" s="6">
        <f t="shared" si="10"/>
        <v>0</v>
      </c>
      <c r="O17" s="6">
        <f t="shared" si="11"/>
        <v>0</v>
      </c>
      <c r="P17" s="6">
        <f t="shared" si="12"/>
        <v>0</v>
      </c>
      <c r="Q17" s="6">
        <f t="shared" si="13"/>
        <v>0</v>
      </c>
      <c r="R17" s="6">
        <f t="shared" si="14"/>
        <v>0</v>
      </c>
      <c r="S17" s="6">
        <f t="shared" si="15"/>
        <v>0</v>
      </c>
      <c r="T17" s="6">
        <f t="shared" si="16"/>
        <v>0</v>
      </c>
      <c r="U17" s="6">
        <f t="shared" si="17"/>
        <v>0</v>
      </c>
      <c r="V17" s="6">
        <f t="shared" si="18"/>
        <v>0</v>
      </c>
      <c r="W17" s="6">
        <f t="shared" si="19"/>
        <v>0</v>
      </c>
      <c r="X17" s="6">
        <f t="shared" si="20"/>
        <v>0</v>
      </c>
      <c r="Y17" s="6">
        <f t="shared" si="21"/>
        <v>0</v>
      </c>
      <c r="AA17" s="6" t="str">
        <f>IF(最佳化斷筋點!C17="","",最佳化斷筋點!C17)</f>
        <v>下層</v>
      </c>
      <c r="AB17" s="6">
        <f>IF(最佳化斷筋點!D17="","",最佳化斷筋點!D17)</f>
        <v>3</v>
      </c>
      <c r="AC17" s="6">
        <f>IF(最佳化斷筋點!E17="","",最佳化斷筋點!E17)</f>
        <v>3</v>
      </c>
      <c r="AD17" s="6">
        <f>IF(最佳化斷筋點!F17="","",最佳化斷筋點!F17)</f>
        <v>3</v>
      </c>
      <c r="AE17" s="6">
        <f>IF(最佳化斷筋點!G17="","",最佳化斷筋點!G17)</f>
        <v>3</v>
      </c>
      <c r="AF17" s="6">
        <f>IF(最佳化斷筋點!H17="","",最佳化斷筋點!H17)</f>
        <v>2</v>
      </c>
      <c r="AG17" s="6">
        <f>IF(最佳化斷筋點!I17="","",最佳化斷筋點!I17)</f>
        <v>3</v>
      </c>
      <c r="AH17" s="6">
        <f>IF(最佳化斷筋點!J17="","",最佳化斷筋點!J17)</f>
        <v>3</v>
      </c>
      <c r="AI17" s="6">
        <f>IF(最佳化斷筋點!K17="","",最佳化斷筋點!K17)</f>
        <v>3</v>
      </c>
      <c r="AJ17" s="6">
        <f>IF(最佳化斷筋點!L17="","",最佳化斷筋點!L17)</f>
        <v>3</v>
      </c>
      <c r="AK17" s="6">
        <f>IF(最佳化斷筋點!M17="","",最佳化斷筋點!M17)</f>
        <v>3</v>
      </c>
      <c r="AL17" s="6">
        <f>IF(最佳化斷筋點!N17="","",最佳化斷筋點!N17)</f>
        <v>3</v>
      </c>
      <c r="AM17" s="6">
        <f>IF(最佳化斷筋點!O17="","",最佳化斷筋點!O17)</f>
        <v>3</v>
      </c>
      <c r="AN17" s="6">
        <f>IF(最佳化斷筋點!P17="","",最佳化斷筋點!P17)</f>
        <v>3</v>
      </c>
      <c r="AO17" s="6">
        <f>IF(最佳化斷筋點!Q17="","",最佳化斷筋點!Q17)</f>
        <v>3</v>
      </c>
      <c r="AP17" s="6">
        <f>IF(最佳化斷筋點!R17="","",最佳化斷筋點!R17)</f>
        <v>3</v>
      </c>
      <c r="AQ17" s="6">
        <f>IF(最佳化斷筋點!S17="","",最佳化斷筋點!S17)</f>
        <v>3</v>
      </c>
      <c r="AR17" s="6">
        <f>IF(最佳化斷筋點!T17="","",最佳化斷筋點!T17)</f>
        <v>2</v>
      </c>
      <c r="AS17" s="6">
        <f>IF(最佳化斷筋點!U17="","",最佳化斷筋點!U17)</f>
        <v>3</v>
      </c>
      <c r="AT17" s="6">
        <f>IF(最佳化斷筋點!V17="","",最佳化斷筋點!V17)</f>
        <v>3</v>
      </c>
      <c r="AU17" s="6">
        <f>IF(最佳化斷筋點!W17="","",最佳化斷筋點!W17)</f>
        <v>3</v>
      </c>
      <c r="AV17" s="6">
        <f>IF(最佳化斷筋點!X17="","",最佳化斷筋點!X17)</f>
        <v>3</v>
      </c>
      <c r="AX17" s="6" t="s">
        <v>51</v>
      </c>
      <c r="AY17" s="6">
        <v>3</v>
      </c>
      <c r="AZ17" s="6">
        <v>3</v>
      </c>
      <c r="BA17" s="6">
        <v>3</v>
      </c>
      <c r="BB17" s="6">
        <v>3</v>
      </c>
      <c r="BC17" s="6">
        <v>2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2</v>
      </c>
      <c r="BP17" s="6">
        <v>3</v>
      </c>
      <c r="BQ17" s="6">
        <v>3</v>
      </c>
      <c r="BR17" s="6">
        <v>3</v>
      </c>
      <c r="BS17" s="6">
        <v>3</v>
      </c>
    </row>
    <row r="18" spans="4:71" x14ac:dyDescent="0.25">
      <c r="E18" s="6">
        <f t="shared" si="1"/>
        <v>0</v>
      </c>
      <c r="F18" s="6">
        <f t="shared" si="2"/>
        <v>0</v>
      </c>
      <c r="G18" s="6">
        <f t="shared" si="3"/>
        <v>0</v>
      </c>
      <c r="H18" s="6">
        <f t="shared" si="4"/>
        <v>0</v>
      </c>
      <c r="I18" s="6">
        <f t="shared" si="5"/>
        <v>0</v>
      </c>
      <c r="J18" s="6">
        <f t="shared" si="6"/>
        <v>0</v>
      </c>
      <c r="K18" s="6">
        <f t="shared" si="7"/>
        <v>0</v>
      </c>
      <c r="L18" s="6">
        <f t="shared" si="8"/>
        <v>0</v>
      </c>
      <c r="M18" s="6">
        <f t="shared" si="9"/>
        <v>0</v>
      </c>
      <c r="N18" s="6">
        <f t="shared" si="10"/>
        <v>0</v>
      </c>
      <c r="O18" s="6">
        <f t="shared" si="11"/>
        <v>0</v>
      </c>
      <c r="P18" s="6">
        <f t="shared" si="12"/>
        <v>0</v>
      </c>
      <c r="Q18" s="6">
        <f t="shared" si="13"/>
        <v>0</v>
      </c>
      <c r="R18" s="6">
        <f t="shared" si="14"/>
        <v>0</v>
      </c>
      <c r="S18" s="6">
        <f t="shared" si="15"/>
        <v>0</v>
      </c>
      <c r="T18" s="6">
        <f t="shared" si="16"/>
        <v>0</v>
      </c>
      <c r="U18" s="6">
        <f t="shared" si="17"/>
        <v>0</v>
      </c>
      <c r="V18" s="6">
        <f t="shared" si="18"/>
        <v>0</v>
      </c>
      <c r="W18" s="6">
        <f t="shared" si="19"/>
        <v>0</v>
      </c>
      <c r="X18" s="6">
        <f t="shared" si="20"/>
        <v>0</v>
      </c>
      <c r="Y18" s="6">
        <f t="shared" si="21"/>
        <v>0</v>
      </c>
      <c r="AA18" s="6" t="str">
        <f>IF(最佳化斷筋點!C18="","",最佳化斷筋點!C18)</f>
        <v/>
      </c>
      <c r="AB18" s="6" t="str">
        <f>IF(最佳化斷筋點!D18="","",最佳化斷筋點!D18)</f>
        <v/>
      </c>
      <c r="AC18" s="6" t="str">
        <f>IF(最佳化斷筋點!E18="","",最佳化斷筋點!E18)</f>
        <v/>
      </c>
      <c r="AD18" s="6" t="str">
        <f>IF(最佳化斷筋點!F18="","",最佳化斷筋點!F18)</f>
        <v/>
      </c>
      <c r="AE18" s="6" t="str">
        <f>IF(最佳化斷筋點!G18="","",最佳化斷筋點!G18)</f>
        <v/>
      </c>
      <c r="AF18" s="6" t="str">
        <f>IF(最佳化斷筋點!H18="","",最佳化斷筋點!H18)</f>
        <v/>
      </c>
      <c r="AG18" s="6" t="str">
        <f>IF(最佳化斷筋點!I18="","",最佳化斷筋點!I18)</f>
        <v/>
      </c>
      <c r="AH18" s="6" t="str">
        <f>IF(最佳化斷筋點!J18="","",最佳化斷筋點!J18)</f>
        <v/>
      </c>
      <c r="AI18" s="6" t="str">
        <f>IF(最佳化斷筋點!K18="","",最佳化斷筋點!K18)</f>
        <v/>
      </c>
      <c r="AJ18" s="6" t="str">
        <f>IF(最佳化斷筋點!L18="","",最佳化斷筋點!L18)</f>
        <v/>
      </c>
      <c r="AK18" s="6" t="str">
        <f>IF(最佳化斷筋點!M18="","",最佳化斷筋點!M18)</f>
        <v/>
      </c>
      <c r="AL18" s="6" t="str">
        <f>IF(最佳化斷筋點!N18="","",最佳化斷筋點!N18)</f>
        <v/>
      </c>
      <c r="AM18" s="6" t="str">
        <f>IF(最佳化斷筋點!O18="","",最佳化斷筋點!O18)</f>
        <v/>
      </c>
      <c r="AN18" s="6" t="str">
        <f>IF(最佳化斷筋點!P18="","",最佳化斷筋點!P18)</f>
        <v/>
      </c>
      <c r="AO18" s="6" t="str">
        <f>IF(最佳化斷筋點!Q18="","",最佳化斷筋點!Q18)</f>
        <v/>
      </c>
      <c r="AP18" s="6" t="str">
        <f>IF(最佳化斷筋點!R18="","",最佳化斷筋點!R18)</f>
        <v/>
      </c>
      <c r="AQ18" s="6" t="str">
        <f>IF(最佳化斷筋點!S18="","",最佳化斷筋點!S18)</f>
        <v/>
      </c>
      <c r="AR18" s="6" t="str">
        <f>IF(最佳化斷筋點!T18="","",最佳化斷筋點!T18)</f>
        <v/>
      </c>
      <c r="AS18" s="6" t="str">
        <f>IF(最佳化斷筋點!U18="","",最佳化斷筋點!U18)</f>
        <v/>
      </c>
      <c r="AT18" s="6" t="str">
        <f>IF(最佳化斷筋點!V18="","",最佳化斷筋點!V18)</f>
        <v/>
      </c>
      <c r="AU18" s="6" t="str">
        <f>IF(最佳化斷筋點!W18="","",最佳化斷筋點!W18)</f>
        <v/>
      </c>
      <c r="AV18" s="6" t="str">
        <f>IF(最佳化斷筋點!X18="","",最佳化斷筋點!X18)</f>
        <v/>
      </c>
    </row>
    <row r="19" spans="4:71" x14ac:dyDescent="0.25">
      <c r="D19" s="6" t="s">
        <v>50</v>
      </c>
      <c r="E19" s="6">
        <f t="shared" si="1"/>
        <v>0</v>
      </c>
      <c r="F19" s="6">
        <f t="shared" si="2"/>
        <v>0</v>
      </c>
      <c r="G19" s="6">
        <f t="shared" si="3"/>
        <v>0</v>
      </c>
      <c r="H19" s="6">
        <f t="shared" si="4"/>
        <v>0</v>
      </c>
      <c r="I19" s="6">
        <f t="shared" si="5"/>
        <v>0</v>
      </c>
      <c r="J19" s="6">
        <f t="shared" si="6"/>
        <v>0</v>
      </c>
      <c r="K19" s="6">
        <f t="shared" si="7"/>
        <v>0</v>
      </c>
      <c r="L19" s="6">
        <f t="shared" si="8"/>
        <v>0</v>
      </c>
      <c r="M19" s="6">
        <f t="shared" si="9"/>
        <v>0</v>
      </c>
      <c r="N19" s="6">
        <f t="shared" si="10"/>
        <v>0</v>
      </c>
      <c r="O19" s="6">
        <f t="shared" si="11"/>
        <v>0</v>
      </c>
      <c r="P19" s="6">
        <f t="shared" si="12"/>
        <v>0</v>
      </c>
      <c r="Q19" s="6">
        <f t="shared" si="13"/>
        <v>0</v>
      </c>
      <c r="R19" s="6">
        <f t="shared" si="14"/>
        <v>0</v>
      </c>
      <c r="S19" s="6">
        <f t="shared" si="15"/>
        <v>0</v>
      </c>
      <c r="T19" s="6">
        <f t="shared" si="16"/>
        <v>0</v>
      </c>
      <c r="U19" s="6">
        <f t="shared" si="17"/>
        <v>0</v>
      </c>
      <c r="V19" s="6">
        <f t="shared" si="18"/>
        <v>0</v>
      </c>
      <c r="W19" s="6">
        <f t="shared" si="19"/>
        <v>0</v>
      </c>
      <c r="X19" s="6">
        <f t="shared" si="20"/>
        <v>0</v>
      </c>
      <c r="Y19" s="6">
        <f t="shared" si="21"/>
        <v>0</v>
      </c>
      <c r="AA19" s="6" t="str">
        <f>IF(最佳化斷筋點!C19="","",最佳化斷筋點!C19)</f>
        <v>上層</v>
      </c>
      <c r="AB19" s="6">
        <f>IF(最佳化斷筋點!D19="","",最佳化斷筋點!D19)</f>
        <v>4</v>
      </c>
      <c r="AC19" s="6">
        <f>IF(最佳化斷筋點!E19="","",最佳化斷筋點!E19)</f>
        <v>4</v>
      </c>
      <c r="AD19" s="6">
        <f>IF(最佳化斷筋點!F19="","",最佳化斷筋點!F19)</f>
        <v>4</v>
      </c>
      <c r="AE19" s="6">
        <f>IF(最佳化斷筋點!G19="","",最佳化斷筋點!G19)</f>
        <v>3</v>
      </c>
      <c r="AF19" s="6">
        <f>IF(最佳化斷筋點!H19="","",最佳化斷筋點!H19)</f>
        <v>3</v>
      </c>
      <c r="AG19" s="6">
        <f>IF(最佳化斷筋點!I19="","",最佳化斷筋點!I19)</f>
        <v>3</v>
      </c>
      <c r="AH19" s="6">
        <f>IF(最佳化斷筋點!J19="","",最佳化斷筋點!J19)</f>
        <v>2</v>
      </c>
      <c r="AI19" s="6">
        <f>IF(最佳化斷筋點!K19="","",最佳化斷筋點!K19)</f>
        <v>2</v>
      </c>
      <c r="AJ19" s="6">
        <f>IF(最佳化斷筋點!L19="","",最佳化斷筋點!L19)</f>
        <v>2</v>
      </c>
      <c r="AK19" s="6">
        <f>IF(最佳化斷筋點!M19="","",最佳化斷筋點!M19)</f>
        <v>2</v>
      </c>
      <c r="AL19" s="6">
        <f>IF(最佳化斷筋點!N19="","",最佳化斷筋點!N19)</f>
        <v>2</v>
      </c>
      <c r="AM19" s="6">
        <f>IF(最佳化斷筋點!O19="","",最佳化斷筋點!O19)</f>
        <v>2</v>
      </c>
      <c r="AN19" s="6">
        <f>IF(最佳化斷筋點!P19="","",最佳化斷筋點!P19)</f>
        <v>2</v>
      </c>
      <c r="AO19" s="6">
        <f>IF(最佳化斷筋點!Q19="","",最佳化斷筋點!Q19)</f>
        <v>2</v>
      </c>
      <c r="AP19" s="6">
        <f>IF(最佳化斷筋點!R19="","",最佳化斷筋點!R19)</f>
        <v>2</v>
      </c>
      <c r="AQ19" s="6">
        <f>IF(最佳化斷筋點!S19="","",最佳化斷筋點!S19)</f>
        <v>2</v>
      </c>
      <c r="AR19" s="6">
        <f>IF(最佳化斷筋點!T19="","",最佳化斷筋點!T19)</f>
        <v>3</v>
      </c>
      <c r="AS19" s="6">
        <f>IF(最佳化斷筋點!U19="","",最佳化斷筋點!U19)</f>
        <v>3</v>
      </c>
      <c r="AT19" s="6">
        <f>IF(最佳化斷筋點!V19="","",最佳化斷筋點!V19)</f>
        <v>4</v>
      </c>
      <c r="AU19" s="6">
        <f>IF(最佳化斷筋點!W19="","",最佳化斷筋點!W19)</f>
        <v>4</v>
      </c>
      <c r="AV19" s="6">
        <f>IF(最佳化斷筋點!X19="","",最佳化斷筋點!X19)</f>
        <v>4</v>
      </c>
      <c r="AX19" s="6" t="s">
        <v>50</v>
      </c>
      <c r="AY19" s="6">
        <v>4</v>
      </c>
      <c r="AZ19" s="6">
        <v>4</v>
      </c>
      <c r="BA19" s="6">
        <v>4</v>
      </c>
      <c r="BB19" s="6">
        <v>3</v>
      </c>
      <c r="BC19" s="6">
        <v>3</v>
      </c>
      <c r="BD19" s="6">
        <v>3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</row>
    <row r="20" spans="4:71" x14ac:dyDescent="0.25">
      <c r="E20" s="6">
        <f t="shared" si="1"/>
        <v>0</v>
      </c>
      <c r="F20" s="6">
        <f t="shared" si="2"/>
        <v>0</v>
      </c>
      <c r="G20" s="6">
        <f t="shared" si="3"/>
        <v>0</v>
      </c>
      <c r="H20" s="6">
        <f t="shared" si="4"/>
        <v>0</v>
      </c>
      <c r="I20" s="6">
        <f t="shared" si="5"/>
        <v>0</v>
      </c>
      <c r="J20" s="6">
        <f t="shared" si="6"/>
        <v>0</v>
      </c>
      <c r="K20" s="6">
        <f t="shared" si="7"/>
        <v>0</v>
      </c>
      <c r="L20" s="6">
        <f t="shared" si="8"/>
        <v>0</v>
      </c>
      <c r="M20" s="6">
        <f t="shared" si="9"/>
        <v>0</v>
      </c>
      <c r="N20" s="6">
        <f t="shared" si="10"/>
        <v>0</v>
      </c>
      <c r="O20" s="6">
        <f t="shared" si="11"/>
        <v>0</v>
      </c>
      <c r="P20" s="6">
        <f t="shared" si="12"/>
        <v>0</v>
      </c>
      <c r="Q20" s="6">
        <f t="shared" si="13"/>
        <v>0</v>
      </c>
      <c r="R20" s="6">
        <f t="shared" si="14"/>
        <v>0</v>
      </c>
      <c r="S20" s="6">
        <f t="shared" si="15"/>
        <v>0</v>
      </c>
      <c r="T20" s="6">
        <f t="shared" si="16"/>
        <v>0</v>
      </c>
      <c r="U20" s="6">
        <f t="shared" si="17"/>
        <v>0</v>
      </c>
      <c r="V20" s="6">
        <f t="shared" si="18"/>
        <v>0</v>
      </c>
      <c r="W20" s="6">
        <f t="shared" si="19"/>
        <v>0</v>
      </c>
      <c r="X20" s="6">
        <f t="shared" si="20"/>
        <v>0</v>
      </c>
      <c r="Y20" s="6">
        <f t="shared" si="21"/>
        <v>0</v>
      </c>
      <c r="AA20" s="6" t="str">
        <f>IF(最佳化斷筋點!C20="","",最佳化斷筋點!C20)</f>
        <v/>
      </c>
      <c r="AB20" s="6" t="str">
        <f>IF(最佳化斷筋點!D20="","",最佳化斷筋點!D20)</f>
        <v/>
      </c>
      <c r="AC20" s="6" t="str">
        <f>IF(最佳化斷筋點!E20="","",最佳化斷筋點!E20)</f>
        <v/>
      </c>
      <c r="AD20" s="6" t="str">
        <f>IF(最佳化斷筋點!F20="","",最佳化斷筋點!F20)</f>
        <v/>
      </c>
      <c r="AE20" s="6" t="str">
        <f>IF(最佳化斷筋點!G20="","",最佳化斷筋點!G20)</f>
        <v/>
      </c>
      <c r="AF20" s="6" t="str">
        <f>IF(最佳化斷筋點!H20="","",最佳化斷筋點!H20)</f>
        <v/>
      </c>
      <c r="AG20" s="6" t="str">
        <f>IF(最佳化斷筋點!I20="","",最佳化斷筋點!I20)</f>
        <v/>
      </c>
      <c r="AH20" s="6" t="str">
        <f>IF(最佳化斷筋點!J20="","",最佳化斷筋點!J20)</f>
        <v/>
      </c>
      <c r="AI20" s="6" t="str">
        <f>IF(最佳化斷筋點!K20="","",最佳化斷筋點!K20)</f>
        <v/>
      </c>
      <c r="AJ20" s="6" t="str">
        <f>IF(最佳化斷筋點!L20="","",最佳化斷筋點!L20)</f>
        <v/>
      </c>
      <c r="AK20" s="6" t="str">
        <f>IF(最佳化斷筋點!M20="","",最佳化斷筋點!M20)</f>
        <v/>
      </c>
      <c r="AL20" s="6" t="str">
        <f>IF(最佳化斷筋點!N20="","",最佳化斷筋點!N20)</f>
        <v/>
      </c>
      <c r="AM20" s="6" t="str">
        <f>IF(最佳化斷筋點!O20="","",最佳化斷筋點!O20)</f>
        <v/>
      </c>
      <c r="AN20" s="6" t="str">
        <f>IF(最佳化斷筋點!P20="","",最佳化斷筋點!P20)</f>
        <v/>
      </c>
      <c r="AO20" s="6" t="str">
        <f>IF(最佳化斷筋點!Q20="","",最佳化斷筋點!Q20)</f>
        <v/>
      </c>
      <c r="AP20" s="6" t="str">
        <f>IF(最佳化斷筋點!R20="","",最佳化斷筋點!R20)</f>
        <v/>
      </c>
      <c r="AQ20" s="6" t="str">
        <f>IF(最佳化斷筋點!S20="","",最佳化斷筋點!S20)</f>
        <v/>
      </c>
      <c r="AR20" s="6" t="str">
        <f>IF(最佳化斷筋點!T20="","",最佳化斷筋點!T20)</f>
        <v/>
      </c>
      <c r="AS20" s="6" t="str">
        <f>IF(最佳化斷筋點!U20="","",最佳化斷筋點!U20)</f>
        <v/>
      </c>
      <c r="AT20" s="6" t="str">
        <f>IF(最佳化斷筋點!V20="","",最佳化斷筋點!V20)</f>
        <v/>
      </c>
      <c r="AU20" s="6" t="str">
        <f>IF(最佳化斷筋點!W20="","",最佳化斷筋點!W20)</f>
        <v/>
      </c>
      <c r="AV20" s="6" t="str">
        <f>IF(最佳化斷筋點!X20="","",最佳化斷筋點!X20)</f>
        <v/>
      </c>
    </row>
    <row r="21" spans="4:71" x14ac:dyDescent="0.25">
      <c r="D21" s="6" t="s">
        <v>51</v>
      </c>
      <c r="E21" s="6">
        <f t="shared" si="1"/>
        <v>0</v>
      </c>
      <c r="F21" s="6">
        <f t="shared" si="2"/>
        <v>0</v>
      </c>
      <c r="G21" s="6">
        <f t="shared" si="3"/>
        <v>0</v>
      </c>
      <c r="H21" s="6">
        <f t="shared" si="4"/>
        <v>0</v>
      </c>
      <c r="I21" s="6">
        <f t="shared" si="5"/>
        <v>0</v>
      </c>
      <c r="J21" s="6">
        <f t="shared" si="6"/>
        <v>0</v>
      </c>
      <c r="K21" s="6">
        <f t="shared" si="7"/>
        <v>0</v>
      </c>
      <c r="L21" s="6">
        <f t="shared" si="8"/>
        <v>0</v>
      </c>
      <c r="M21" s="6">
        <f t="shared" si="9"/>
        <v>0</v>
      </c>
      <c r="N21" s="6">
        <f t="shared" si="10"/>
        <v>0</v>
      </c>
      <c r="O21" s="6">
        <f t="shared" si="11"/>
        <v>0</v>
      </c>
      <c r="P21" s="6">
        <f t="shared" si="12"/>
        <v>0</v>
      </c>
      <c r="Q21" s="6">
        <f t="shared" si="13"/>
        <v>0</v>
      </c>
      <c r="R21" s="6">
        <f t="shared" si="14"/>
        <v>0</v>
      </c>
      <c r="S21" s="6">
        <f t="shared" si="15"/>
        <v>0</v>
      </c>
      <c r="T21" s="6">
        <f t="shared" si="16"/>
        <v>0</v>
      </c>
      <c r="U21" s="6">
        <f t="shared" si="17"/>
        <v>0</v>
      </c>
      <c r="V21" s="6">
        <f t="shared" si="18"/>
        <v>0</v>
      </c>
      <c r="W21" s="6">
        <f t="shared" si="19"/>
        <v>0</v>
      </c>
      <c r="X21" s="6">
        <f t="shared" si="20"/>
        <v>0</v>
      </c>
      <c r="Y21" s="6">
        <f t="shared" si="21"/>
        <v>0</v>
      </c>
      <c r="AA21" s="6" t="str">
        <f>IF(最佳化斷筋點!C21="","",最佳化斷筋點!C21)</f>
        <v>下層</v>
      </c>
      <c r="AB21" s="6">
        <f>IF(最佳化斷筋點!D21="","",最佳化斷筋點!D21)</f>
        <v>3</v>
      </c>
      <c r="AC21" s="6">
        <f>IF(最佳化斷筋點!E21="","",最佳化斷筋點!E21)</f>
        <v>3</v>
      </c>
      <c r="AD21" s="6">
        <f>IF(最佳化斷筋點!F21="","",最佳化斷筋點!F21)</f>
        <v>3</v>
      </c>
      <c r="AE21" s="6">
        <f>IF(最佳化斷筋點!G21="","",最佳化斷筋點!G21)</f>
        <v>3</v>
      </c>
      <c r="AF21" s="6">
        <f>IF(最佳化斷筋點!H21="","",最佳化斷筋點!H21)</f>
        <v>2</v>
      </c>
      <c r="AG21" s="6">
        <f>IF(最佳化斷筋點!I21="","",最佳化斷筋點!I21)</f>
        <v>3</v>
      </c>
      <c r="AH21" s="6">
        <f>IF(最佳化斷筋點!J21="","",最佳化斷筋點!J21)</f>
        <v>3</v>
      </c>
      <c r="AI21" s="6">
        <f>IF(最佳化斷筋點!K21="","",最佳化斷筋點!K21)</f>
        <v>3</v>
      </c>
      <c r="AJ21" s="6">
        <f>IF(最佳化斷筋點!L21="","",最佳化斷筋點!L21)</f>
        <v>3</v>
      </c>
      <c r="AK21" s="6">
        <f>IF(最佳化斷筋點!M21="","",最佳化斷筋點!M21)</f>
        <v>3</v>
      </c>
      <c r="AL21" s="6">
        <f>IF(最佳化斷筋點!N21="","",最佳化斷筋點!N21)</f>
        <v>3</v>
      </c>
      <c r="AM21" s="6">
        <f>IF(最佳化斷筋點!O21="","",最佳化斷筋點!O21)</f>
        <v>3</v>
      </c>
      <c r="AN21" s="6">
        <f>IF(最佳化斷筋點!P21="","",最佳化斷筋點!P21)</f>
        <v>3</v>
      </c>
      <c r="AO21" s="6">
        <f>IF(最佳化斷筋點!Q21="","",最佳化斷筋點!Q21)</f>
        <v>3</v>
      </c>
      <c r="AP21" s="6">
        <f>IF(最佳化斷筋點!R21="","",最佳化斷筋點!R21)</f>
        <v>3</v>
      </c>
      <c r="AQ21" s="6">
        <f>IF(最佳化斷筋點!S21="","",最佳化斷筋點!S21)</f>
        <v>3</v>
      </c>
      <c r="AR21" s="6">
        <f>IF(最佳化斷筋點!T21="","",最佳化斷筋點!T21)</f>
        <v>2</v>
      </c>
      <c r="AS21" s="6">
        <f>IF(最佳化斷筋點!U21="","",最佳化斷筋點!U21)</f>
        <v>3</v>
      </c>
      <c r="AT21" s="6">
        <f>IF(最佳化斷筋點!V21="","",最佳化斷筋點!V21)</f>
        <v>3</v>
      </c>
      <c r="AU21" s="6">
        <f>IF(最佳化斷筋點!W21="","",最佳化斷筋點!W21)</f>
        <v>3</v>
      </c>
      <c r="AV21" s="6">
        <f>IF(最佳化斷筋點!X21="","",最佳化斷筋點!X21)</f>
        <v>3</v>
      </c>
      <c r="AX21" s="6" t="s">
        <v>51</v>
      </c>
      <c r="AY21" s="6">
        <v>3</v>
      </c>
      <c r="AZ21" s="6">
        <v>3</v>
      </c>
      <c r="BA21" s="6">
        <v>3</v>
      </c>
      <c r="BB21" s="6">
        <v>3</v>
      </c>
      <c r="BC21" s="6">
        <v>2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2</v>
      </c>
      <c r="BP21" s="6">
        <v>3</v>
      </c>
      <c r="BQ21" s="6">
        <v>3</v>
      </c>
      <c r="BR21" s="6">
        <v>3</v>
      </c>
      <c r="BS21" s="6">
        <v>3</v>
      </c>
    </row>
    <row r="22" spans="4:71" x14ac:dyDescent="0.25">
      <c r="E22" s="6">
        <f t="shared" si="1"/>
        <v>0</v>
      </c>
      <c r="F22" s="6">
        <f t="shared" si="2"/>
        <v>0</v>
      </c>
      <c r="G22" s="6">
        <f t="shared" si="3"/>
        <v>0</v>
      </c>
      <c r="H22" s="6">
        <f t="shared" si="4"/>
        <v>0</v>
      </c>
      <c r="I22" s="6">
        <f t="shared" si="5"/>
        <v>0</v>
      </c>
      <c r="J22" s="6">
        <f t="shared" si="6"/>
        <v>0</v>
      </c>
      <c r="K22" s="6">
        <f t="shared" si="7"/>
        <v>0</v>
      </c>
      <c r="L22" s="6">
        <f t="shared" si="8"/>
        <v>0</v>
      </c>
      <c r="M22" s="6">
        <f t="shared" si="9"/>
        <v>0</v>
      </c>
      <c r="N22" s="6">
        <f t="shared" si="10"/>
        <v>0</v>
      </c>
      <c r="O22" s="6">
        <f t="shared" si="11"/>
        <v>0</v>
      </c>
      <c r="P22" s="6">
        <f t="shared" si="12"/>
        <v>0</v>
      </c>
      <c r="Q22" s="6">
        <f t="shared" si="13"/>
        <v>0</v>
      </c>
      <c r="R22" s="6">
        <f t="shared" si="14"/>
        <v>0</v>
      </c>
      <c r="S22" s="6">
        <f t="shared" si="15"/>
        <v>0</v>
      </c>
      <c r="T22" s="6">
        <f t="shared" si="16"/>
        <v>0</v>
      </c>
      <c r="U22" s="6">
        <f t="shared" si="17"/>
        <v>0</v>
      </c>
      <c r="V22" s="6">
        <f t="shared" si="18"/>
        <v>0</v>
      </c>
      <c r="W22" s="6">
        <f t="shared" si="19"/>
        <v>0</v>
      </c>
      <c r="X22" s="6">
        <f t="shared" si="20"/>
        <v>0</v>
      </c>
      <c r="Y22" s="6">
        <f t="shared" si="21"/>
        <v>0</v>
      </c>
      <c r="AA22" s="6" t="str">
        <f>IF(最佳化斷筋點!C22="","",最佳化斷筋點!C22)</f>
        <v/>
      </c>
      <c r="AB22" s="6" t="str">
        <f>IF(最佳化斷筋點!D22="","",最佳化斷筋點!D22)</f>
        <v/>
      </c>
      <c r="AC22" s="6" t="str">
        <f>IF(最佳化斷筋點!E22="","",最佳化斷筋點!E22)</f>
        <v/>
      </c>
      <c r="AD22" s="6" t="str">
        <f>IF(最佳化斷筋點!F22="","",最佳化斷筋點!F22)</f>
        <v/>
      </c>
      <c r="AE22" s="6" t="str">
        <f>IF(最佳化斷筋點!G22="","",最佳化斷筋點!G22)</f>
        <v/>
      </c>
      <c r="AF22" s="6" t="str">
        <f>IF(最佳化斷筋點!H22="","",最佳化斷筋點!H22)</f>
        <v/>
      </c>
      <c r="AG22" s="6" t="str">
        <f>IF(最佳化斷筋點!I22="","",最佳化斷筋點!I22)</f>
        <v/>
      </c>
      <c r="AH22" s="6" t="str">
        <f>IF(最佳化斷筋點!J22="","",最佳化斷筋點!J22)</f>
        <v/>
      </c>
      <c r="AI22" s="6" t="str">
        <f>IF(最佳化斷筋點!K22="","",最佳化斷筋點!K22)</f>
        <v/>
      </c>
      <c r="AJ22" s="6" t="str">
        <f>IF(最佳化斷筋點!L22="","",最佳化斷筋點!L22)</f>
        <v/>
      </c>
      <c r="AK22" s="6" t="str">
        <f>IF(最佳化斷筋點!M22="","",最佳化斷筋點!M22)</f>
        <v/>
      </c>
      <c r="AL22" s="6" t="str">
        <f>IF(最佳化斷筋點!N22="","",最佳化斷筋點!N22)</f>
        <v/>
      </c>
      <c r="AM22" s="6" t="str">
        <f>IF(最佳化斷筋點!O22="","",最佳化斷筋點!O22)</f>
        <v/>
      </c>
      <c r="AN22" s="6" t="str">
        <f>IF(最佳化斷筋點!P22="","",最佳化斷筋點!P22)</f>
        <v/>
      </c>
      <c r="AO22" s="6" t="str">
        <f>IF(最佳化斷筋點!Q22="","",最佳化斷筋點!Q22)</f>
        <v/>
      </c>
      <c r="AP22" s="6" t="str">
        <f>IF(最佳化斷筋點!R22="","",最佳化斷筋點!R22)</f>
        <v/>
      </c>
      <c r="AQ22" s="6" t="str">
        <f>IF(最佳化斷筋點!S22="","",最佳化斷筋點!S22)</f>
        <v/>
      </c>
      <c r="AR22" s="6" t="str">
        <f>IF(最佳化斷筋點!T22="","",最佳化斷筋點!T22)</f>
        <v/>
      </c>
      <c r="AS22" s="6" t="str">
        <f>IF(最佳化斷筋點!U22="","",最佳化斷筋點!U22)</f>
        <v/>
      </c>
      <c r="AT22" s="6" t="str">
        <f>IF(最佳化斷筋點!V22="","",最佳化斷筋點!V22)</f>
        <v/>
      </c>
      <c r="AU22" s="6" t="str">
        <f>IF(最佳化斷筋點!W22="","",最佳化斷筋點!W22)</f>
        <v/>
      </c>
      <c r="AV22" s="6" t="str">
        <f>IF(最佳化斷筋點!X22="","",最佳化斷筋點!X22)</f>
        <v/>
      </c>
    </row>
    <row r="23" spans="4:71" x14ac:dyDescent="0.25">
      <c r="D23" s="6" t="s">
        <v>50</v>
      </c>
      <c r="E23" s="6">
        <f t="shared" si="1"/>
        <v>0</v>
      </c>
      <c r="F23" s="6">
        <f t="shared" si="2"/>
        <v>0</v>
      </c>
      <c r="G23" s="6">
        <f t="shared" si="3"/>
        <v>0</v>
      </c>
      <c r="H23" s="6">
        <f t="shared" si="4"/>
        <v>0</v>
      </c>
      <c r="I23" s="6">
        <f t="shared" si="5"/>
        <v>0</v>
      </c>
      <c r="J23" s="6">
        <f t="shared" si="6"/>
        <v>0</v>
      </c>
      <c r="K23" s="6">
        <f t="shared" si="7"/>
        <v>0</v>
      </c>
      <c r="L23" s="6">
        <f t="shared" si="8"/>
        <v>0</v>
      </c>
      <c r="M23" s="6">
        <f t="shared" si="9"/>
        <v>0</v>
      </c>
      <c r="N23" s="6">
        <f t="shared" si="10"/>
        <v>0</v>
      </c>
      <c r="O23" s="6">
        <f t="shared" si="11"/>
        <v>0</v>
      </c>
      <c r="P23" s="6">
        <f t="shared" si="12"/>
        <v>0</v>
      </c>
      <c r="Q23" s="6">
        <f t="shared" si="13"/>
        <v>0</v>
      </c>
      <c r="R23" s="6">
        <f t="shared" si="14"/>
        <v>0</v>
      </c>
      <c r="S23" s="6">
        <f t="shared" si="15"/>
        <v>0</v>
      </c>
      <c r="T23" s="6">
        <f t="shared" si="16"/>
        <v>0</v>
      </c>
      <c r="U23" s="6">
        <f t="shared" si="17"/>
        <v>0</v>
      </c>
      <c r="V23" s="6">
        <f t="shared" si="18"/>
        <v>0</v>
      </c>
      <c r="W23" s="6">
        <f t="shared" si="19"/>
        <v>0</v>
      </c>
      <c r="X23" s="6">
        <f t="shared" si="20"/>
        <v>0</v>
      </c>
      <c r="Y23" s="6">
        <f t="shared" si="21"/>
        <v>0</v>
      </c>
      <c r="AA23" s="6" t="str">
        <f>IF(最佳化斷筋點!C23="","",最佳化斷筋點!C23)</f>
        <v>上層</v>
      </c>
      <c r="AB23" s="6">
        <f>IF(最佳化斷筋點!D23="","",最佳化斷筋點!D23)</f>
        <v>4</v>
      </c>
      <c r="AC23" s="6">
        <f>IF(最佳化斷筋點!E23="","",最佳化斷筋點!E23)</f>
        <v>4</v>
      </c>
      <c r="AD23" s="6">
        <f>IF(最佳化斷筋點!F23="","",最佳化斷筋點!F23)</f>
        <v>4</v>
      </c>
      <c r="AE23" s="6">
        <f>IF(最佳化斷筋點!G23="","",最佳化斷筋點!G23)</f>
        <v>3</v>
      </c>
      <c r="AF23" s="6">
        <f>IF(最佳化斷筋點!H23="","",最佳化斷筋點!H23)</f>
        <v>3</v>
      </c>
      <c r="AG23" s="6">
        <f>IF(最佳化斷筋點!I23="","",最佳化斷筋點!I23)</f>
        <v>3</v>
      </c>
      <c r="AH23" s="6">
        <f>IF(最佳化斷筋點!J23="","",最佳化斷筋點!J23)</f>
        <v>2</v>
      </c>
      <c r="AI23" s="6">
        <f>IF(最佳化斷筋點!K23="","",最佳化斷筋點!K23)</f>
        <v>2</v>
      </c>
      <c r="AJ23" s="6">
        <f>IF(最佳化斷筋點!L23="","",最佳化斷筋點!L23)</f>
        <v>2</v>
      </c>
      <c r="AK23" s="6">
        <f>IF(最佳化斷筋點!M23="","",最佳化斷筋點!M23)</f>
        <v>2</v>
      </c>
      <c r="AL23" s="6">
        <f>IF(最佳化斷筋點!N23="","",最佳化斷筋點!N23)</f>
        <v>2</v>
      </c>
      <c r="AM23" s="6">
        <f>IF(最佳化斷筋點!O23="","",最佳化斷筋點!O23)</f>
        <v>2</v>
      </c>
      <c r="AN23" s="6">
        <f>IF(最佳化斷筋點!P23="","",最佳化斷筋點!P23)</f>
        <v>2</v>
      </c>
      <c r="AO23" s="6">
        <f>IF(最佳化斷筋點!Q23="","",最佳化斷筋點!Q23)</f>
        <v>2</v>
      </c>
      <c r="AP23" s="6">
        <f>IF(最佳化斷筋點!R23="","",最佳化斷筋點!R23)</f>
        <v>2</v>
      </c>
      <c r="AQ23" s="6">
        <f>IF(最佳化斷筋點!S23="","",最佳化斷筋點!S23)</f>
        <v>2</v>
      </c>
      <c r="AR23" s="6">
        <f>IF(最佳化斷筋點!T23="","",最佳化斷筋點!T23)</f>
        <v>3</v>
      </c>
      <c r="AS23" s="6">
        <f>IF(最佳化斷筋點!U23="","",最佳化斷筋點!U23)</f>
        <v>3</v>
      </c>
      <c r="AT23" s="6">
        <f>IF(最佳化斷筋點!V23="","",最佳化斷筋點!V23)</f>
        <v>4</v>
      </c>
      <c r="AU23" s="6">
        <f>IF(最佳化斷筋點!W23="","",最佳化斷筋點!W23)</f>
        <v>4</v>
      </c>
      <c r="AV23" s="6">
        <f>IF(最佳化斷筋點!X23="","",最佳化斷筋點!X23)</f>
        <v>4</v>
      </c>
      <c r="AX23" s="6" t="s">
        <v>50</v>
      </c>
      <c r="AY23" s="6">
        <v>4</v>
      </c>
      <c r="AZ23" s="6">
        <v>4</v>
      </c>
      <c r="BA23" s="6">
        <v>4</v>
      </c>
      <c r="BB23" s="6">
        <v>3</v>
      </c>
      <c r="BC23" s="6">
        <v>3</v>
      </c>
      <c r="BD23" s="6">
        <v>3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</row>
    <row r="24" spans="4:71" x14ac:dyDescent="0.25">
      <c r="E24" s="6">
        <f t="shared" si="1"/>
        <v>0</v>
      </c>
      <c r="F24" s="6">
        <f t="shared" si="2"/>
        <v>0</v>
      </c>
      <c r="G24" s="6">
        <f t="shared" si="3"/>
        <v>0</v>
      </c>
      <c r="H24" s="6">
        <f t="shared" si="4"/>
        <v>0</v>
      </c>
      <c r="I24" s="6">
        <f t="shared" si="5"/>
        <v>0</v>
      </c>
      <c r="J24" s="6">
        <f t="shared" si="6"/>
        <v>0</v>
      </c>
      <c r="K24" s="6">
        <f t="shared" si="7"/>
        <v>0</v>
      </c>
      <c r="L24" s="6">
        <f t="shared" si="8"/>
        <v>0</v>
      </c>
      <c r="M24" s="6">
        <f t="shared" si="9"/>
        <v>0</v>
      </c>
      <c r="N24" s="6">
        <f t="shared" si="10"/>
        <v>0</v>
      </c>
      <c r="O24" s="6">
        <f t="shared" si="11"/>
        <v>0</v>
      </c>
      <c r="P24" s="6">
        <f t="shared" si="12"/>
        <v>0</v>
      </c>
      <c r="Q24" s="6">
        <f t="shared" si="13"/>
        <v>0</v>
      </c>
      <c r="R24" s="6">
        <f t="shared" si="14"/>
        <v>0</v>
      </c>
      <c r="S24" s="6">
        <f t="shared" si="15"/>
        <v>0</v>
      </c>
      <c r="T24" s="6">
        <f t="shared" si="16"/>
        <v>0</v>
      </c>
      <c r="U24" s="6">
        <f t="shared" si="17"/>
        <v>0</v>
      </c>
      <c r="V24" s="6">
        <f t="shared" si="18"/>
        <v>0</v>
      </c>
      <c r="W24" s="6">
        <f t="shared" si="19"/>
        <v>0</v>
      </c>
      <c r="X24" s="6">
        <f t="shared" si="20"/>
        <v>0</v>
      </c>
      <c r="Y24" s="6">
        <f t="shared" si="21"/>
        <v>0</v>
      </c>
      <c r="AA24" s="6" t="str">
        <f>IF(最佳化斷筋點!C24="","",最佳化斷筋點!C24)</f>
        <v/>
      </c>
      <c r="AB24" s="6" t="str">
        <f>IF(最佳化斷筋點!D24="","",最佳化斷筋點!D24)</f>
        <v/>
      </c>
      <c r="AC24" s="6" t="str">
        <f>IF(最佳化斷筋點!E24="","",最佳化斷筋點!E24)</f>
        <v/>
      </c>
      <c r="AD24" s="6" t="str">
        <f>IF(最佳化斷筋點!F24="","",最佳化斷筋點!F24)</f>
        <v/>
      </c>
      <c r="AE24" s="6" t="str">
        <f>IF(最佳化斷筋點!G24="","",最佳化斷筋點!G24)</f>
        <v/>
      </c>
      <c r="AF24" s="6" t="str">
        <f>IF(最佳化斷筋點!H24="","",最佳化斷筋點!H24)</f>
        <v/>
      </c>
      <c r="AG24" s="6" t="str">
        <f>IF(最佳化斷筋點!I24="","",最佳化斷筋點!I24)</f>
        <v/>
      </c>
      <c r="AH24" s="6" t="str">
        <f>IF(最佳化斷筋點!J24="","",最佳化斷筋點!J24)</f>
        <v/>
      </c>
      <c r="AI24" s="6" t="str">
        <f>IF(最佳化斷筋點!K24="","",最佳化斷筋點!K24)</f>
        <v/>
      </c>
      <c r="AJ24" s="6" t="str">
        <f>IF(最佳化斷筋點!L24="","",最佳化斷筋點!L24)</f>
        <v/>
      </c>
      <c r="AK24" s="6" t="str">
        <f>IF(最佳化斷筋點!M24="","",最佳化斷筋點!M24)</f>
        <v/>
      </c>
      <c r="AL24" s="6" t="str">
        <f>IF(最佳化斷筋點!N24="","",最佳化斷筋點!N24)</f>
        <v/>
      </c>
      <c r="AM24" s="6" t="str">
        <f>IF(最佳化斷筋點!O24="","",最佳化斷筋點!O24)</f>
        <v/>
      </c>
      <c r="AN24" s="6" t="str">
        <f>IF(最佳化斷筋點!P24="","",最佳化斷筋點!P24)</f>
        <v/>
      </c>
      <c r="AO24" s="6" t="str">
        <f>IF(最佳化斷筋點!Q24="","",最佳化斷筋點!Q24)</f>
        <v/>
      </c>
      <c r="AP24" s="6" t="str">
        <f>IF(最佳化斷筋點!R24="","",最佳化斷筋點!R24)</f>
        <v/>
      </c>
      <c r="AQ24" s="6" t="str">
        <f>IF(最佳化斷筋點!S24="","",最佳化斷筋點!S24)</f>
        <v/>
      </c>
      <c r="AR24" s="6" t="str">
        <f>IF(最佳化斷筋點!T24="","",最佳化斷筋點!T24)</f>
        <v/>
      </c>
      <c r="AS24" s="6" t="str">
        <f>IF(最佳化斷筋點!U24="","",最佳化斷筋點!U24)</f>
        <v/>
      </c>
      <c r="AT24" s="6" t="str">
        <f>IF(最佳化斷筋點!V24="","",最佳化斷筋點!V24)</f>
        <v/>
      </c>
      <c r="AU24" s="6" t="str">
        <f>IF(最佳化斷筋點!W24="","",最佳化斷筋點!W24)</f>
        <v/>
      </c>
      <c r="AV24" s="6" t="str">
        <f>IF(最佳化斷筋點!X24="","",最佳化斷筋點!X24)</f>
        <v/>
      </c>
    </row>
    <row r="25" spans="4:71" x14ac:dyDescent="0.25">
      <c r="D25" s="6" t="s">
        <v>51</v>
      </c>
      <c r="E25" s="6">
        <f t="shared" si="1"/>
        <v>0</v>
      </c>
      <c r="F25" s="6">
        <f t="shared" si="2"/>
        <v>0</v>
      </c>
      <c r="G25" s="6">
        <f t="shared" si="3"/>
        <v>0</v>
      </c>
      <c r="H25" s="6">
        <f t="shared" si="4"/>
        <v>0</v>
      </c>
      <c r="I25" s="6">
        <f t="shared" si="5"/>
        <v>0</v>
      </c>
      <c r="J25" s="6">
        <f t="shared" si="6"/>
        <v>0</v>
      </c>
      <c r="K25" s="6">
        <f t="shared" si="7"/>
        <v>0</v>
      </c>
      <c r="L25" s="6">
        <f t="shared" si="8"/>
        <v>0</v>
      </c>
      <c r="M25" s="6">
        <f t="shared" si="9"/>
        <v>0</v>
      </c>
      <c r="N25" s="6">
        <f t="shared" si="10"/>
        <v>0</v>
      </c>
      <c r="O25" s="6">
        <f t="shared" si="11"/>
        <v>0</v>
      </c>
      <c r="P25" s="6">
        <f t="shared" si="12"/>
        <v>0</v>
      </c>
      <c r="Q25" s="6">
        <f t="shared" si="13"/>
        <v>0</v>
      </c>
      <c r="R25" s="6">
        <f t="shared" si="14"/>
        <v>0</v>
      </c>
      <c r="S25" s="6">
        <f t="shared" si="15"/>
        <v>0</v>
      </c>
      <c r="T25" s="6">
        <f t="shared" si="16"/>
        <v>0</v>
      </c>
      <c r="U25" s="6">
        <f t="shared" si="17"/>
        <v>0</v>
      </c>
      <c r="V25" s="6">
        <f t="shared" si="18"/>
        <v>0</v>
      </c>
      <c r="W25" s="6">
        <f t="shared" si="19"/>
        <v>0</v>
      </c>
      <c r="X25" s="6">
        <f t="shared" si="20"/>
        <v>0</v>
      </c>
      <c r="Y25" s="6">
        <f t="shared" si="21"/>
        <v>0</v>
      </c>
      <c r="AA25" s="6" t="str">
        <f>IF(最佳化斷筋點!C25="","",最佳化斷筋點!C25)</f>
        <v>下層</v>
      </c>
      <c r="AB25" s="6">
        <f>IF(最佳化斷筋點!D25="","",最佳化斷筋點!D25)</f>
        <v>3</v>
      </c>
      <c r="AC25" s="6">
        <f>IF(最佳化斷筋點!E25="","",最佳化斷筋點!E25)</f>
        <v>3</v>
      </c>
      <c r="AD25" s="6">
        <f>IF(最佳化斷筋點!F25="","",最佳化斷筋點!F25)</f>
        <v>3</v>
      </c>
      <c r="AE25" s="6">
        <f>IF(最佳化斷筋點!G25="","",最佳化斷筋點!G25)</f>
        <v>3</v>
      </c>
      <c r="AF25" s="6">
        <f>IF(最佳化斷筋點!H25="","",最佳化斷筋點!H25)</f>
        <v>2</v>
      </c>
      <c r="AG25" s="6">
        <f>IF(最佳化斷筋點!I25="","",最佳化斷筋點!I25)</f>
        <v>3</v>
      </c>
      <c r="AH25" s="6">
        <f>IF(最佳化斷筋點!J25="","",最佳化斷筋點!J25)</f>
        <v>3</v>
      </c>
      <c r="AI25" s="6">
        <f>IF(最佳化斷筋點!K25="","",最佳化斷筋點!K25)</f>
        <v>3</v>
      </c>
      <c r="AJ25" s="6">
        <f>IF(最佳化斷筋點!L25="","",最佳化斷筋點!L25)</f>
        <v>3</v>
      </c>
      <c r="AK25" s="6">
        <f>IF(最佳化斷筋點!M25="","",最佳化斷筋點!M25)</f>
        <v>3</v>
      </c>
      <c r="AL25" s="6">
        <f>IF(最佳化斷筋點!N25="","",最佳化斷筋點!N25)</f>
        <v>3</v>
      </c>
      <c r="AM25" s="6">
        <f>IF(最佳化斷筋點!O25="","",最佳化斷筋點!O25)</f>
        <v>3</v>
      </c>
      <c r="AN25" s="6">
        <f>IF(最佳化斷筋點!P25="","",最佳化斷筋點!P25)</f>
        <v>3</v>
      </c>
      <c r="AO25" s="6">
        <f>IF(最佳化斷筋點!Q25="","",最佳化斷筋點!Q25)</f>
        <v>3</v>
      </c>
      <c r="AP25" s="6">
        <f>IF(最佳化斷筋點!R25="","",最佳化斷筋點!R25)</f>
        <v>3</v>
      </c>
      <c r="AQ25" s="6">
        <f>IF(最佳化斷筋點!S25="","",最佳化斷筋點!S25)</f>
        <v>3</v>
      </c>
      <c r="AR25" s="6">
        <f>IF(最佳化斷筋點!T25="","",最佳化斷筋點!T25)</f>
        <v>2</v>
      </c>
      <c r="AS25" s="6">
        <f>IF(最佳化斷筋點!U25="","",最佳化斷筋點!U25)</f>
        <v>3</v>
      </c>
      <c r="AT25" s="6">
        <f>IF(最佳化斷筋點!V25="","",最佳化斷筋點!V25)</f>
        <v>3</v>
      </c>
      <c r="AU25" s="6">
        <f>IF(最佳化斷筋點!W25="","",最佳化斷筋點!W25)</f>
        <v>3</v>
      </c>
      <c r="AV25" s="6">
        <f>IF(最佳化斷筋點!X25="","",最佳化斷筋點!X25)</f>
        <v>3</v>
      </c>
      <c r="AX25" s="6" t="s">
        <v>51</v>
      </c>
      <c r="AY25" s="6">
        <v>3</v>
      </c>
      <c r="AZ25" s="6">
        <v>3</v>
      </c>
      <c r="BA25" s="6">
        <v>3</v>
      </c>
      <c r="BB25" s="6">
        <v>3</v>
      </c>
      <c r="BC25" s="6">
        <v>2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2</v>
      </c>
      <c r="BP25" s="6">
        <v>3</v>
      </c>
      <c r="BQ25" s="6">
        <v>3</v>
      </c>
      <c r="BR25" s="6">
        <v>3</v>
      </c>
      <c r="BS25" s="6">
        <v>3</v>
      </c>
    </row>
    <row r="26" spans="4:71" x14ac:dyDescent="0.25">
      <c r="E26" s="6">
        <f t="shared" si="1"/>
        <v>0</v>
      </c>
      <c r="F26" s="6">
        <f t="shared" si="2"/>
        <v>0</v>
      </c>
      <c r="G26" s="6">
        <f t="shared" si="3"/>
        <v>0</v>
      </c>
      <c r="H26" s="6">
        <f t="shared" si="4"/>
        <v>0</v>
      </c>
      <c r="I26" s="6">
        <f t="shared" si="5"/>
        <v>0</v>
      </c>
      <c r="J26" s="6">
        <f t="shared" si="6"/>
        <v>0</v>
      </c>
      <c r="K26" s="6">
        <f t="shared" si="7"/>
        <v>0</v>
      </c>
      <c r="L26" s="6">
        <f t="shared" si="8"/>
        <v>0</v>
      </c>
      <c r="M26" s="6">
        <f t="shared" si="9"/>
        <v>0</v>
      </c>
      <c r="N26" s="6">
        <f t="shared" si="10"/>
        <v>0</v>
      </c>
      <c r="O26" s="6">
        <f t="shared" si="11"/>
        <v>0</v>
      </c>
      <c r="P26" s="6">
        <f t="shared" si="12"/>
        <v>0</v>
      </c>
      <c r="Q26" s="6">
        <f t="shared" si="13"/>
        <v>0</v>
      </c>
      <c r="R26" s="6">
        <f t="shared" si="14"/>
        <v>0</v>
      </c>
      <c r="S26" s="6">
        <f t="shared" si="15"/>
        <v>0</v>
      </c>
      <c r="T26" s="6">
        <f t="shared" si="16"/>
        <v>0</v>
      </c>
      <c r="U26" s="6">
        <f t="shared" si="17"/>
        <v>0</v>
      </c>
      <c r="V26" s="6">
        <f t="shared" si="18"/>
        <v>0</v>
      </c>
      <c r="W26" s="6">
        <f t="shared" si="19"/>
        <v>0</v>
      </c>
      <c r="X26" s="6">
        <f t="shared" si="20"/>
        <v>0</v>
      </c>
      <c r="Y26" s="6">
        <f t="shared" si="21"/>
        <v>0</v>
      </c>
      <c r="AA26" s="6" t="str">
        <f>IF(最佳化斷筋點!C26="","",最佳化斷筋點!C26)</f>
        <v/>
      </c>
      <c r="AB26" s="6" t="str">
        <f>IF(最佳化斷筋點!D26="","",最佳化斷筋點!D26)</f>
        <v/>
      </c>
      <c r="AC26" s="6" t="str">
        <f>IF(最佳化斷筋點!E26="","",最佳化斷筋點!E26)</f>
        <v/>
      </c>
      <c r="AD26" s="6" t="str">
        <f>IF(最佳化斷筋點!F26="","",最佳化斷筋點!F26)</f>
        <v/>
      </c>
      <c r="AE26" s="6" t="str">
        <f>IF(最佳化斷筋點!G26="","",最佳化斷筋點!G26)</f>
        <v/>
      </c>
      <c r="AF26" s="6" t="str">
        <f>IF(最佳化斷筋點!H26="","",最佳化斷筋點!H26)</f>
        <v/>
      </c>
      <c r="AG26" s="6" t="str">
        <f>IF(最佳化斷筋點!I26="","",最佳化斷筋點!I26)</f>
        <v/>
      </c>
      <c r="AH26" s="6" t="str">
        <f>IF(最佳化斷筋點!J26="","",最佳化斷筋點!J26)</f>
        <v/>
      </c>
      <c r="AI26" s="6" t="str">
        <f>IF(最佳化斷筋點!K26="","",最佳化斷筋點!K26)</f>
        <v/>
      </c>
      <c r="AJ26" s="6" t="str">
        <f>IF(最佳化斷筋點!L26="","",最佳化斷筋點!L26)</f>
        <v/>
      </c>
      <c r="AK26" s="6" t="str">
        <f>IF(最佳化斷筋點!M26="","",最佳化斷筋點!M26)</f>
        <v/>
      </c>
      <c r="AL26" s="6" t="str">
        <f>IF(最佳化斷筋點!N26="","",最佳化斷筋點!N26)</f>
        <v/>
      </c>
      <c r="AM26" s="6" t="str">
        <f>IF(最佳化斷筋點!O26="","",最佳化斷筋點!O26)</f>
        <v/>
      </c>
      <c r="AN26" s="6" t="str">
        <f>IF(最佳化斷筋點!P26="","",最佳化斷筋點!P26)</f>
        <v/>
      </c>
      <c r="AO26" s="6" t="str">
        <f>IF(最佳化斷筋點!Q26="","",最佳化斷筋點!Q26)</f>
        <v/>
      </c>
      <c r="AP26" s="6" t="str">
        <f>IF(最佳化斷筋點!R26="","",最佳化斷筋點!R26)</f>
        <v/>
      </c>
      <c r="AQ26" s="6" t="str">
        <f>IF(最佳化斷筋點!S26="","",最佳化斷筋點!S26)</f>
        <v/>
      </c>
      <c r="AR26" s="6" t="str">
        <f>IF(最佳化斷筋點!T26="","",最佳化斷筋點!T26)</f>
        <v/>
      </c>
      <c r="AS26" s="6" t="str">
        <f>IF(最佳化斷筋點!U26="","",最佳化斷筋點!U26)</f>
        <v/>
      </c>
      <c r="AT26" s="6" t="str">
        <f>IF(最佳化斷筋點!V26="","",最佳化斷筋點!V26)</f>
        <v/>
      </c>
      <c r="AU26" s="6" t="str">
        <f>IF(最佳化斷筋點!W26="","",最佳化斷筋點!W26)</f>
        <v/>
      </c>
      <c r="AV26" s="6" t="str">
        <f>IF(最佳化斷筋點!X26="","",最佳化斷筋點!X26)</f>
        <v/>
      </c>
    </row>
    <row r="27" spans="4:71" x14ac:dyDescent="0.25">
      <c r="D27" s="6" t="s">
        <v>50</v>
      </c>
      <c r="E27" s="6">
        <f t="shared" si="1"/>
        <v>0</v>
      </c>
      <c r="F27" s="6">
        <f t="shared" si="2"/>
        <v>0</v>
      </c>
      <c r="G27" s="6">
        <f t="shared" si="3"/>
        <v>0</v>
      </c>
      <c r="H27" s="6">
        <f t="shared" si="4"/>
        <v>0</v>
      </c>
      <c r="I27" s="6">
        <f t="shared" si="5"/>
        <v>0</v>
      </c>
      <c r="J27" s="6">
        <f t="shared" si="6"/>
        <v>0</v>
      </c>
      <c r="K27" s="6">
        <f t="shared" si="7"/>
        <v>0</v>
      </c>
      <c r="L27" s="6">
        <f t="shared" si="8"/>
        <v>0</v>
      </c>
      <c r="M27" s="6">
        <f t="shared" si="9"/>
        <v>0</v>
      </c>
      <c r="N27" s="6">
        <f t="shared" si="10"/>
        <v>0</v>
      </c>
      <c r="O27" s="6">
        <f t="shared" si="11"/>
        <v>0</v>
      </c>
      <c r="P27" s="6">
        <f t="shared" si="12"/>
        <v>0</v>
      </c>
      <c r="Q27" s="6">
        <f t="shared" si="13"/>
        <v>0</v>
      </c>
      <c r="R27" s="6">
        <f t="shared" si="14"/>
        <v>0</v>
      </c>
      <c r="S27" s="6">
        <f t="shared" si="15"/>
        <v>0</v>
      </c>
      <c r="T27" s="6">
        <f t="shared" si="16"/>
        <v>0</v>
      </c>
      <c r="U27" s="6">
        <f t="shared" si="17"/>
        <v>0</v>
      </c>
      <c r="V27" s="6">
        <f t="shared" si="18"/>
        <v>0</v>
      </c>
      <c r="W27" s="6">
        <f t="shared" si="19"/>
        <v>0</v>
      </c>
      <c r="X27" s="6">
        <f t="shared" si="20"/>
        <v>0</v>
      </c>
      <c r="Y27" s="6">
        <f t="shared" si="21"/>
        <v>0</v>
      </c>
      <c r="AA27" s="6" t="str">
        <f>IF(最佳化斷筋點!C27="","",最佳化斷筋點!C27)</f>
        <v>上層</v>
      </c>
      <c r="AB27" s="6">
        <f>IF(最佳化斷筋點!D27="","",最佳化斷筋點!D27)</f>
        <v>4</v>
      </c>
      <c r="AC27" s="6">
        <f>IF(最佳化斷筋點!E27="","",最佳化斷筋點!E27)</f>
        <v>4</v>
      </c>
      <c r="AD27" s="6">
        <f>IF(最佳化斷筋點!F27="","",最佳化斷筋點!F27)</f>
        <v>4</v>
      </c>
      <c r="AE27" s="6">
        <f>IF(最佳化斷筋點!G27="","",最佳化斷筋點!G27)</f>
        <v>3</v>
      </c>
      <c r="AF27" s="6">
        <f>IF(最佳化斷筋點!H27="","",最佳化斷筋點!H27)</f>
        <v>3</v>
      </c>
      <c r="AG27" s="6">
        <f>IF(最佳化斷筋點!I27="","",最佳化斷筋點!I27)</f>
        <v>3</v>
      </c>
      <c r="AH27" s="6">
        <f>IF(最佳化斷筋點!J27="","",最佳化斷筋點!J27)</f>
        <v>2</v>
      </c>
      <c r="AI27" s="6">
        <f>IF(最佳化斷筋點!K27="","",最佳化斷筋點!K27)</f>
        <v>2</v>
      </c>
      <c r="AJ27" s="6">
        <f>IF(最佳化斷筋點!L27="","",最佳化斷筋點!L27)</f>
        <v>2</v>
      </c>
      <c r="AK27" s="6">
        <f>IF(最佳化斷筋點!M27="","",最佳化斷筋點!M27)</f>
        <v>2</v>
      </c>
      <c r="AL27" s="6">
        <f>IF(最佳化斷筋點!N27="","",最佳化斷筋點!N27)</f>
        <v>2</v>
      </c>
      <c r="AM27" s="6">
        <f>IF(最佳化斷筋點!O27="","",最佳化斷筋點!O27)</f>
        <v>2</v>
      </c>
      <c r="AN27" s="6">
        <f>IF(最佳化斷筋點!P27="","",最佳化斷筋點!P27)</f>
        <v>2</v>
      </c>
      <c r="AO27" s="6">
        <f>IF(最佳化斷筋點!Q27="","",最佳化斷筋點!Q27)</f>
        <v>2</v>
      </c>
      <c r="AP27" s="6">
        <f>IF(最佳化斷筋點!R27="","",最佳化斷筋點!R27)</f>
        <v>2</v>
      </c>
      <c r="AQ27" s="6">
        <f>IF(最佳化斷筋點!S27="","",最佳化斷筋點!S27)</f>
        <v>2</v>
      </c>
      <c r="AR27" s="6">
        <f>IF(最佳化斷筋點!T27="","",最佳化斷筋點!T27)</f>
        <v>3</v>
      </c>
      <c r="AS27" s="6">
        <f>IF(最佳化斷筋點!U27="","",最佳化斷筋點!U27)</f>
        <v>3</v>
      </c>
      <c r="AT27" s="6">
        <f>IF(最佳化斷筋點!V27="","",最佳化斷筋點!V27)</f>
        <v>4</v>
      </c>
      <c r="AU27" s="6">
        <f>IF(最佳化斷筋點!W27="","",最佳化斷筋點!W27)</f>
        <v>4</v>
      </c>
      <c r="AV27" s="6">
        <f>IF(最佳化斷筋點!X27="","",最佳化斷筋點!X27)</f>
        <v>4</v>
      </c>
      <c r="AX27" s="6" t="s">
        <v>50</v>
      </c>
      <c r="AY27" s="6">
        <v>4</v>
      </c>
      <c r="AZ27" s="6">
        <v>4</v>
      </c>
      <c r="BA27" s="6">
        <v>4</v>
      </c>
      <c r="BB27" s="6">
        <v>3</v>
      </c>
      <c r="BC27" s="6">
        <v>3</v>
      </c>
      <c r="BD27" s="6">
        <v>3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</row>
    <row r="28" spans="4:71" x14ac:dyDescent="0.25">
      <c r="E28" s="6">
        <f t="shared" si="1"/>
        <v>0</v>
      </c>
      <c r="F28" s="6">
        <f t="shared" si="2"/>
        <v>0</v>
      </c>
      <c r="G28" s="6">
        <f t="shared" si="3"/>
        <v>0</v>
      </c>
      <c r="H28" s="6">
        <f t="shared" si="4"/>
        <v>0</v>
      </c>
      <c r="I28" s="6">
        <f t="shared" si="5"/>
        <v>0</v>
      </c>
      <c r="J28" s="6">
        <f t="shared" si="6"/>
        <v>0</v>
      </c>
      <c r="K28" s="6">
        <f t="shared" si="7"/>
        <v>0</v>
      </c>
      <c r="L28" s="6">
        <f t="shared" si="8"/>
        <v>0</v>
      </c>
      <c r="M28" s="6">
        <f t="shared" si="9"/>
        <v>0</v>
      </c>
      <c r="N28" s="6">
        <f t="shared" si="10"/>
        <v>0</v>
      </c>
      <c r="O28" s="6">
        <f t="shared" si="11"/>
        <v>0</v>
      </c>
      <c r="P28" s="6">
        <f t="shared" si="12"/>
        <v>0</v>
      </c>
      <c r="Q28" s="6">
        <f t="shared" si="13"/>
        <v>0</v>
      </c>
      <c r="R28" s="6">
        <f t="shared" si="14"/>
        <v>0</v>
      </c>
      <c r="S28" s="6">
        <f t="shared" si="15"/>
        <v>0</v>
      </c>
      <c r="T28" s="6">
        <f t="shared" si="16"/>
        <v>0</v>
      </c>
      <c r="U28" s="6">
        <f t="shared" si="17"/>
        <v>0</v>
      </c>
      <c r="V28" s="6">
        <f t="shared" si="18"/>
        <v>0</v>
      </c>
      <c r="W28" s="6">
        <f t="shared" si="19"/>
        <v>0</v>
      </c>
      <c r="X28" s="6">
        <f t="shared" si="20"/>
        <v>0</v>
      </c>
      <c r="Y28" s="6">
        <f t="shared" si="21"/>
        <v>0</v>
      </c>
      <c r="AA28" s="6" t="str">
        <f>IF(最佳化斷筋點!C28="","",最佳化斷筋點!C28)</f>
        <v/>
      </c>
      <c r="AB28" s="6" t="str">
        <f>IF(最佳化斷筋點!D28="","",最佳化斷筋點!D28)</f>
        <v/>
      </c>
      <c r="AC28" s="6" t="str">
        <f>IF(最佳化斷筋點!E28="","",最佳化斷筋點!E28)</f>
        <v/>
      </c>
      <c r="AD28" s="6" t="str">
        <f>IF(最佳化斷筋點!F28="","",最佳化斷筋點!F28)</f>
        <v/>
      </c>
      <c r="AE28" s="6" t="str">
        <f>IF(最佳化斷筋點!G28="","",最佳化斷筋點!G28)</f>
        <v/>
      </c>
      <c r="AF28" s="6" t="str">
        <f>IF(最佳化斷筋點!H28="","",最佳化斷筋點!H28)</f>
        <v/>
      </c>
      <c r="AG28" s="6" t="str">
        <f>IF(最佳化斷筋點!I28="","",最佳化斷筋點!I28)</f>
        <v/>
      </c>
      <c r="AH28" s="6" t="str">
        <f>IF(最佳化斷筋點!J28="","",最佳化斷筋點!J28)</f>
        <v/>
      </c>
      <c r="AI28" s="6" t="str">
        <f>IF(最佳化斷筋點!K28="","",最佳化斷筋點!K28)</f>
        <v/>
      </c>
      <c r="AJ28" s="6" t="str">
        <f>IF(最佳化斷筋點!L28="","",最佳化斷筋點!L28)</f>
        <v/>
      </c>
      <c r="AK28" s="6" t="str">
        <f>IF(最佳化斷筋點!M28="","",最佳化斷筋點!M28)</f>
        <v/>
      </c>
      <c r="AL28" s="6" t="str">
        <f>IF(最佳化斷筋點!N28="","",最佳化斷筋點!N28)</f>
        <v/>
      </c>
      <c r="AM28" s="6" t="str">
        <f>IF(最佳化斷筋點!O28="","",最佳化斷筋點!O28)</f>
        <v/>
      </c>
      <c r="AN28" s="6" t="str">
        <f>IF(最佳化斷筋點!P28="","",最佳化斷筋點!P28)</f>
        <v/>
      </c>
      <c r="AO28" s="6" t="str">
        <f>IF(最佳化斷筋點!Q28="","",最佳化斷筋點!Q28)</f>
        <v/>
      </c>
      <c r="AP28" s="6" t="str">
        <f>IF(最佳化斷筋點!R28="","",最佳化斷筋點!R28)</f>
        <v/>
      </c>
      <c r="AQ28" s="6" t="str">
        <f>IF(最佳化斷筋點!S28="","",最佳化斷筋點!S28)</f>
        <v/>
      </c>
      <c r="AR28" s="6" t="str">
        <f>IF(最佳化斷筋點!T28="","",最佳化斷筋點!T28)</f>
        <v/>
      </c>
      <c r="AS28" s="6" t="str">
        <f>IF(最佳化斷筋點!U28="","",最佳化斷筋點!U28)</f>
        <v/>
      </c>
      <c r="AT28" s="6" t="str">
        <f>IF(最佳化斷筋點!V28="","",最佳化斷筋點!V28)</f>
        <v/>
      </c>
      <c r="AU28" s="6" t="str">
        <f>IF(最佳化斷筋點!W28="","",最佳化斷筋點!W28)</f>
        <v/>
      </c>
      <c r="AV28" s="6" t="str">
        <f>IF(最佳化斷筋點!X28="","",最佳化斷筋點!X28)</f>
        <v/>
      </c>
    </row>
    <row r="29" spans="4:71" x14ac:dyDescent="0.25">
      <c r="D29" s="6" t="s">
        <v>51</v>
      </c>
      <c r="E29" s="6">
        <f t="shared" si="1"/>
        <v>0</v>
      </c>
      <c r="F29" s="6">
        <f t="shared" si="2"/>
        <v>0</v>
      </c>
      <c r="G29" s="6">
        <f t="shared" si="3"/>
        <v>0</v>
      </c>
      <c r="H29" s="6">
        <f t="shared" si="4"/>
        <v>0</v>
      </c>
      <c r="I29" s="6">
        <f t="shared" si="5"/>
        <v>0</v>
      </c>
      <c r="J29" s="6">
        <f t="shared" si="6"/>
        <v>0</v>
      </c>
      <c r="K29" s="6">
        <f t="shared" si="7"/>
        <v>0</v>
      </c>
      <c r="L29" s="6">
        <f t="shared" si="8"/>
        <v>0</v>
      </c>
      <c r="M29" s="6">
        <f t="shared" si="9"/>
        <v>0</v>
      </c>
      <c r="N29" s="6">
        <f t="shared" si="10"/>
        <v>0</v>
      </c>
      <c r="O29" s="6">
        <f t="shared" si="11"/>
        <v>0</v>
      </c>
      <c r="P29" s="6">
        <f t="shared" si="12"/>
        <v>0</v>
      </c>
      <c r="Q29" s="6">
        <f t="shared" si="13"/>
        <v>0</v>
      </c>
      <c r="R29" s="6">
        <f t="shared" si="14"/>
        <v>0</v>
      </c>
      <c r="S29" s="6">
        <f t="shared" si="15"/>
        <v>0</v>
      </c>
      <c r="T29" s="6">
        <f t="shared" si="16"/>
        <v>0</v>
      </c>
      <c r="U29" s="6">
        <f t="shared" si="17"/>
        <v>0</v>
      </c>
      <c r="V29" s="6">
        <f t="shared" si="18"/>
        <v>0</v>
      </c>
      <c r="W29" s="6">
        <f t="shared" si="19"/>
        <v>0</v>
      </c>
      <c r="X29" s="6">
        <f t="shared" si="20"/>
        <v>0</v>
      </c>
      <c r="Y29" s="6">
        <f t="shared" si="21"/>
        <v>0</v>
      </c>
      <c r="AA29" s="6" t="str">
        <f>IF(最佳化斷筋點!C29="","",最佳化斷筋點!C29)</f>
        <v>下層</v>
      </c>
      <c r="AB29" s="6">
        <f>IF(最佳化斷筋點!D29="","",最佳化斷筋點!D29)</f>
        <v>3</v>
      </c>
      <c r="AC29" s="6">
        <f>IF(最佳化斷筋點!E29="","",最佳化斷筋點!E29)</f>
        <v>3</v>
      </c>
      <c r="AD29" s="6">
        <f>IF(最佳化斷筋點!F29="","",最佳化斷筋點!F29)</f>
        <v>3</v>
      </c>
      <c r="AE29" s="6">
        <f>IF(最佳化斷筋點!G29="","",最佳化斷筋點!G29)</f>
        <v>3</v>
      </c>
      <c r="AF29" s="6">
        <f>IF(最佳化斷筋點!H29="","",最佳化斷筋點!H29)</f>
        <v>2</v>
      </c>
      <c r="AG29" s="6">
        <f>IF(最佳化斷筋點!I29="","",最佳化斷筋點!I29)</f>
        <v>3</v>
      </c>
      <c r="AH29" s="6">
        <f>IF(最佳化斷筋點!J29="","",最佳化斷筋點!J29)</f>
        <v>3</v>
      </c>
      <c r="AI29" s="6">
        <f>IF(最佳化斷筋點!K29="","",最佳化斷筋點!K29)</f>
        <v>3</v>
      </c>
      <c r="AJ29" s="6">
        <f>IF(最佳化斷筋點!L29="","",最佳化斷筋點!L29)</f>
        <v>3</v>
      </c>
      <c r="AK29" s="6">
        <f>IF(最佳化斷筋點!M29="","",最佳化斷筋點!M29)</f>
        <v>3</v>
      </c>
      <c r="AL29" s="6">
        <f>IF(最佳化斷筋點!N29="","",最佳化斷筋點!N29)</f>
        <v>3</v>
      </c>
      <c r="AM29" s="6">
        <f>IF(最佳化斷筋點!O29="","",最佳化斷筋點!O29)</f>
        <v>3</v>
      </c>
      <c r="AN29" s="6">
        <f>IF(最佳化斷筋點!P29="","",最佳化斷筋點!P29)</f>
        <v>3</v>
      </c>
      <c r="AO29" s="6">
        <f>IF(最佳化斷筋點!Q29="","",最佳化斷筋點!Q29)</f>
        <v>3</v>
      </c>
      <c r="AP29" s="6">
        <f>IF(最佳化斷筋點!R29="","",最佳化斷筋點!R29)</f>
        <v>3</v>
      </c>
      <c r="AQ29" s="6">
        <f>IF(最佳化斷筋點!S29="","",最佳化斷筋點!S29)</f>
        <v>3</v>
      </c>
      <c r="AR29" s="6">
        <f>IF(最佳化斷筋點!T29="","",最佳化斷筋點!T29)</f>
        <v>2</v>
      </c>
      <c r="AS29" s="6">
        <f>IF(最佳化斷筋點!U29="","",最佳化斷筋點!U29)</f>
        <v>3</v>
      </c>
      <c r="AT29" s="6">
        <f>IF(最佳化斷筋點!V29="","",最佳化斷筋點!V29)</f>
        <v>3</v>
      </c>
      <c r="AU29" s="6">
        <f>IF(最佳化斷筋點!W29="","",最佳化斷筋點!W29)</f>
        <v>3</v>
      </c>
      <c r="AV29" s="6">
        <f>IF(最佳化斷筋點!X29="","",最佳化斷筋點!X29)</f>
        <v>3</v>
      </c>
      <c r="AX29" s="6" t="s">
        <v>51</v>
      </c>
      <c r="AY29" s="6">
        <v>3</v>
      </c>
      <c r="AZ29" s="6">
        <v>3</v>
      </c>
      <c r="BA29" s="6">
        <v>3</v>
      </c>
      <c r="BB29" s="6">
        <v>3</v>
      </c>
      <c r="BC29" s="6">
        <v>2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2</v>
      </c>
      <c r="BP29" s="6">
        <v>3</v>
      </c>
      <c r="BQ29" s="6">
        <v>3</v>
      </c>
      <c r="BR29" s="6">
        <v>3</v>
      </c>
      <c r="BS29" s="6">
        <v>3</v>
      </c>
    </row>
    <row r="30" spans="4:71" x14ac:dyDescent="0.25">
      <c r="E30" s="6">
        <f t="shared" si="1"/>
        <v>0</v>
      </c>
      <c r="F30" s="6">
        <f t="shared" si="2"/>
        <v>0</v>
      </c>
      <c r="G30" s="6">
        <f t="shared" si="3"/>
        <v>0</v>
      </c>
      <c r="H30" s="6">
        <f t="shared" si="4"/>
        <v>0</v>
      </c>
      <c r="I30" s="6">
        <f t="shared" si="5"/>
        <v>0</v>
      </c>
      <c r="J30" s="6">
        <f t="shared" si="6"/>
        <v>0</v>
      </c>
      <c r="K30" s="6">
        <f t="shared" si="7"/>
        <v>0</v>
      </c>
      <c r="L30" s="6">
        <f t="shared" si="8"/>
        <v>0</v>
      </c>
      <c r="M30" s="6">
        <f t="shared" si="9"/>
        <v>0</v>
      </c>
      <c r="N30" s="6">
        <f t="shared" si="10"/>
        <v>0</v>
      </c>
      <c r="O30" s="6">
        <f t="shared" si="11"/>
        <v>0</v>
      </c>
      <c r="P30" s="6">
        <f t="shared" si="12"/>
        <v>0</v>
      </c>
      <c r="Q30" s="6">
        <f t="shared" si="13"/>
        <v>0</v>
      </c>
      <c r="R30" s="6">
        <f t="shared" si="14"/>
        <v>0</v>
      </c>
      <c r="S30" s="6">
        <f t="shared" si="15"/>
        <v>0</v>
      </c>
      <c r="T30" s="6">
        <f t="shared" si="16"/>
        <v>0</v>
      </c>
      <c r="U30" s="6">
        <f t="shared" si="17"/>
        <v>0</v>
      </c>
      <c r="V30" s="6">
        <f t="shared" si="18"/>
        <v>0</v>
      </c>
      <c r="W30" s="6">
        <f t="shared" si="19"/>
        <v>0</v>
      </c>
      <c r="X30" s="6">
        <f t="shared" si="20"/>
        <v>0</v>
      </c>
      <c r="Y30" s="6">
        <f t="shared" si="21"/>
        <v>0</v>
      </c>
      <c r="AA30" s="6" t="str">
        <f>IF(最佳化斷筋點!C30="","",最佳化斷筋點!C30)</f>
        <v/>
      </c>
      <c r="AB30" s="6" t="str">
        <f>IF(最佳化斷筋點!D30="","",最佳化斷筋點!D30)</f>
        <v/>
      </c>
      <c r="AC30" s="6" t="str">
        <f>IF(最佳化斷筋點!E30="","",最佳化斷筋點!E30)</f>
        <v/>
      </c>
      <c r="AD30" s="6" t="str">
        <f>IF(最佳化斷筋點!F30="","",最佳化斷筋點!F30)</f>
        <v/>
      </c>
      <c r="AE30" s="6" t="str">
        <f>IF(最佳化斷筋點!G30="","",最佳化斷筋點!G30)</f>
        <v/>
      </c>
      <c r="AF30" s="6" t="str">
        <f>IF(最佳化斷筋點!H30="","",最佳化斷筋點!H30)</f>
        <v/>
      </c>
      <c r="AG30" s="6" t="str">
        <f>IF(最佳化斷筋點!I30="","",最佳化斷筋點!I30)</f>
        <v/>
      </c>
      <c r="AH30" s="6" t="str">
        <f>IF(最佳化斷筋點!J30="","",最佳化斷筋點!J30)</f>
        <v/>
      </c>
      <c r="AI30" s="6" t="str">
        <f>IF(最佳化斷筋點!K30="","",最佳化斷筋點!K30)</f>
        <v/>
      </c>
      <c r="AJ30" s="6" t="str">
        <f>IF(最佳化斷筋點!L30="","",最佳化斷筋點!L30)</f>
        <v/>
      </c>
      <c r="AK30" s="6" t="str">
        <f>IF(最佳化斷筋點!M30="","",最佳化斷筋點!M30)</f>
        <v/>
      </c>
      <c r="AL30" s="6" t="str">
        <f>IF(最佳化斷筋點!N30="","",最佳化斷筋點!N30)</f>
        <v/>
      </c>
      <c r="AM30" s="6" t="str">
        <f>IF(最佳化斷筋點!O30="","",最佳化斷筋點!O30)</f>
        <v/>
      </c>
      <c r="AN30" s="6" t="str">
        <f>IF(最佳化斷筋點!P30="","",最佳化斷筋點!P30)</f>
        <v/>
      </c>
      <c r="AO30" s="6" t="str">
        <f>IF(最佳化斷筋點!Q30="","",最佳化斷筋點!Q30)</f>
        <v/>
      </c>
      <c r="AP30" s="6" t="str">
        <f>IF(最佳化斷筋點!R30="","",最佳化斷筋點!R30)</f>
        <v/>
      </c>
      <c r="AQ30" s="6" t="str">
        <f>IF(最佳化斷筋點!S30="","",最佳化斷筋點!S30)</f>
        <v/>
      </c>
      <c r="AR30" s="6" t="str">
        <f>IF(最佳化斷筋點!T30="","",最佳化斷筋點!T30)</f>
        <v/>
      </c>
      <c r="AS30" s="6" t="str">
        <f>IF(最佳化斷筋點!U30="","",最佳化斷筋點!U30)</f>
        <v/>
      </c>
      <c r="AT30" s="6" t="str">
        <f>IF(最佳化斷筋點!V30="","",最佳化斷筋點!V30)</f>
        <v/>
      </c>
      <c r="AU30" s="6" t="str">
        <f>IF(最佳化斷筋點!W30="","",最佳化斷筋點!W30)</f>
        <v/>
      </c>
      <c r="AV30" s="6" t="str">
        <f>IF(最佳化斷筋點!X30="","",最佳化斷筋點!X30)</f>
        <v/>
      </c>
    </row>
    <row r="31" spans="4:71" x14ac:dyDescent="0.25">
      <c r="D31" s="6" t="s">
        <v>50</v>
      </c>
      <c r="E31" s="6">
        <f t="shared" si="1"/>
        <v>0</v>
      </c>
      <c r="F31" s="6">
        <f t="shared" si="2"/>
        <v>0</v>
      </c>
      <c r="G31" s="6">
        <f t="shared" si="3"/>
        <v>0</v>
      </c>
      <c r="H31" s="6">
        <f t="shared" si="4"/>
        <v>0</v>
      </c>
      <c r="I31" s="6">
        <f t="shared" si="5"/>
        <v>0</v>
      </c>
      <c r="J31" s="6">
        <f t="shared" si="6"/>
        <v>0</v>
      </c>
      <c r="K31" s="6">
        <f t="shared" si="7"/>
        <v>0</v>
      </c>
      <c r="L31" s="6">
        <f t="shared" si="8"/>
        <v>0</v>
      </c>
      <c r="M31" s="6">
        <f t="shared" si="9"/>
        <v>0</v>
      </c>
      <c r="N31" s="6">
        <f t="shared" si="10"/>
        <v>0</v>
      </c>
      <c r="O31" s="6">
        <f t="shared" si="11"/>
        <v>0</v>
      </c>
      <c r="P31" s="6">
        <f t="shared" si="12"/>
        <v>0</v>
      </c>
      <c r="Q31" s="6">
        <f t="shared" si="13"/>
        <v>0</v>
      </c>
      <c r="R31" s="6">
        <f t="shared" si="14"/>
        <v>0</v>
      </c>
      <c r="S31" s="6">
        <f t="shared" si="15"/>
        <v>0</v>
      </c>
      <c r="T31" s="6">
        <f t="shared" si="16"/>
        <v>0</v>
      </c>
      <c r="U31" s="6">
        <f t="shared" si="17"/>
        <v>0</v>
      </c>
      <c r="V31" s="6">
        <f t="shared" si="18"/>
        <v>0</v>
      </c>
      <c r="W31" s="6">
        <f t="shared" si="19"/>
        <v>0</v>
      </c>
      <c r="X31" s="6">
        <f t="shared" si="20"/>
        <v>0</v>
      </c>
      <c r="Y31" s="6">
        <f t="shared" si="21"/>
        <v>0</v>
      </c>
      <c r="AA31" s="6" t="str">
        <f>IF(最佳化斷筋點!C31="","",最佳化斷筋點!C31)</f>
        <v>上層</v>
      </c>
      <c r="AB31" s="6">
        <f>IF(最佳化斷筋點!D31="","",最佳化斷筋點!D31)</f>
        <v>4</v>
      </c>
      <c r="AC31" s="6">
        <f>IF(最佳化斷筋點!E31="","",最佳化斷筋點!E31)</f>
        <v>4</v>
      </c>
      <c r="AD31" s="6">
        <f>IF(最佳化斷筋點!F31="","",最佳化斷筋點!F31)</f>
        <v>4</v>
      </c>
      <c r="AE31" s="6">
        <f>IF(最佳化斷筋點!G31="","",最佳化斷筋點!G31)</f>
        <v>3</v>
      </c>
      <c r="AF31" s="6">
        <f>IF(最佳化斷筋點!H31="","",最佳化斷筋點!H31)</f>
        <v>3</v>
      </c>
      <c r="AG31" s="6">
        <f>IF(最佳化斷筋點!I31="","",最佳化斷筋點!I31)</f>
        <v>3</v>
      </c>
      <c r="AH31" s="6">
        <f>IF(最佳化斷筋點!J31="","",最佳化斷筋點!J31)</f>
        <v>2</v>
      </c>
      <c r="AI31" s="6">
        <f>IF(最佳化斷筋點!K31="","",最佳化斷筋點!K31)</f>
        <v>2</v>
      </c>
      <c r="AJ31" s="6">
        <f>IF(最佳化斷筋點!L31="","",最佳化斷筋點!L31)</f>
        <v>2</v>
      </c>
      <c r="AK31" s="6">
        <f>IF(最佳化斷筋點!M31="","",最佳化斷筋點!M31)</f>
        <v>2</v>
      </c>
      <c r="AL31" s="6">
        <f>IF(最佳化斷筋點!N31="","",最佳化斷筋點!N31)</f>
        <v>2</v>
      </c>
      <c r="AM31" s="6">
        <f>IF(最佳化斷筋點!O31="","",最佳化斷筋點!O31)</f>
        <v>2</v>
      </c>
      <c r="AN31" s="6">
        <f>IF(最佳化斷筋點!P31="","",最佳化斷筋點!P31)</f>
        <v>2</v>
      </c>
      <c r="AO31" s="6">
        <f>IF(最佳化斷筋點!Q31="","",最佳化斷筋點!Q31)</f>
        <v>2</v>
      </c>
      <c r="AP31" s="6">
        <f>IF(最佳化斷筋點!R31="","",最佳化斷筋點!R31)</f>
        <v>2</v>
      </c>
      <c r="AQ31" s="6">
        <f>IF(最佳化斷筋點!S31="","",最佳化斷筋點!S31)</f>
        <v>2</v>
      </c>
      <c r="AR31" s="6">
        <f>IF(最佳化斷筋點!T31="","",最佳化斷筋點!T31)</f>
        <v>3</v>
      </c>
      <c r="AS31" s="6">
        <f>IF(最佳化斷筋點!U31="","",最佳化斷筋點!U31)</f>
        <v>3</v>
      </c>
      <c r="AT31" s="6">
        <f>IF(最佳化斷筋點!V31="","",最佳化斷筋點!V31)</f>
        <v>4</v>
      </c>
      <c r="AU31" s="6">
        <f>IF(最佳化斷筋點!W31="","",最佳化斷筋點!W31)</f>
        <v>4</v>
      </c>
      <c r="AV31" s="6">
        <f>IF(最佳化斷筋點!X31="","",最佳化斷筋點!X31)</f>
        <v>4</v>
      </c>
      <c r="AX31" s="6" t="s">
        <v>50</v>
      </c>
      <c r="AY31" s="6">
        <v>4</v>
      </c>
      <c r="AZ31" s="6">
        <v>4</v>
      </c>
      <c r="BA31" s="6">
        <v>4</v>
      </c>
      <c r="BB31" s="6">
        <v>3</v>
      </c>
      <c r="BC31" s="6">
        <v>3</v>
      </c>
      <c r="BD31" s="6">
        <v>3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</row>
    <row r="32" spans="4:71" x14ac:dyDescent="0.25">
      <c r="E32" s="6">
        <f t="shared" si="1"/>
        <v>0</v>
      </c>
      <c r="F32" s="6">
        <f t="shared" si="2"/>
        <v>0</v>
      </c>
      <c r="G32" s="6">
        <f t="shared" si="3"/>
        <v>0</v>
      </c>
      <c r="H32" s="6">
        <f t="shared" si="4"/>
        <v>0</v>
      </c>
      <c r="I32" s="6">
        <f t="shared" si="5"/>
        <v>0</v>
      </c>
      <c r="J32" s="6">
        <f t="shared" si="6"/>
        <v>0</v>
      </c>
      <c r="K32" s="6">
        <f t="shared" si="7"/>
        <v>0</v>
      </c>
      <c r="L32" s="6">
        <f t="shared" si="8"/>
        <v>0</v>
      </c>
      <c r="M32" s="6">
        <f t="shared" si="9"/>
        <v>0</v>
      </c>
      <c r="N32" s="6">
        <f t="shared" si="10"/>
        <v>0</v>
      </c>
      <c r="O32" s="6">
        <f t="shared" si="11"/>
        <v>0</v>
      </c>
      <c r="P32" s="6">
        <f t="shared" si="12"/>
        <v>0</v>
      </c>
      <c r="Q32" s="6">
        <f t="shared" si="13"/>
        <v>0</v>
      </c>
      <c r="R32" s="6">
        <f t="shared" si="14"/>
        <v>0</v>
      </c>
      <c r="S32" s="6">
        <f t="shared" si="15"/>
        <v>0</v>
      </c>
      <c r="T32" s="6">
        <f t="shared" si="16"/>
        <v>0</v>
      </c>
      <c r="U32" s="6">
        <f t="shared" si="17"/>
        <v>0</v>
      </c>
      <c r="V32" s="6">
        <f t="shared" si="18"/>
        <v>0</v>
      </c>
      <c r="W32" s="6">
        <f t="shared" si="19"/>
        <v>0</v>
      </c>
      <c r="X32" s="6">
        <f t="shared" si="20"/>
        <v>0</v>
      </c>
      <c r="Y32" s="6">
        <f t="shared" si="21"/>
        <v>0</v>
      </c>
      <c r="AA32" s="6" t="str">
        <f>IF(最佳化斷筋點!C32="","",最佳化斷筋點!C32)</f>
        <v/>
      </c>
      <c r="AB32" s="6" t="str">
        <f>IF(最佳化斷筋點!D32="","",最佳化斷筋點!D32)</f>
        <v/>
      </c>
      <c r="AC32" s="6" t="str">
        <f>IF(最佳化斷筋點!E32="","",最佳化斷筋點!E32)</f>
        <v/>
      </c>
      <c r="AD32" s="6" t="str">
        <f>IF(最佳化斷筋點!F32="","",最佳化斷筋點!F32)</f>
        <v/>
      </c>
      <c r="AE32" s="6" t="str">
        <f>IF(最佳化斷筋點!G32="","",最佳化斷筋點!G32)</f>
        <v/>
      </c>
      <c r="AF32" s="6" t="str">
        <f>IF(最佳化斷筋點!H32="","",最佳化斷筋點!H32)</f>
        <v/>
      </c>
      <c r="AG32" s="6" t="str">
        <f>IF(最佳化斷筋點!I32="","",最佳化斷筋點!I32)</f>
        <v/>
      </c>
      <c r="AH32" s="6" t="str">
        <f>IF(最佳化斷筋點!J32="","",最佳化斷筋點!J32)</f>
        <v/>
      </c>
      <c r="AI32" s="6" t="str">
        <f>IF(最佳化斷筋點!K32="","",最佳化斷筋點!K32)</f>
        <v/>
      </c>
      <c r="AJ32" s="6" t="str">
        <f>IF(最佳化斷筋點!L32="","",最佳化斷筋點!L32)</f>
        <v/>
      </c>
      <c r="AK32" s="6" t="str">
        <f>IF(最佳化斷筋點!M32="","",最佳化斷筋點!M32)</f>
        <v/>
      </c>
      <c r="AL32" s="6" t="str">
        <f>IF(最佳化斷筋點!N32="","",最佳化斷筋點!N32)</f>
        <v/>
      </c>
      <c r="AM32" s="6" t="str">
        <f>IF(最佳化斷筋點!O32="","",最佳化斷筋點!O32)</f>
        <v/>
      </c>
      <c r="AN32" s="6" t="str">
        <f>IF(最佳化斷筋點!P32="","",最佳化斷筋點!P32)</f>
        <v/>
      </c>
      <c r="AO32" s="6" t="str">
        <f>IF(最佳化斷筋點!Q32="","",最佳化斷筋點!Q32)</f>
        <v/>
      </c>
      <c r="AP32" s="6" t="str">
        <f>IF(最佳化斷筋點!R32="","",最佳化斷筋點!R32)</f>
        <v/>
      </c>
      <c r="AQ32" s="6" t="str">
        <f>IF(最佳化斷筋點!S32="","",最佳化斷筋點!S32)</f>
        <v/>
      </c>
      <c r="AR32" s="6" t="str">
        <f>IF(最佳化斷筋點!T32="","",最佳化斷筋點!T32)</f>
        <v/>
      </c>
      <c r="AS32" s="6" t="str">
        <f>IF(最佳化斷筋點!U32="","",最佳化斷筋點!U32)</f>
        <v/>
      </c>
      <c r="AT32" s="6" t="str">
        <f>IF(最佳化斷筋點!V32="","",最佳化斷筋點!V32)</f>
        <v/>
      </c>
      <c r="AU32" s="6" t="str">
        <f>IF(最佳化斷筋點!W32="","",最佳化斷筋點!W32)</f>
        <v/>
      </c>
      <c r="AV32" s="6" t="str">
        <f>IF(最佳化斷筋點!X32="","",最佳化斷筋點!X32)</f>
        <v/>
      </c>
    </row>
    <row r="33" spans="4:71" x14ac:dyDescent="0.25">
      <c r="D33" s="6" t="s">
        <v>51</v>
      </c>
      <c r="E33" s="6">
        <f t="shared" si="1"/>
        <v>0</v>
      </c>
      <c r="F33" s="6">
        <f t="shared" si="2"/>
        <v>0</v>
      </c>
      <c r="G33" s="6">
        <f t="shared" si="3"/>
        <v>0</v>
      </c>
      <c r="H33" s="6">
        <f t="shared" si="4"/>
        <v>0</v>
      </c>
      <c r="I33" s="6">
        <f t="shared" si="5"/>
        <v>0</v>
      </c>
      <c r="J33" s="6">
        <f t="shared" si="6"/>
        <v>0</v>
      </c>
      <c r="K33" s="6">
        <f t="shared" si="7"/>
        <v>0</v>
      </c>
      <c r="L33" s="6">
        <f t="shared" si="8"/>
        <v>0</v>
      </c>
      <c r="M33" s="6">
        <f t="shared" si="9"/>
        <v>0</v>
      </c>
      <c r="N33" s="6">
        <f t="shared" si="10"/>
        <v>0</v>
      </c>
      <c r="O33" s="6">
        <f t="shared" si="11"/>
        <v>0</v>
      </c>
      <c r="P33" s="6">
        <f t="shared" si="12"/>
        <v>0</v>
      </c>
      <c r="Q33" s="6">
        <f t="shared" si="13"/>
        <v>0</v>
      </c>
      <c r="R33" s="6">
        <f t="shared" si="14"/>
        <v>0</v>
      </c>
      <c r="S33" s="6">
        <f t="shared" si="15"/>
        <v>0</v>
      </c>
      <c r="T33" s="6">
        <f t="shared" si="16"/>
        <v>0</v>
      </c>
      <c r="U33" s="6">
        <f t="shared" si="17"/>
        <v>0</v>
      </c>
      <c r="V33" s="6">
        <f t="shared" si="18"/>
        <v>0</v>
      </c>
      <c r="W33" s="6">
        <f t="shared" si="19"/>
        <v>0</v>
      </c>
      <c r="X33" s="6">
        <f t="shared" si="20"/>
        <v>0</v>
      </c>
      <c r="Y33" s="6">
        <f t="shared" si="21"/>
        <v>0</v>
      </c>
      <c r="AA33" s="6" t="str">
        <f>IF(最佳化斷筋點!C33="","",最佳化斷筋點!C33)</f>
        <v>下層</v>
      </c>
      <c r="AB33" s="6">
        <f>IF(最佳化斷筋點!D33="","",最佳化斷筋點!D33)</f>
        <v>3</v>
      </c>
      <c r="AC33" s="6">
        <f>IF(最佳化斷筋點!E33="","",最佳化斷筋點!E33)</f>
        <v>3</v>
      </c>
      <c r="AD33" s="6">
        <f>IF(最佳化斷筋點!F33="","",最佳化斷筋點!F33)</f>
        <v>3</v>
      </c>
      <c r="AE33" s="6">
        <f>IF(最佳化斷筋點!G33="","",最佳化斷筋點!G33)</f>
        <v>3</v>
      </c>
      <c r="AF33" s="6">
        <f>IF(最佳化斷筋點!H33="","",最佳化斷筋點!H33)</f>
        <v>2</v>
      </c>
      <c r="AG33" s="6">
        <f>IF(最佳化斷筋點!I33="","",最佳化斷筋點!I33)</f>
        <v>3</v>
      </c>
      <c r="AH33" s="6">
        <f>IF(最佳化斷筋點!J33="","",最佳化斷筋點!J33)</f>
        <v>3</v>
      </c>
      <c r="AI33" s="6">
        <f>IF(最佳化斷筋點!K33="","",最佳化斷筋點!K33)</f>
        <v>3</v>
      </c>
      <c r="AJ33" s="6">
        <f>IF(最佳化斷筋點!L33="","",最佳化斷筋點!L33)</f>
        <v>3</v>
      </c>
      <c r="AK33" s="6">
        <f>IF(最佳化斷筋點!M33="","",最佳化斷筋點!M33)</f>
        <v>3</v>
      </c>
      <c r="AL33" s="6">
        <f>IF(最佳化斷筋點!N33="","",最佳化斷筋點!N33)</f>
        <v>3</v>
      </c>
      <c r="AM33" s="6">
        <f>IF(最佳化斷筋點!O33="","",最佳化斷筋點!O33)</f>
        <v>3</v>
      </c>
      <c r="AN33" s="6">
        <f>IF(最佳化斷筋點!P33="","",最佳化斷筋點!P33)</f>
        <v>3</v>
      </c>
      <c r="AO33" s="6">
        <f>IF(最佳化斷筋點!Q33="","",最佳化斷筋點!Q33)</f>
        <v>3</v>
      </c>
      <c r="AP33" s="6">
        <f>IF(最佳化斷筋點!R33="","",最佳化斷筋點!R33)</f>
        <v>3</v>
      </c>
      <c r="AQ33" s="6">
        <f>IF(最佳化斷筋點!S33="","",最佳化斷筋點!S33)</f>
        <v>3</v>
      </c>
      <c r="AR33" s="6">
        <f>IF(最佳化斷筋點!T33="","",最佳化斷筋點!T33)</f>
        <v>2</v>
      </c>
      <c r="AS33" s="6">
        <f>IF(最佳化斷筋點!U33="","",最佳化斷筋點!U33)</f>
        <v>3</v>
      </c>
      <c r="AT33" s="6">
        <f>IF(最佳化斷筋點!V33="","",最佳化斷筋點!V33)</f>
        <v>3</v>
      </c>
      <c r="AU33" s="6">
        <f>IF(最佳化斷筋點!W33="","",最佳化斷筋點!W33)</f>
        <v>3</v>
      </c>
      <c r="AV33" s="6">
        <f>IF(最佳化斷筋點!X33="","",最佳化斷筋點!X33)</f>
        <v>3</v>
      </c>
      <c r="AX33" s="6" t="s">
        <v>51</v>
      </c>
      <c r="AY33" s="6">
        <v>3</v>
      </c>
      <c r="AZ33" s="6">
        <v>3</v>
      </c>
      <c r="BA33" s="6">
        <v>3</v>
      </c>
      <c r="BB33" s="6">
        <v>3</v>
      </c>
      <c r="BC33" s="6">
        <v>2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2</v>
      </c>
      <c r="BP33" s="6">
        <v>3</v>
      </c>
      <c r="BQ33" s="6">
        <v>3</v>
      </c>
      <c r="BR33" s="6">
        <v>3</v>
      </c>
      <c r="BS33" s="6">
        <v>3</v>
      </c>
    </row>
    <row r="34" spans="4:71" x14ac:dyDescent="0.25">
      <c r="E34" s="6">
        <f t="shared" si="1"/>
        <v>0</v>
      </c>
      <c r="F34" s="6">
        <f t="shared" si="2"/>
        <v>0</v>
      </c>
      <c r="G34" s="6">
        <f t="shared" si="3"/>
        <v>0</v>
      </c>
      <c r="H34" s="6">
        <f t="shared" si="4"/>
        <v>0</v>
      </c>
      <c r="I34" s="6">
        <f t="shared" si="5"/>
        <v>0</v>
      </c>
      <c r="J34" s="6">
        <f t="shared" si="6"/>
        <v>0</v>
      </c>
      <c r="K34" s="6">
        <f t="shared" si="7"/>
        <v>0</v>
      </c>
      <c r="L34" s="6">
        <f t="shared" si="8"/>
        <v>0</v>
      </c>
      <c r="M34" s="6">
        <f t="shared" si="9"/>
        <v>0</v>
      </c>
      <c r="N34" s="6">
        <f t="shared" si="10"/>
        <v>0</v>
      </c>
      <c r="O34" s="6">
        <f t="shared" si="11"/>
        <v>0</v>
      </c>
      <c r="P34" s="6">
        <f t="shared" si="12"/>
        <v>0</v>
      </c>
      <c r="Q34" s="6">
        <f t="shared" si="13"/>
        <v>0</v>
      </c>
      <c r="R34" s="6">
        <f t="shared" si="14"/>
        <v>0</v>
      </c>
      <c r="S34" s="6">
        <f t="shared" si="15"/>
        <v>0</v>
      </c>
      <c r="T34" s="6">
        <f t="shared" si="16"/>
        <v>0</v>
      </c>
      <c r="U34" s="6">
        <f t="shared" si="17"/>
        <v>0</v>
      </c>
      <c r="V34" s="6">
        <f t="shared" si="18"/>
        <v>0</v>
      </c>
      <c r="W34" s="6">
        <f t="shared" si="19"/>
        <v>0</v>
      </c>
      <c r="X34" s="6">
        <f t="shared" si="20"/>
        <v>0</v>
      </c>
      <c r="Y34" s="6">
        <f t="shared" si="21"/>
        <v>0</v>
      </c>
      <c r="AA34" s="6" t="str">
        <f>IF(最佳化斷筋點!C34="","",最佳化斷筋點!C34)</f>
        <v/>
      </c>
      <c r="AB34" s="6" t="str">
        <f>IF(最佳化斷筋點!D34="","",最佳化斷筋點!D34)</f>
        <v/>
      </c>
      <c r="AC34" s="6" t="str">
        <f>IF(最佳化斷筋點!E34="","",最佳化斷筋點!E34)</f>
        <v/>
      </c>
      <c r="AD34" s="6" t="str">
        <f>IF(最佳化斷筋點!F34="","",最佳化斷筋點!F34)</f>
        <v/>
      </c>
      <c r="AE34" s="6" t="str">
        <f>IF(最佳化斷筋點!G34="","",最佳化斷筋點!G34)</f>
        <v/>
      </c>
      <c r="AF34" s="6" t="str">
        <f>IF(最佳化斷筋點!H34="","",最佳化斷筋點!H34)</f>
        <v/>
      </c>
      <c r="AG34" s="6" t="str">
        <f>IF(最佳化斷筋點!I34="","",最佳化斷筋點!I34)</f>
        <v/>
      </c>
      <c r="AH34" s="6" t="str">
        <f>IF(最佳化斷筋點!J34="","",最佳化斷筋點!J34)</f>
        <v/>
      </c>
      <c r="AI34" s="6" t="str">
        <f>IF(最佳化斷筋點!K34="","",最佳化斷筋點!K34)</f>
        <v/>
      </c>
      <c r="AJ34" s="6" t="str">
        <f>IF(最佳化斷筋點!L34="","",最佳化斷筋點!L34)</f>
        <v/>
      </c>
      <c r="AK34" s="6" t="str">
        <f>IF(最佳化斷筋點!M34="","",最佳化斷筋點!M34)</f>
        <v/>
      </c>
      <c r="AL34" s="6" t="str">
        <f>IF(最佳化斷筋點!N34="","",最佳化斷筋點!N34)</f>
        <v/>
      </c>
      <c r="AM34" s="6" t="str">
        <f>IF(最佳化斷筋點!O34="","",最佳化斷筋點!O34)</f>
        <v/>
      </c>
      <c r="AN34" s="6" t="str">
        <f>IF(最佳化斷筋點!P34="","",最佳化斷筋點!P34)</f>
        <v/>
      </c>
      <c r="AO34" s="6" t="str">
        <f>IF(最佳化斷筋點!Q34="","",最佳化斷筋點!Q34)</f>
        <v/>
      </c>
      <c r="AP34" s="6" t="str">
        <f>IF(最佳化斷筋點!R34="","",最佳化斷筋點!R34)</f>
        <v/>
      </c>
      <c r="AQ34" s="6" t="str">
        <f>IF(最佳化斷筋點!S34="","",最佳化斷筋點!S34)</f>
        <v/>
      </c>
      <c r="AR34" s="6" t="str">
        <f>IF(最佳化斷筋點!T34="","",最佳化斷筋點!T34)</f>
        <v/>
      </c>
      <c r="AS34" s="6" t="str">
        <f>IF(最佳化斷筋點!U34="","",最佳化斷筋點!U34)</f>
        <v/>
      </c>
      <c r="AT34" s="6" t="str">
        <f>IF(最佳化斷筋點!V34="","",最佳化斷筋點!V34)</f>
        <v/>
      </c>
      <c r="AU34" s="6" t="str">
        <f>IF(最佳化斷筋點!W34="","",最佳化斷筋點!W34)</f>
        <v/>
      </c>
      <c r="AV34" s="6" t="str">
        <f>IF(最佳化斷筋點!X34="","",最佳化斷筋點!X34)</f>
        <v/>
      </c>
    </row>
    <row r="35" spans="4:71" x14ac:dyDescent="0.25">
      <c r="D35" s="6" t="s">
        <v>50</v>
      </c>
      <c r="E35" s="6">
        <f t="shared" si="1"/>
        <v>0</v>
      </c>
      <c r="F35" s="6">
        <f t="shared" si="2"/>
        <v>0</v>
      </c>
      <c r="G35" s="6">
        <f t="shared" si="3"/>
        <v>0</v>
      </c>
      <c r="H35" s="6">
        <f t="shared" si="4"/>
        <v>0</v>
      </c>
      <c r="I35" s="6">
        <f t="shared" si="5"/>
        <v>0</v>
      </c>
      <c r="J35" s="6">
        <f t="shared" si="6"/>
        <v>0</v>
      </c>
      <c r="K35" s="6">
        <f t="shared" si="7"/>
        <v>0</v>
      </c>
      <c r="L35" s="6">
        <f t="shared" si="8"/>
        <v>0</v>
      </c>
      <c r="M35" s="6">
        <f t="shared" si="9"/>
        <v>0</v>
      </c>
      <c r="N35" s="6">
        <f t="shared" si="10"/>
        <v>0</v>
      </c>
      <c r="O35" s="6">
        <f t="shared" si="11"/>
        <v>0</v>
      </c>
      <c r="P35" s="6">
        <f t="shared" si="12"/>
        <v>0</v>
      </c>
      <c r="Q35" s="6">
        <f t="shared" si="13"/>
        <v>0</v>
      </c>
      <c r="R35" s="6">
        <f t="shared" si="14"/>
        <v>0</v>
      </c>
      <c r="S35" s="6">
        <f t="shared" si="15"/>
        <v>0</v>
      </c>
      <c r="T35" s="6">
        <f t="shared" si="16"/>
        <v>0</v>
      </c>
      <c r="U35" s="6">
        <f t="shared" si="17"/>
        <v>0</v>
      </c>
      <c r="V35" s="6">
        <f t="shared" si="18"/>
        <v>0</v>
      </c>
      <c r="W35" s="6">
        <f t="shared" si="19"/>
        <v>0</v>
      </c>
      <c r="X35" s="6">
        <f t="shared" si="20"/>
        <v>0</v>
      </c>
      <c r="Y35" s="6">
        <f t="shared" si="21"/>
        <v>0</v>
      </c>
      <c r="AA35" s="6" t="str">
        <f>IF(最佳化斷筋點!C35="","",最佳化斷筋點!C35)</f>
        <v>上層</v>
      </c>
      <c r="AB35" s="6">
        <f>IF(最佳化斷筋點!D35="","",最佳化斷筋點!D35)</f>
        <v>4</v>
      </c>
      <c r="AC35" s="6">
        <f>IF(最佳化斷筋點!E35="","",最佳化斷筋點!E35)</f>
        <v>4</v>
      </c>
      <c r="AD35" s="6">
        <f>IF(最佳化斷筋點!F35="","",最佳化斷筋點!F35)</f>
        <v>4</v>
      </c>
      <c r="AE35" s="6">
        <f>IF(最佳化斷筋點!G35="","",最佳化斷筋點!G35)</f>
        <v>3</v>
      </c>
      <c r="AF35" s="6">
        <f>IF(最佳化斷筋點!H35="","",最佳化斷筋點!H35)</f>
        <v>3</v>
      </c>
      <c r="AG35" s="6">
        <f>IF(最佳化斷筋點!I35="","",最佳化斷筋點!I35)</f>
        <v>3</v>
      </c>
      <c r="AH35" s="6">
        <f>IF(最佳化斷筋點!J35="","",最佳化斷筋點!J35)</f>
        <v>2</v>
      </c>
      <c r="AI35" s="6">
        <f>IF(最佳化斷筋點!K35="","",最佳化斷筋點!K35)</f>
        <v>2</v>
      </c>
      <c r="AJ35" s="6">
        <f>IF(最佳化斷筋點!L35="","",最佳化斷筋點!L35)</f>
        <v>2</v>
      </c>
      <c r="AK35" s="6">
        <f>IF(最佳化斷筋點!M35="","",最佳化斷筋點!M35)</f>
        <v>2</v>
      </c>
      <c r="AL35" s="6">
        <f>IF(最佳化斷筋點!N35="","",最佳化斷筋點!N35)</f>
        <v>2</v>
      </c>
      <c r="AM35" s="6">
        <f>IF(最佳化斷筋點!O35="","",最佳化斷筋點!O35)</f>
        <v>2</v>
      </c>
      <c r="AN35" s="6">
        <f>IF(最佳化斷筋點!P35="","",最佳化斷筋點!P35)</f>
        <v>2</v>
      </c>
      <c r="AO35" s="6">
        <f>IF(最佳化斷筋點!Q35="","",最佳化斷筋點!Q35)</f>
        <v>2</v>
      </c>
      <c r="AP35" s="6">
        <f>IF(最佳化斷筋點!R35="","",最佳化斷筋點!R35)</f>
        <v>2</v>
      </c>
      <c r="AQ35" s="6">
        <f>IF(最佳化斷筋點!S35="","",最佳化斷筋點!S35)</f>
        <v>2</v>
      </c>
      <c r="AR35" s="6">
        <f>IF(最佳化斷筋點!T35="","",最佳化斷筋點!T35)</f>
        <v>3</v>
      </c>
      <c r="AS35" s="6">
        <f>IF(最佳化斷筋點!U35="","",最佳化斷筋點!U35)</f>
        <v>3</v>
      </c>
      <c r="AT35" s="6">
        <f>IF(最佳化斷筋點!V35="","",最佳化斷筋點!V35)</f>
        <v>4</v>
      </c>
      <c r="AU35" s="6">
        <f>IF(最佳化斷筋點!W35="","",最佳化斷筋點!W35)</f>
        <v>4</v>
      </c>
      <c r="AV35" s="6">
        <f>IF(最佳化斷筋點!X35="","",最佳化斷筋點!X35)</f>
        <v>4</v>
      </c>
      <c r="AX35" s="6" t="s">
        <v>50</v>
      </c>
      <c r="AY35" s="6">
        <v>4</v>
      </c>
      <c r="AZ35" s="6">
        <v>4</v>
      </c>
      <c r="BA35" s="6">
        <v>4</v>
      </c>
      <c r="BB35" s="6">
        <v>3</v>
      </c>
      <c r="BC35" s="6">
        <v>3</v>
      </c>
      <c r="BD35" s="6">
        <v>3</v>
      </c>
      <c r="BE35" s="6">
        <v>2</v>
      </c>
      <c r="BF35" s="6">
        <v>2</v>
      </c>
      <c r="BG35" s="6">
        <v>2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</row>
    <row r="36" spans="4:71" x14ac:dyDescent="0.25">
      <c r="E36" s="6">
        <f t="shared" si="1"/>
        <v>0</v>
      </c>
      <c r="F36" s="6">
        <f t="shared" si="2"/>
        <v>0</v>
      </c>
      <c r="G36" s="6">
        <f t="shared" si="3"/>
        <v>0</v>
      </c>
      <c r="H36" s="6">
        <f t="shared" si="4"/>
        <v>0</v>
      </c>
      <c r="I36" s="6">
        <f t="shared" si="5"/>
        <v>0</v>
      </c>
      <c r="J36" s="6">
        <f t="shared" si="6"/>
        <v>0</v>
      </c>
      <c r="K36" s="6">
        <f t="shared" si="7"/>
        <v>0</v>
      </c>
      <c r="L36" s="6">
        <f t="shared" si="8"/>
        <v>0</v>
      </c>
      <c r="M36" s="6">
        <f t="shared" si="9"/>
        <v>0</v>
      </c>
      <c r="N36" s="6">
        <f t="shared" si="10"/>
        <v>0</v>
      </c>
      <c r="O36" s="6">
        <f t="shared" si="11"/>
        <v>0</v>
      </c>
      <c r="P36" s="6">
        <f t="shared" si="12"/>
        <v>0</v>
      </c>
      <c r="Q36" s="6">
        <f t="shared" si="13"/>
        <v>0</v>
      </c>
      <c r="R36" s="6">
        <f t="shared" si="14"/>
        <v>0</v>
      </c>
      <c r="S36" s="6">
        <f t="shared" si="15"/>
        <v>0</v>
      </c>
      <c r="T36" s="6">
        <f t="shared" si="16"/>
        <v>0</v>
      </c>
      <c r="U36" s="6">
        <f t="shared" si="17"/>
        <v>0</v>
      </c>
      <c r="V36" s="6">
        <f t="shared" si="18"/>
        <v>0</v>
      </c>
      <c r="W36" s="6">
        <f t="shared" si="19"/>
        <v>0</v>
      </c>
      <c r="X36" s="6">
        <f t="shared" si="20"/>
        <v>0</v>
      </c>
      <c r="Y36" s="6">
        <f t="shared" si="21"/>
        <v>0</v>
      </c>
      <c r="AA36" s="6" t="str">
        <f>IF(最佳化斷筋點!C36="","",最佳化斷筋點!C36)</f>
        <v/>
      </c>
      <c r="AB36" s="6" t="str">
        <f>IF(最佳化斷筋點!D36="","",最佳化斷筋點!D36)</f>
        <v/>
      </c>
      <c r="AC36" s="6" t="str">
        <f>IF(最佳化斷筋點!E36="","",最佳化斷筋點!E36)</f>
        <v/>
      </c>
      <c r="AD36" s="6" t="str">
        <f>IF(最佳化斷筋點!F36="","",最佳化斷筋點!F36)</f>
        <v/>
      </c>
      <c r="AE36" s="6" t="str">
        <f>IF(最佳化斷筋點!G36="","",最佳化斷筋點!G36)</f>
        <v/>
      </c>
      <c r="AF36" s="6" t="str">
        <f>IF(最佳化斷筋點!H36="","",最佳化斷筋點!H36)</f>
        <v/>
      </c>
      <c r="AG36" s="6" t="str">
        <f>IF(最佳化斷筋點!I36="","",最佳化斷筋點!I36)</f>
        <v/>
      </c>
      <c r="AH36" s="6" t="str">
        <f>IF(最佳化斷筋點!J36="","",最佳化斷筋點!J36)</f>
        <v/>
      </c>
      <c r="AI36" s="6" t="str">
        <f>IF(最佳化斷筋點!K36="","",最佳化斷筋點!K36)</f>
        <v/>
      </c>
      <c r="AJ36" s="6" t="str">
        <f>IF(最佳化斷筋點!L36="","",最佳化斷筋點!L36)</f>
        <v/>
      </c>
      <c r="AK36" s="6" t="str">
        <f>IF(最佳化斷筋點!M36="","",最佳化斷筋點!M36)</f>
        <v/>
      </c>
      <c r="AL36" s="6" t="str">
        <f>IF(最佳化斷筋點!N36="","",最佳化斷筋點!N36)</f>
        <v/>
      </c>
      <c r="AM36" s="6" t="str">
        <f>IF(最佳化斷筋點!O36="","",最佳化斷筋點!O36)</f>
        <v/>
      </c>
      <c r="AN36" s="6" t="str">
        <f>IF(最佳化斷筋點!P36="","",最佳化斷筋點!P36)</f>
        <v/>
      </c>
      <c r="AO36" s="6" t="str">
        <f>IF(最佳化斷筋點!Q36="","",最佳化斷筋點!Q36)</f>
        <v/>
      </c>
      <c r="AP36" s="6" t="str">
        <f>IF(最佳化斷筋點!R36="","",最佳化斷筋點!R36)</f>
        <v/>
      </c>
      <c r="AQ36" s="6" t="str">
        <f>IF(最佳化斷筋點!S36="","",最佳化斷筋點!S36)</f>
        <v/>
      </c>
      <c r="AR36" s="6" t="str">
        <f>IF(最佳化斷筋點!T36="","",最佳化斷筋點!T36)</f>
        <v/>
      </c>
      <c r="AS36" s="6" t="str">
        <f>IF(最佳化斷筋點!U36="","",最佳化斷筋點!U36)</f>
        <v/>
      </c>
      <c r="AT36" s="6" t="str">
        <f>IF(最佳化斷筋點!V36="","",最佳化斷筋點!V36)</f>
        <v/>
      </c>
      <c r="AU36" s="6" t="str">
        <f>IF(最佳化斷筋點!W36="","",最佳化斷筋點!W36)</f>
        <v/>
      </c>
      <c r="AV36" s="6" t="str">
        <f>IF(最佳化斷筋點!X36="","",最佳化斷筋點!X36)</f>
        <v/>
      </c>
    </row>
    <row r="37" spans="4:71" x14ac:dyDescent="0.25">
      <c r="D37" s="6" t="s">
        <v>51</v>
      </c>
      <c r="E37" s="6">
        <f t="shared" si="1"/>
        <v>0</v>
      </c>
      <c r="F37" s="6">
        <f t="shared" si="2"/>
        <v>0</v>
      </c>
      <c r="G37" s="6">
        <f t="shared" si="3"/>
        <v>0</v>
      </c>
      <c r="H37" s="6">
        <f t="shared" si="4"/>
        <v>0</v>
      </c>
      <c r="I37" s="6">
        <f t="shared" si="5"/>
        <v>0</v>
      </c>
      <c r="J37" s="6">
        <f t="shared" si="6"/>
        <v>0</v>
      </c>
      <c r="K37" s="6">
        <f t="shared" si="7"/>
        <v>0</v>
      </c>
      <c r="L37" s="6">
        <f t="shared" si="8"/>
        <v>0</v>
      </c>
      <c r="M37" s="6">
        <f t="shared" si="9"/>
        <v>0</v>
      </c>
      <c r="N37" s="6">
        <f t="shared" si="10"/>
        <v>0</v>
      </c>
      <c r="O37" s="6">
        <f t="shared" si="11"/>
        <v>0</v>
      </c>
      <c r="P37" s="6">
        <f t="shared" si="12"/>
        <v>0</v>
      </c>
      <c r="Q37" s="6">
        <f t="shared" si="13"/>
        <v>0</v>
      </c>
      <c r="R37" s="6">
        <f t="shared" si="14"/>
        <v>0</v>
      </c>
      <c r="S37" s="6">
        <f t="shared" si="15"/>
        <v>0</v>
      </c>
      <c r="T37" s="6">
        <f t="shared" si="16"/>
        <v>0</v>
      </c>
      <c r="U37" s="6">
        <f t="shared" si="17"/>
        <v>0</v>
      </c>
      <c r="V37" s="6">
        <f t="shared" si="18"/>
        <v>0</v>
      </c>
      <c r="W37" s="6">
        <f t="shared" si="19"/>
        <v>0</v>
      </c>
      <c r="X37" s="6">
        <f t="shared" si="20"/>
        <v>0</v>
      </c>
      <c r="Y37" s="6">
        <f t="shared" si="21"/>
        <v>0</v>
      </c>
      <c r="AA37" s="6" t="str">
        <f>IF(最佳化斷筋點!C37="","",最佳化斷筋點!C37)</f>
        <v>下層</v>
      </c>
      <c r="AB37" s="6">
        <f>IF(最佳化斷筋點!D37="","",最佳化斷筋點!D37)</f>
        <v>3</v>
      </c>
      <c r="AC37" s="6">
        <f>IF(最佳化斷筋點!E37="","",最佳化斷筋點!E37)</f>
        <v>3</v>
      </c>
      <c r="AD37" s="6">
        <f>IF(最佳化斷筋點!F37="","",最佳化斷筋點!F37)</f>
        <v>3</v>
      </c>
      <c r="AE37" s="6">
        <f>IF(最佳化斷筋點!G37="","",最佳化斷筋點!G37)</f>
        <v>3</v>
      </c>
      <c r="AF37" s="6">
        <f>IF(最佳化斷筋點!H37="","",最佳化斷筋點!H37)</f>
        <v>2</v>
      </c>
      <c r="AG37" s="6">
        <f>IF(最佳化斷筋點!I37="","",最佳化斷筋點!I37)</f>
        <v>3</v>
      </c>
      <c r="AH37" s="6">
        <f>IF(最佳化斷筋點!J37="","",最佳化斷筋點!J37)</f>
        <v>3</v>
      </c>
      <c r="AI37" s="6">
        <f>IF(最佳化斷筋點!K37="","",最佳化斷筋點!K37)</f>
        <v>3</v>
      </c>
      <c r="AJ37" s="6">
        <f>IF(最佳化斷筋點!L37="","",最佳化斷筋點!L37)</f>
        <v>3</v>
      </c>
      <c r="AK37" s="6">
        <f>IF(最佳化斷筋點!M37="","",最佳化斷筋點!M37)</f>
        <v>3</v>
      </c>
      <c r="AL37" s="6">
        <f>IF(最佳化斷筋點!N37="","",最佳化斷筋點!N37)</f>
        <v>3</v>
      </c>
      <c r="AM37" s="6">
        <f>IF(最佳化斷筋點!O37="","",最佳化斷筋點!O37)</f>
        <v>3</v>
      </c>
      <c r="AN37" s="6">
        <f>IF(最佳化斷筋點!P37="","",最佳化斷筋點!P37)</f>
        <v>3</v>
      </c>
      <c r="AO37" s="6">
        <f>IF(最佳化斷筋點!Q37="","",最佳化斷筋點!Q37)</f>
        <v>3</v>
      </c>
      <c r="AP37" s="6">
        <f>IF(最佳化斷筋點!R37="","",最佳化斷筋點!R37)</f>
        <v>3</v>
      </c>
      <c r="AQ37" s="6">
        <f>IF(最佳化斷筋點!S37="","",最佳化斷筋點!S37)</f>
        <v>3</v>
      </c>
      <c r="AR37" s="6">
        <f>IF(最佳化斷筋點!T37="","",最佳化斷筋點!T37)</f>
        <v>2</v>
      </c>
      <c r="AS37" s="6">
        <f>IF(最佳化斷筋點!U37="","",最佳化斷筋點!U37)</f>
        <v>3</v>
      </c>
      <c r="AT37" s="6">
        <f>IF(最佳化斷筋點!V37="","",最佳化斷筋點!V37)</f>
        <v>3</v>
      </c>
      <c r="AU37" s="6">
        <f>IF(最佳化斷筋點!W37="","",最佳化斷筋點!W37)</f>
        <v>3</v>
      </c>
      <c r="AV37" s="6">
        <f>IF(最佳化斷筋點!X37="","",最佳化斷筋點!X37)</f>
        <v>3</v>
      </c>
      <c r="AX37" s="6" t="s">
        <v>51</v>
      </c>
      <c r="AY37" s="6">
        <v>3</v>
      </c>
      <c r="AZ37" s="6">
        <v>3</v>
      </c>
      <c r="BA37" s="6">
        <v>3</v>
      </c>
      <c r="BB37" s="6">
        <v>3</v>
      </c>
      <c r="BC37" s="6">
        <v>2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2</v>
      </c>
      <c r="BP37" s="6">
        <v>3</v>
      </c>
      <c r="BQ37" s="6">
        <v>3</v>
      </c>
      <c r="BR37" s="6">
        <v>3</v>
      </c>
      <c r="BS37" s="6">
        <v>3</v>
      </c>
    </row>
    <row r="38" spans="4:71" x14ac:dyDescent="0.25">
      <c r="E38" s="6">
        <f t="shared" si="1"/>
        <v>0</v>
      </c>
      <c r="F38" s="6">
        <f t="shared" si="2"/>
        <v>0</v>
      </c>
      <c r="G38" s="6">
        <f t="shared" si="3"/>
        <v>0</v>
      </c>
      <c r="H38" s="6">
        <f t="shared" si="4"/>
        <v>0</v>
      </c>
      <c r="I38" s="6">
        <f t="shared" si="5"/>
        <v>0</v>
      </c>
      <c r="J38" s="6">
        <f t="shared" si="6"/>
        <v>0</v>
      </c>
      <c r="K38" s="6">
        <f t="shared" si="7"/>
        <v>0</v>
      </c>
      <c r="L38" s="6">
        <f t="shared" si="8"/>
        <v>0</v>
      </c>
      <c r="M38" s="6">
        <f t="shared" si="9"/>
        <v>0</v>
      </c>
      <c r="N38" s="6">
        <f t="shared" si="10"/>
        <v>0</v>
      </c>
      <c r="O38" s="6">
        <f t="shared" si="11"/>
        <v>0</v>
      </c>
      <c r="P38" s="6">
        <f t="shared" si="12"/>
        <v>0</v>
      </c>
      <c r="Q38" s="6">
        <f t="shared" si="13"/>
        <v>0</v>
      </c>
      <c r="R38" s="6">
        <f t="shared" si="14"/>
        <v>0</v>
      </c>
      <c r="S38" s="6">
        <f t="shared" si="15"/>
        <v>0</v>
      </c>
      <c r="T38" s="6">
        <f t="shared" si="16"/>
        <v>0</v>
      </c>
      <c r="U38" s="6">
        <f t="shared" si="17"/>
        <v>0</v>
      </c>
      <c r="V38" s="6">
        <f t="shared" si="18"/>
        <v>0</v>
      </c>
      <c r="W38" s="6">
        <f t="shared" si="19"/>
        <v>0</v>
      </c>
      <c r="X38" s="6">
        <f t="shared" si="20"/>
        <v>0</v>
      </c>
      <c r="Y38" s="6">
        <f t="shared" si="21"/>
        <v>0</v>
      </c>
      <c r="AA38" s="6" t="str">
        <f>IF(最佳化斷筋點!C38="","",最佳化斷筋點!C38)</f>
        <v/>
      </c>
      <c r="AB38" s="6" t="str">
        <f>IF(最佳化斷筋點!D38="","",最佳化斷筋點!D38)</f>
        <v/>
      </c>
      <c r="AC38" s="6" t="str">
        <f>IF(最佳化斷筋點!E38="","",最佳化斷筋點!E38)</f>
        <v/>
      </c>
      <c r="AD38" s="6" t="str">
        <f>IF(最佳化斷筋點!F38="","",最佳化斷筋點!F38)</f>
        <v/>
      </c>
      <c r="AE38" s="6" t="str">
        <f>IF(最佳化斷筋點!G38="","",最佳化斷筋點!G38)</f>
        <v/>
      </c>
      <c r="AF38" s="6" t="str">
        <f>IF(最佳化斷筋點!H38="","",最佳化斷筋點!H38)</f>
        <v/>
      </c>
      <c r="AG38" s="6" t="str">
        <f>IF(最佳化斷筋點!I38="","",最佳化斷筋點!I38)</f>
        <v/>
      </c>
      <c r="AH38" s="6" t="str">
        <f>IF(最佳化斷筋點!J38="","",最佳化斷筋點!J38)</f>
        <v/>
      </c>
      <c r="AI38" s="6" t="str">
        <f>IF(最佳化斷筋點!K38="","",最佳化斷筋點!K38)</f>
        <v/>
      </c>
      <c r="AJ38" s="6" t="str">
        <f>IF(最佳化斷筋點!L38="","",最佳化斷筋點!L38)</f>
        <v/>
      </c>
      <c r="AK38" s="6" t="str">
        <f>IF(最佳化斷筋點!M38="","",最佳化斷筋點!M38)</f>
        <v/>
      </c>
      <c r="AL38" s="6" t="str">
        <f>IF(最佳化斷筋點!N38="","",最佳化斷筋點!N38)</f>
        <v/>
      </c>
      <c r="AM38" s="6" t="str">
        <f>IF(最佳化斷筋點!O38="","",最佳化斷筋點!O38)</f>
        <v/>
      </c>
      <c r="AN38" s="6" t="str">
        <f>IF(最佳化斷筋點!P38="","",最佳化斷筋點!P38)</f>
        <v/>
      </c>
      <c r="AO38" s="6" t="str">
        <f>IF(最佳化斷筋點!Q38="","",最佳化斷筋點!Q38)</f>
        <v/>
      </c>
      <c r="AP38" s="6" t="str">
        <f>IF(最佳化斷筋點!R38="","",最佳化斷筋點!R38)</f>
        <v/>
      </c>
      <c r="AQ38" s="6" t="str">
        <f>IF(最佳化斷筋點!S38="","",最佳化斷筋點!S38)</f>
        <v/>
      </c>
      <c r="AR38" s="6" t="str">
        <f>IF(最佳化斷筋點!T38="","",最佳化斷筋點!T38)</f>
        <v/>
      </c>
      <c r="AS38" s="6" t="str">
        <f>IF(最佳化斷筋點!U38="","",最佳化斷筋點!U38)</f>
        <v/>
      </c>
      <c r="AT38" s="6" t="str">
        <f>IF(最佳化斷筋點!V38="","",最佳化斷筋點!V38)</f>
        <v/>
      </c>
      <c r="AU38" s="6" t="str">
        <f>IF(最佳化斷筋點!W38="","",最佳化斷筋點!W38)</f>
        <v/>
      </c>
      <c r="AV38" s="6" t="str">
        <f>IF(最佳化斷筋點!X38="","",最佳化斷筋點!X38)</f>
        <v/>
      </c>
    </row>
    <row r="39" spans="4:71" x14ac:dyDescent="0.25">
      <c r="D39" s="6" t="s">
        <v>50</v>
      </c>
      <c r="E39" s="6">
        <f t="shared" si="1"/>
        <v>0</v>
      </c>
      <c r="F39" s="6">
        <f t="shared" si="2"/>
        <v>0</v>
      </c>
      <c r="G39" s="6">
        <f t="shared" si="3"/>
        <v>0</v>
      </c>
      <c r="H39" s="6">
        <f t="shared" si="4"/>
        <v>0</v>
      </c>
      <c r="I39" s="6">
        <f t="shared" si="5"/>
        <v>0</v>
      </c>
      <c r="J39" s="6">
        <f t="shared" si="6"/>
        <v>0</v>
      </c>
      <c r="K39" s="6">
        <f t="shared" si="7"/>
        <v>0</v>
      </c>
      <c r="L39" s="6">
        <f t="shared" si="8"/>
        <v>0</v>
      </c>
      <c r="M39" s="6">
        <f t="shared" si="9"/>
        <v>0</v>
      </c>
      <c r="N39" s="6">
        <f t="shared" si="10"/>
        <v>0</v>
      </c>
      <c r="O39" s="6">
        <f t="shared" si="11"/>
        <v>0</v>
      </c>
      <c r="P39" s="6">
        <f t="shared" si="12"/>
        <v>0</v>
      </c>
      <c r="Q39" s="6">
        <f t="shared" si="13"/>
        <v>0</v>
      </c>
      <c r="R39" s="6">
        <f t="shared" si="14"/>
        <v>0</v>
      </c>
      <c r="S39" s="6">
        <f t="shared" si="15"/>
        <v>0</v>
      </c>
      <c r="T39" s="6">
        <f t="shared" si="16"/>
        <v>0</v>
      </c>
      <c r="U39" s="6">
        <f t="shared" si="17"/>
        <v>0</v>
      </c>
      <c r="V39" s="6">
        <f t="shared" si="18"/>
        <v>0</v>
      </c>
      <c r="W39" s="6">
        <f t="shared" si="19"/>
        <v>0</v>
      </c>
      <c r="X39" s="6">
        <f t="shared" si="20"/>
        <v>0</v>
      </c>
      <c r="Y39" s="6">
        <f t="shared" si="21"/>
        <v>0</v>
      </c>
      <c r="AA39" s="6" t="str">
        <f>IF(最佳化斷筋點!C39="","",最佳化斷筋點!C39)</f>
        <v>上層</v>
      </c>
      <c r="AB39" s="6">
        <f>IF(最佳化斷筋點!D39="","",最佳化斷筋點!D39)</f>
        <v>4</v>
      </c>
      <c r="AC39" s="6">
        <f>IF(最佳化斷筋點!E39="","",最佳化斷筋點!E39)</f>
        <v>4</v>
      </c>
      <c r="AD39" s="6">
        <f>IF(最佳化斷筋點!F39="","",最佳化斷筋點!F39)</f>
        <v>4</v>
      </c>
      <c r="AE39" s="6">
        <f>IF(最佳化斷筋點!G39="","",最佳化斷筋點!G39)</f>
        <v>3</v>
      </c>
      <c r="AF39" s="6">
        <f>IF(最佳化斷筋點!H39="","",最佳化斷筋點!H39)</f>
        <v>3</v>
      </c>
      <c r="AG39" s="6">
        <f>IF(最佳化斷筋點!I39="","",最佳化斷筋點!I39)</f>
        <v>3</v>
      </c>
      <c r="AH39" s="6">
        <f>IF(最佳化斷筋點!J39="","",最佳化斷筋點!J39)</f>
        <v>2</v>
      </c>
      <c r="AI39" s="6">
        <f>IF(最佳化斷筋點!K39="","",最佳化斷筋點!K39)</f>
        <v>2</v>
      </c>
      <c r="AJ39" s="6">
        <f>IF(最佳化斷筋點!L39="","",最佳化斷筋點!L39)</f>
        <v>2</v>
      </c>
      <c r="AK39" s="6">
        <f>IF(最佳化斷筋點!M39="","",最佳化斷筋點!M39)</f>
        <v>2</v>
      </c>
      <c r="AL39" s="6">
        <f>IF(最佳化斷筋點!N39="","",最佳化斷筋點!N39)</f>
        <v>2</v>
      </c>
      <c r="AM39" s="6">
        <f>IF(最佳化斷筋點!O39="","",最佳化斷筋點!O39)</f>
        <v>2</v>
      </c>
      <c r="AN39" s="6">
        <f>IF(最佳化斷筋點!P39="","",最佳化斷筋點!P39)</f>
        <v>2</v>
      </c>
      <c r="AO39" s="6">
        <f>IF(最佳化斷筋點!Q39="","",最佳化斷筋點!Q39)</f>
        <v>2</v>
      </c>
      <c r="AP39" s="6">
        <f>IF(最佳化斷筋點!R39="","",最佳化斷筋點!R39)</f>
        <v>2</v>
      </c>
      <c r="AQ39" s="6">
        <f>IF(最佳化斷筋點!S39="","",最佳化斷筋點!S39)</f>
        <v>2</v>
      </c>
      <c r="AR39" s="6">
        <f>IF(最佳化斷筋點!T39="","",最佳化斷筋點!T39)</f>
        <v>3</v>
      </c>
      <c r="AS39" s="6">
        <f>IF(最佳化斷筋點!U39="","",最佳化斷筋點!U39)</f>
        <v>3</v>
      </c>
      <c r="AT39" s="6">
        <f>IF(最佳化斷筋點!V39="","",最佳化斷筋點!V39)</f>
        <v>4</v>
      </c>
      <c r="AU39" s="6">
        <f>IF(最佳化斷筋點!W39="","",最佳化斷筋點!W39)</f>
        <v>4</v>
      </c>
      <c r="AV39" s="6">
        <f>IF(最佳化斷筋點!X39="","",最佳化斷筋點!X39)</f>
        <v>4</v>
      </c>
      <c r="AX39" s="6" t="s">
        <v>50</v>
      </c>
      <c r="AY39" s="6">
        <v>4</v>
      </c>
      <c r="AZ39" s="6">
        <v>4</v>
      </c>
      <c r="BA39" s="6">
        <v>4</v>
      </c>
      <c r="BB39" s="6">
        <v>3</v>
      </c>
      <c r="BC39" s="6">
        <v>3</v>
      </c>
      <c r="BD39" s="6">
        <v>3</v>
      </c>
      <c r="BE39" s="6">
        <v>2</v>
      </c>
      <c r="BF39" s="6">
        <v>2</v>
      </c>
      <c r="BG39" s="6">
        <v>2</v>
      </c>
      <c r="BH39" s="6">
        <v>2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</row>
    <row r="40" spans="4:71" x14ac:dyDescent="0.25">
      <c r="E40" s="6">
        <f t="shared" si="1"/>
        <v>0</v>
      </c>
      <c r="F40" s="6">
        <f t="shared" si="2"/>
        <v>0</v>
      </c>
      <c r="G40" s="6">
        <f t="shared" si="3"/>
        <v>0</v>
      </c>
      <c r="H40" s="6">
        <f t="shared" si="4"/>
        <v>0</v>
      </c>
      <c r="I40" s="6">
        <f t="shared" si="5"/>
        <v>0</v>
      </c>
      <c r="J40" s="6">
        <f t="shared" si="6"/>
        <v>0</v>
      </c>
      <c r="K40" s="6">
        <f t="shared" si="7"/>
        <v>0</v>
      </c>
      <c r="L40" s="6">
        <f t="shared" si="8"/>
        <v>0</v>
      </c>
      <c r="M40" s="6">
        <f t="shared" si="9"/>
        <v>0</v>
      </c>
      <c r="N40" s="6">
        <f t="shared" si="10"/>
        <v>0</v>
      </c>
      <c r="O40" s="6">
        <f t="shared" si="11"/>
        <v>0</v>
      </c>
      <c r="P40" s="6">
        <f t="shared" si="12"/>
        <v>0</v>
      </c>
      <c r="Q40" s="6">
        <f t="shared" si="13"/>
        <v>0</v>
      </c>
      <c r="R40" s="6">
        <f t="shared" si="14"/>
        <v>0</v>
      </c>
      <c r="S40" s="6">
        <f t="shared" si="15"/>
        <v>0</v>
      </c>
      <c r="T40" s="6">
        <f t="shared" si="16"/>
        <v>0</v>
      </c>
      <c r="U40" s="6">
        <f t="shared" si="17"/>
        <v>0</v>
      </c>
      <c r="V40" s="6">
        <f t="shared" si="18"/>
        <v>0</v>
      </c>
      <c r="W40" s="6">
        <f t="shared" si="19"/>
        <v>0</v>
      </c>
      <c r="X40" s="6">
        <f t="shared" si="20"/>
        <v>0</v>
      </c>
      <c r="Y40" s="6">
        <f t="shared" si="21"/>
        <v>0</v>
      </c>
      <c r="AA40" s="6" t="str">
        <f>IF(最佳化斷筋點!C40="","",最佳化斷筋點!C40)</f>
        <v/>
      </c>
      <c r="AB40" s="6" t="str">
        <f>IF(最佳化斷筋點!D40="","",最佳化斷筋點!D40)</f>
        <v/>
      </c>
      <c r="AC40" s="6" t="str">
        <f>IF(最佳化斷筋點!E40="","",最佳化斷筋點!E40)</f>
        <v/>
      </c>
      <c r="AD40" s="6" t="str">
        <f>IF(最佳化斷筋點!F40="","",最佳化斷筋點!F40)</f>
        <v/>
      </c>
      <c r="AE40" s="6" t="str">
        <f>IF(最佳化斷筋點!G40="","",最佳化斷筋點!G40)</f>
        <v/>
      </c>
      <c r="AF40" s="6" t="str">
        <f>IF(最佳化斷筋點!H40="","",最佳化斷筋點!H40)</f>
        <v/>
      </c>
      <c r="AG40" s="6" t="str">
        <f>IF(最佳化斷筋點!I40="","",最佳化斷筋點!I40)</f>
        <v/>
      </c>
      <c r="AH40" s="6" t="str">
        <f>IF(最佳化斷筋點!J40="","",最佳化斷筋點!J40)</f>
        <v/>
      </c>
      <c r="AI40" s="6" t="str">
        <f>IF(最佳化斷筋點!K40="","",最佳化斷筋點!K40)</f>
        <v/>
      </c>
      <c r="AJ40" s="6" t="str">
        <f>IF(最佳化斷筋點!L40="","",最佳化斷筋點!L40)</f>
        <v/>
      </c>
      <c r="AK40" s="6" t="str">
        <f>IF(最佳化斷筋點!M40="","",最佳化斷筋點!M40)</f>
        <v/>
      </c>
      <c r="AL40" s="6" t="str">
        <f>IF(最佳化斷筋點!N40="","",最佳化斷筋點!N40)</f>
        <v/>
      </c>
      <c r="AM40" s="6" t="str">
        <f>IF(最佳化斷筋點!O40="","",最佳化斷筋點!O40)</f>
        <v/>
      </c>
      <c r="AN40" s="6" t="str">
        <f>IF(最佳化斷筋點!P40="","",最佳化斷筋點!P40)</f>
        <v/>
      </c>
      <c r="AO40" s="6" t="str">
        <f>IF(最佳化斷筋點!Q40="","",最佳化斷筋點!Q40)</f>
        <v/>
      </c>
      <c r="AP40" s="6" t="str">
        <f>IF(最佳化斷筋點!R40="","",最佳化斷筋點!R40)</f>
        <v/>
      </c>
      <c r="AQ40" s="6" t="str">
        <f>IF(最佳化斷筋點!S40="","",最佳化斷筋點!S40)</f>
        <v/>
      </c>
      <c r="AR40" s="6" t="str">
        <f>IF(最佳化斷筋點!T40="","",最佳化斷筋點!T40)</f>
        <v/>
      </c>
      <c r="AS40" s="6" t="str">
        <f>IF(最佳化斷筋點!U40="","",最佳化斷筋點!U40)</f>
        <v/>
      </c>
      <c r="AT40" s="6" t="str">
        <f>IF(最佳化斷筋點!V40="","",最佳化斷筋點!V40)</f>
        <v/>
      </c>
      <c r="AU40" s="6" t="str">
        <f>IF(最佳化斷筋點!W40="","",最佳化斷筋點!W40)</f>
        <v/>
      </c>
      <c r="AV40" s="6" t="str">
        <f>IF(最佳化斷筋點!X40="","",最佳化斷筋點!X40)</f>
        <v/>
      </c>
    </row>
    <row r="41" spans="4:71" x14ac:dyDescent="0.25">
      <c r="D41" s="6" t="s">
        <v>51</v>
      </c>
      <c r="E41" s="6">
        <f t="shared" si="1"/>
        <v>0</v>
      </c>
      <c r="F41" s="6">
        <f t="shared" si="2"/>
        <v>0</v>
      </c>
      <c r="G41" s="6">
        <f t="shared" si="3"/>
        <v>0</v>
      </c>
      <c r="H41" s="6">
        <f t="shared" si="4"/>
        <v>0</v>
      </c>
      <c r="I41" s="6">
        <f t="shared" si="5"/>
        <v>0</v>
      </c>
      <c r="J41" s="6">
        <f t="shared" si="6"/>
        <v>0</v>
      </c>
      <c r="K41" s="6">
        <f t="shared" si="7"/>
        <v>0</v>
      </c>
      <c r="L41" s="6">
        <f t="shared" si="8"/>
        <v>0</v>
      </c>
      <c r="M41" s="6">
        <f t="shared" si="9"/>
        <v>0</v>
      </c>
      <c r="N41" s="6">
        <f t="shared" si="10"/>
        <v>0</v>
      </c>
      <c r="O41" s="6">
        <f t="shared" si="11"/>
        <v>0</v>
      </c>
      <c r="P41" s="6">
        <f t="shared" si="12"/>
        <v>0</v>
      </c>
      <c r="Q41" s="6">
        <f t="shared" si="13"/>
        <v>0</v>
      </c>
      <c r="R41" s="6">
        <f t="shared" si="14"/>
        <v>0</v>
      </c>
      <c r="S41" s="6">
        <f t="shared" si="15"/>
        <v>0</v>
      </c>
      <c r="T41" s="6">
        <f t="shared" si="16"/>
        <v>0</v>
      </c>
      <c r="U41" s="6">
        <f t="shared" si="17"/>
        <v>0</v>
      </c>
      <c r="V41" s="6">
        <f t="shared" si="18"/>
        <v>0</v>
      </c>
      <c r="W41" s="6">
        <f t="shared" si="19"/>
        <v>0</v>
      </c>
      <c r="X41" s="6">
        <f t="shared" si="20"/>
        <v>0</v>
      </c>
      <c r="Y41" s="6">
        <f t="shared" si="21"/>
        <v>0</v>
      </c>
      <c r="AA41" s="6" t="str">
        <f>IF(最佳化斷筋點!C41="","",最佳化斷筋點!C41)</f>
        <v>下層</v>
      </c>
      <c r="AB41" s="6">
        <f>IF(最佳化斷筋點!D41="","",最佳化斷筋點!D41)</f>
        <v>3</v>
      </c>
      <c r="AC41" s="6">
        <f>IF(最佳化斷筋點!E41="","",最佳化斷筋點!E41)</f>
        <v>3</v>
      </c>
      <c r="AD41" s="6">
        <f>IF(最佳化斷筋點!F41="","",最佳化斷筋點!F41)</f>
        <v>3</v>
      </c>
      <c r="AE41" s="6">
        <f>IF(最佳化斷筋點!G41="","",最佳化斷筋點!G41)</f>
        <v>3</v>
      </c>
      <c r="AF41" s="6">
        <f>IF(最佳化斷筋點!H41="","",最佳化斷筋點!H41)</f>
        <v>2</v>
      </c>
      <c r="AG41" s="6">
        <f>IF(最佳化斷筋點!I41="","",最佳化斷筋點!I41)</f>
        <v>3</v>
      </c>
      <c r="AH41" s="6">
        <f>IF(最佳化斷筋點!J41="","",最佳化斷筋點!J41)</f>
        <v>3</v>
      </c>
      <c r="AI41" s="6">
        <f>IF(最佳化斷筋點!K41="","",最佳化斷筋點!K41)</f>
        <v>3</v>
      </c>
      <c r="AJ41" s="6">
        <f>IF(最佳化斷筋點!L41="","",最佳化斷筋點!L41)</f>
        <v>3</v>
      </c>
      <c r="AK41" s="6">
        <f>IF(最佳化斷筋點!M41="","",最佳化斷筋點!M41)</f>
        <v>3</v>
      </c>
      <c r="AL41" s="6">
        <f>IF(最佳化斷筋點!N41="","",最佳化斷筋點!N41)</f>
        <v>3</v>
      </c>
      <c r="AM41" s="6">
        <f>IF(最佳化斷筋點!O41="","",最佳化斷筋點!O41)</f>
        <v>3</v>
      </c>
      <c r="AN41" s="6">
        <f>IF(最佳化斷筋點!P41="","",最佳化斷筋點!P41)</f>
        <v>3</v>
      </c>
      <c r="AO41" s="6">
        <f>IF(最佳化斷筋點!Q41="","",最佳化斷筋點!Q41)</f>
        <v>3</v>
      </c>
      <c r="AP41" s="6">
        <f>IF(最佳化斷筋點!R41="","",最佳化斷筋點!R41)</f>
        <v>3</v>
      </c>
      <c r="AQ41" s="6">
        <f>IF(最佳化斷筋點!S41="","",最佳化斷筋點!S41)</f>
        <v>3</v>
      </c>
      <c r="AR41" s="6">
        <f>IF(最佳化斷筋點!T41="","",最佳化斷筋點!T41)</f>
        <v>2</v>
      </c>
      <c r="AS41" s="6">
        <f>IF(最佳化斷筋點!U41="","",最佳化斷筋點!U41)</f>
        <v>3</v>
      </c>
      <c r="AT41" s="6">
        <f>IF(最佳化斷筋點!V41="","",最佳化斷筋點!V41)</f>
        <v>3</v>
      </c>
      <c r="AU41" s="6">
        <f>IF(最佳化斷筋點!W41="","",最佳化斷筋點!W41)</f>
        <v>3</v>
      </c>
      <c r="AV41" s="6">
        <f>IF(最佳化斷筋點!X41="","",最佳化斷筋點!X41)</f>
        <v>3</v>
      </c>
      <c r="AX41" s="6" t="s">
        <v>51</v>
      </c>
      <c r="AY41" s="6">
        <v>3</v>
      </c>
      <c r="AZ41" s="6">
        <v>3</v>
      </c>
      <c r="BA41" s="6">
        <v>3</v>
      </c>
      <c r="BB41" s="6">
        <v>3</v>
      </c>
      <c r="BC41" s="6">
        <v>2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2</v>
      </c>
      <c r="BP41" s="6">
        <v>3</v>
      </c>
      <c r="BQ41" s="6">
        <v>3</v>
      </c>
      <c r="BR41" s="6">
        <v>3</v>
      </c>
      <c r="BS41" s="6">
        <v>3</v>
      </c>
    </row>
    <row r="42" spans="4:71" x14ac:dyDescent="0.25">
      <c r="E42" s="6">
        <f t="shared" si="1"/>
        <v>0</v>
      </c>
      <c r="F42" s="6">
        <f t="shared" si="2"/>
        <v>0</v>
      </c>
      <c r="G42" s="6">
        <f t="shared" si="3"/>
        <v>0</v>
      </c>
      <c r="H42" s="6">
        <f t="shared" si="4"/>
        <v>0</v>
      </c>
      <c r="I42" s="6">
        <f t="shared" si="5"/>
        <v>0</v>
      </c>
      <c r="J42" s="6">
        <f t="shared" si="6"/>
        <v>0</v>
      </c>
      <c r="K42" s="6">
        <f t="shared" si="7"/>
        <v>0</v>
      </c>
      <c r="L42" s="6">
        <f t="shared" si="8"/>
        <v>0</v>
      </c>
      <c r="M42" s="6">
        <f t="shared" si="9"/>
        <v>0</v>
      </c>
      <c r="N42" s="6">
        <f t="shared" si="10"/>
        <v>0</v>
      </c>
      <c r="O42" s="6">
        <f t="shared" si="11"/>
        <v>0</v>
      </c>
      <c r="P42" s="6">
        <f t="shared" si="12"/>
        <v>0</v>
      </c>
      <c r="Q42" s="6">
        <f t="shared" si="13"/>
        <v>0</v>
      </c>
      <c r="R42" s="6">
        <f t="shared" si="14"/>
        <v>0</v>
      </c>
      <c r="S42" s="6">
        <f t="shared" si="15"/>
        <v>0</v>
      </c>
      <c r="T42" s="6">
        <f t="shared" si="16"/>
        <v>0</v>
      </c>
      <c r="U42" s="6">
        <f t="shared" si="17"/>
        <v>0</v>
      </c>
      <c r="V42" s="6">
        <f t="shared" si="18"/>
        <v>0</v>
      </c>
      <c r="W42" s="6">
        <f t="shared" si="19"/>
        <v>0</v>
      </c>
      <c r="X42" s="6">
        <f t="shared" si="20"/>
        <v>0</v>
      </c>
      <c r="Y42" s="6">
        <f t="shared" si="21"/>
        <v>0</v>
      </c>
      <c r="AA42" s="6" t="str">
        <f>IF(最佳化斷筋點!C42="","",最佳化斷筋點!C42)</f>
        <v/>
      </c>
      <c r="AB42" s="6" t="str">
        <f>IF(最佳化斷筋點!D42="","",最佳化斷筋點!D42)</f>
        <v/>
      </c>
      <c r="AC42" s="6" t="str">
        <f>IF(最佳化斷筋點!E42="","",最佳化斷筋點!E42)</f>
        <v/>
      </c>
      <c r="AD42" s="6" t="str">
        <f>IF(最佳化斷筋點!F42="","",最佳化斷筋點!F42)</f>
        <v/>
      </c>
      <c r="AE42" s="6" t="str">
        <f>IF(最佳化斷筋點!G42="","",最佳化斷筋點!G42)</f>
        <v/>
      </c>
      <c r="AF42" s="6" t="str">
        <f>IF(最佳化斷筋點!H42="","",最佳化斷筋點!H42)</f>
        <v/>
      </c>
      <c r="AG42" s="6" t="str">
        <f>IF(最佳化斷筋點!I42="","",最佳化斷筋點!I42)</f>
        <v/>
      </c>
      <c r="AH42" s="6" t="str">
        <f>IF(最佳化斷筋點!J42="","",最佳化斷筋點!J42)</f>
        <v/>
      </c>
      <c r="AI42" s="6" t="str">
        <f>IF(最佳化斷筋點!K42="","",最佳化斷筋點!K42)</f>
        <v/>
      </c>
      <c r="AJ42" s="6" t="str">
        <f>IF(最佳化斷筋點!L42="","",最佳化斷筋點!L42)</f>
        <v/>
      </c>
      <c r="AK42" s="6" t="str">
        <f>IF(最佳化斷筋點!M42="","",最佳化斷筋點!M42)</f>
        <v/>
      </c>
      <c r="AL42" s="6" t="str">
        <f>IF(最佳化斷筋點!N42="","",最佳化斷筋點!N42)</f>
        <v/>
      </c>
      <c r="AM42" s="6" t="str">
        <f>IF(最佳化斷筋點!O42="","",最佳化斷筋點!O42)</f>
        <v/>
      </c>
      <c r="AN42" s="6" t="str">
        <f>IF(最佳化斷筋點!P42="","",最佳化斷筋點!P42)</f>
        <v/>
      </c>
      <c r="AO42" s="6" t="str">
        <f>IF(最佳化斷筋點!Q42="","",最佳化斷筋點!Q42)</f>
        <v/>
      </c>
      <c r="AP42" s="6" t="str">
        <f>IF(最佳化斷筋點!R42="","",最佳化斷筋點!R42)</f>
        <v/>
      </c>
      <c r="AQ42" s="6" t="str">
        <f>IF(最佳化斷筋點!S42="","",最佳化斷筋點!S42)</f>
        <v/>
      </c>
      <c r="AR42" s="6" t="str">
        <f>IF(最佳化斷筋點!T42="","",最佳化斷筋點!T42)</f>
        <v/>
      </c>
      <c r="AS42" s="6" t="str">
        <f>IF(最佳化斷筋點!U42="","",最佳化斷筋點!U42)</f>
        <v/>
      </c>
      <c r="AT42" s="6" t="str">
        <f>IF(最佳化斷筋點!V42="","",最佳化斷筋點!V42)</f>
        <v/>
      </c>
      <c r="AU42" s="6" t="str">
        <f>IF(最佳化斷筋點!W42="","",最佳化斷筋點!W42)</f>
        <v/>
      </c>
      <c r="AV42" s="6" t="str">
        <f>IF(最佳化斷筋點!X42="","",最佳化斷筋點!X42)</f>
        <v/>
      </c>
    </row>
    <row r="43" spans="4:71" x14ac:dyDescent="0.25">
      <c r="D43" s="6" t="s">
        <v>50</v>
      </c>
      <c r="E43" s="6">
        <f t="shared" si="1"/>
        <v>0</v>
      </c>
      <c r="F43" s="6">
        <f t="shared" si="2"/>
        <v>0</v>
      </c>
      <c r="G43" s="6">
        <f t="shared" si="3"/>
        <v>0</v>
      </c>
      <c r="H43" s="6">
        <f t="shared" si="4"/>
        <v>0</v>
      </c>
      <c r="I43" s="6">
        <f t="shared" si="5"/>
        <v>0</v>
      </c>
      <c r="J43" s="6">
        <f t="shared" si="6"/>
        <v>0</v>
      </c>
      <c r="K43" s="6">
        <f t="shared" si="7"/>
        <v>0</v>
      </c>
      <c r="L43" s="6">
        <f t="shared" si="8"/>
        <v>0</v>
      </c>
      <c r="M43" s="6">
        <f t="shared" si="9"/>
        <v>0</v>
      </c>
      <c r="N43" s="6">
        <f t="shared" si="10"/>
        <v>0</v>
      </c>
      <c r="O43" s="6">
        <f t="shared" si="11"/>
        <v>0</v>
      </c>
      <c r="P43" s="6">
        <f t="shared" si="12"/>
        <v>0</v>
      </c>
      <c r="Q43" s="6">
        <f t="shared" si="13"/>
        <v>0</v>
      </c>
      <c r="R43" s="6">
        <f t="shared" si="14"/>
        <v>0</v>
      </c>
      <c r="S43" s="6">
        <f t="shared" si="15"/>
        <v>0</v>
      </c>
      <c r="T43" s="6">
        <f t="shared" si="16"/>
        <v>0</v>
      </c>
      <c r="U43" s="6">
        <f t="shared" si="17"/>
        <v>0</v>
      </c>
      <c r="V43" s="6">
        <f t="shared" si="18"/>
        <v>0</v>
      </c>
      <c r="W43" s="6">
        <f t="shared" si="19"/>
        <v>0</v>
      </c>
      <c r="X43" s="6">
        <f t="shared" si="20"/>
        <v>0</v>
      </c>
      <c r="Y43" s="6">
        <f t="shared" si="21"/>
        <v>0</v>
      </c>
      <c r="AA43" s="6" t="str">
        <f>IF(最佳化斷筋點!C43="","",最佳化斷筋點!C43)</f>
        <v>上層</v>
      </c>
      <c r="AB43" s="6">
        <f>IF(最佳化斷筋點!D43="","",最佳化斷筋點!D43)</f>
        <v>4</v>
      </c>
      <c r="AC43" s="6">
        <f>IF(最佳化斷筋點!E43="","",最佳化斷筋點!E43)</f>
        <v>4</v>
      </c>
      <c r="AD43" s="6">
        <f>IF(最佳化斷筋點!F43="","",最佳化斷筋點!F43)</f>
        <v>4</v>
      </c>
      <c r="AE43" s="6">
        <f>IF(最佳化斷筋點!G43="","",最佳化斷筋點!G43)</f>
        <v>3</v>
      </c>
      <c r="AF43" s="6">
        <f>IF(最佳化斷筋點!H43="","",最佳化斷筋點!H43)</f>
        <v>3</v>
      </c>
      <c r="AG43" s="6">
        <f>IF(最佳化斷筋點!I43="","",最佳化斷筋點!I43)</f>
        <v>3</v>
      </c>
      <c r="AH43" s="6">
        <f>IF(最佳化斷筋點!J43="","",最佳化斷筋點!J43)</f>
        <v>2</v>
      </c>
      <c r="AI43" s="6">
        <f>IF(最佳化斷筋點!K43="","",最佳化斷筋點!K43)</f>
        <v>2</v>
      </c>
      <c r="AJ43" s="6">
        <f>IF(最佳化斷筋點!L43="","",最佳化斷筋點!L43)</f>
        <v>2</v>
      </c>
      <c r="AK43" s="6">
        <f>IF(最佳化斷筋點!M43="","",最佳化斷筋點!M43)</f>
        <v>2</v>
      </c>
      <c r="AL43" s="6">
        <f>IF(最佳化斷筋點!N43="","",最佳化斷筋點!N43)</f>
        <v>2</v>
      </c>
      <c r="AM43" s="6">
        <f>IF(最佳化斷筋點!O43="","",最佳化斷筋點!O43)</f>
        <v>2</v>
      </c>
      <c r="AN43" s="6">
        <f>IF(最佳化斷筋點!P43="","",最佳化斷筋點!P43)</f>
        <v>2</v>
      </c>
      <c r="AO43" s="6">
        <f>IF(最佳化斷筋點!Q43="","",最佳化斷筋點!Q43)</f>
        <v>2</v>
      </c>
      <c r="AP43" s="6">
        <f>IF(最佳化斷筋點!R43="","",最佳化斷筋點!R43)</f>
        <v>2</v>
      </c>
      <c r="AQ43" s="6">
        <f>IF(最佳化斷筋點!S43="","",最佳化斷筋點!S43)</f>
        <v>2</v>
      </c>
      <c r="AR43" s="6">
        <f>IF(最佳化斷筋點!T43="","",最佳化斷筋點!T43)</f>
        <v>3</v>
      </c>
      <c r="AS43" s="6">
        <f>IF(最佳化斷筋點!U43="","",最佳化斷筋點!U43)</f>
        <v>3</v>
      </c>
      <c r="AT43" s="6">
        <f>IF(最佳化斷筋點!V43="","",最佳化斷筋點!V43)</f>
        <v>4</v>
      </c>
      <c r="AU43" s="6">
        <f>IF(最佳化斷筋點!W43="","",最佳化斷筋點!W43)</f>
        <v>4</v>
      </c>
      <c r="AV43" s="6">
        <f>IF(最佳化斷筋點!X43="","",最佳化斷筋點!X43)</f>
        <v>4</v>
      </c>
      <c r="AX43" s="6" t="s">
        <v>50</v>
      </c>
      <c r="AY43" s="6">
        <v>4</v>
      </c>
      <c r="AZ43" s="6">
        <v>4</v>
      </c>
      <c r="BA43" s="6">
        <v>4</v>
      </c>
      <c r="BB43" s="6">
        <v>3</v>
      </c>
      <c r="BC43" s="6">
        <v>3</v>
      </c>
      <c r="BD43" s="6">
        <v>3</v>
      </c>
      <c r="BE43" s="6">
        <v>2</v>
      </c>
      <c r="BF43" s="6">
        <v>2</v>
      </c>
      <c r="BG43" s="6">
        <v>2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</row>
    <row r="44" spans="4:71" x14ac:dyDescent="0.25">
      <c r="E44" s="6">
        <f t="shared" si="1"/>
        <v>0</v>
      </c>
      <c r="F44" s="6">
        <f t="shared" si="2"/>
        <v>0</v>
      </c>
      <c r="G44" s="6">
        <f t="shared" si="3"/>
        <v>0</v>
      </c>
      <c r="H44" s="6">
        <f t="shared" si="4"/>
        <v>0</v>
      </c>
      <c r="I44" s="6">
        <f t="shared" si="5"/>
        <v>0</v>
      </c>
      <c r="J44" s="6">
        <f t="shared" si="6"/>
        <v>0</v>
      </c>
      <c r="K44" s="6">
        <f t="shared" si="7"/>
        <v>0</v>
      </c>
      <c r="L44" s="6">
        <f t="shared" si="8"/>
        <v>0</v>
      </c>
      <c r="M44" s="6">
        <f t="shared" si="9"/>
        <v>0</v>
      </c>
      <c r="N44" s="6">
        <f t="shared" si="10"/>
        <v>0</v>
      </c>
      <c r="O44" s="6">
        <f t="shared" si="11"/>
        <v>0</v>
      </c>
      <c r="P44" s="6">
        <f t="shared" si="12"/>
        <v>0</v>
      </c>
      <c r="Q44" s="6">
        <f t="shared" si="13"/>
        <v>0</v>
      </c>
      <c r="R44" s="6">
        <f t="shared" si="14"/>
        <v>0</v>
      </c>
      <c r="S44" s="6">
        <f t="shared" si="15"/>
        <v>0</v>
      </c>
      <c r="T44" s="6">
        <f t="shared" si="16"/>
        <v>0</v>
      </c>
      <c r="U44" s="6">
        <f t="shared" si="17"/>
        <v>0</v>
      </c>
      <c r="V44" s="6">
        <f t="shared" si="18"/>
        <v>0</v>
      </c>
      <c r="W44" s="6">
        <f t="shared" si="19"/>
        <v>0</v>
      </c>
      <c r="X44" s="6">
        <f t="shared" si="20"/>
        <v>0</v>
      </c>
      <c r="Y44" s="6">
        <f t="shared" si="21"/>
        <v>0</v>
      </c>
      <c r="AA44" s="6" t="str">
        <f>IF(最佳化斷筋點!C44="","",最佳化斷筋點!C44)</f>
        <v/>
      </c>
      <c r="AB44" s="6" t="str">
        <f>IF(最佳化斷筋點!D44="","",最佳化斷筋點!D44)</f>
        <v/>
      </c>
      <c r="AC44" s="6" t="str">
        <f>IF(最佳化斷筋點!E44="","",最佳化斷筋點!E44)</f>
        <v/>
      </c>
      <c r="AD44" s="6" t="str">
        <f>IF(最佳化斷筋點!F44="","",最佳化斷筋點!F44)</f>
        <v/>
      </c>
      <c r="AE44" s="6" t="str">
        <f>IF(最佳化斷筋點!G44="","",最佳化斷筋點!G44)</f>
        <v/>
      </c>
      <c r="AF44" s="6" t="str">
        <f>IF(最佳化斷筋點!H44="","",最佳化斷筋點!H44)</f>
        <v/>
      </c>
      <c r="AG44" s="6" t="str">
        <f>IF(最佳化斷筋點!I44="","",最佳化斷筋點!I44)</f>
        <v/>
      </c>
      <c r="AH44" s="6" t="str">
        <f>IF(最佳化斷筋點!J44="","",最佳化斷筋點!J44)</f>
        <v/>
      </c>
      <c r="AI44" s="6" t="str">
        <f>IF(最佳化斷筋點!K44="","",最佳化斷筋點!K44)</f>
        <v/>
      </c>
      <c r="AJ44" s="6" t="str">
        <f>IF(最佳化斷筋點!L44="","",最佳化斷筋點!L44)</f>
        <v/>
      </c>
      <c r="AK44" s="6" t="str">
        <f>IF(最佳化斷筋點!M44="","",最佳化斷筋點!M44)</f>
        <v/>
      </c>
      <c r="AL44" s="6" t="str">
        <f>IF(最佳化斷筋點!N44="","",最佳化斷筋點!N44)</f>
        <v/>
      </c>
      <c r="AM44" s="6" t="str">
        <f>IF(最佳化斷筋點!O44="","",最佳化斷筋點!O44)</f>
        <v/>
      </c>
      <c r="AN44" s="6" t="str">
        <f>IF(最佳化斷筋點!P44="","",最佳化斷筋點!P44)</f>
        <v/>
      </c>
      <c r="AO44" s="6" t="str">
        <f>IF(最佳化斷筋點!Q44="","",最佳化斷筋點!Q44)</f>
        <v/>
      </c>
      <c r="AP44" s="6" t="str">
        <f>IF(最佳化斷筋點!R44="","",最佳化斷筋點!R44)</f>
        <v/>
      </c>
      <c r="AQ44" s="6" t="str">
        <f>IF(最佳化斷筋點!S44="","",最佳化斷筋點!S44)</f>
        <v/>
      </c>
      <c r="AR44" s="6" t="str">
        <f>IF(最佳化斷筋點!T44="","",最佳化斷筋點!T44)</f>
        <v/>
      </c>
      <c r="AS44" s="6" t="str">
        <f>IF(最佳化斷筋點!U44="","",最佳化斷筋點!U44)</f>
        <v/>
      </c>
      <c r="AT44" s="6" t="str">
        <f>IF(最佳化斷筋點!V44="","",最佳化斷筋點!V44)</f>
        <v/>
      </c>
      <c r="AU44" s="6" t="str">
        <f>IF(最佳化斷筋點!W44="","",最佳化斷筋點!W44)</f>
        <v/>
      </c>
      <c r="AV44" s="6" t="str">
        <f>IF(最佳化斷筋點!X44="","",最佳化斷筋點!X44)</f>
        <v/>
      </c>
    </row>
    <row r="45" spans="4:71" x14ac:dyDescent="0.25">
      <c r="D45" s="6" t="s">
        <v>51</v>
      </c>
      <c r="E45" s="6">
        <f t="shared" si="1"/>
        <v>0</v>
      </c>
      <c r="F45" s="6">
        <f t="shared" si="2"/>
        <v>0</v>
      </c>
      <c r="G45" s="6">
        <f t="shared" si="3"/>
        <v>0</v>
      </c>
      <c r="H45" s="6">
        <f t="shared" si="4"/>
        <v>0</v>
      </c>
      <c r="I45" s="6">
        <f t="shared" si="5"/>
        <v>0</v>
      </c>
      <c r="J45" s="6">
        <f t="shared" si="6"/>
        <v>0</v>
      </c>
      <c r="K45" s="6">
        <f t="shared" si="7"/>
        <v>0</v>
      </c>
      <c r="L45" s="6">
        <f t="shared" si="8"/>
        <v>0</v>
      </c>
      <c r="M45" s="6">
        <f t="shared" si="9"/>
        <v>0</v>
      </c>
      <c r="N45" s="6">
        <f t="shared" si="10"/>
        <v>0</v>
      </c>
      <c r="O45" s="6">
        <f t="shared" si="11"/>
        <v>0</v>
      </c>
      <c r="P45" s="6">
        <f t="shared" si="12"/>
        <v>0</v>
      </c>
      <c r="Q45" s="6">
        <f t="shared" si="13"/>
        <v>0</v>
      </c>
      <c r="R45" s="6">
        <f t="shared" si="14"/>
        <v>0</v>
      </c>
      <c r="S45" s="6">
        <f t="shared" si="15"/>
        <v>0</v>
      </c>
      <c r="T45" s="6">
        <f t="shared" si="16"/>
        <v>0</v>
      </c>
      <c r="U45" s="6">
        <f t="shared" si="17"/>
        <v>0</v>
      </c>
      <c r="V45" s="6">
        <f t="shared" si="18"/>
        <v>0</v>
      </c>
      <c r="W45" s="6">
        <f t="shared" si="19"/>
        <v>0</v>
      </c>
      <c r="X45" s="6">
        <f t="shared" si="20"/>
        <v>0</v>
      </c>
      <c r="Y45" s="6">
        <f t="shared" si="21"/>
        <v>0</v>
      </c>
      <c r="AA45" s="6" t="str">
        <f>IF(最佳化斷筋點!C45="","",最佳化斷筋點!C45)</f>
        <v>下層</v>
      </c>
      <c r="AB45" s="6">
        <f>IF(最佳化斷筋點!D45="","",最佳化斷筋點!D45)</f>
        <v>3</v>
      </c>
      <c r="AC45" s="6">
        <f>IF(最佳化斷筋點!E45="","",最佳化斷筋點!E45)</f>
        <v>3</v>
      </c>
      <c r="AD45" s="6">
        <f>IF(最佳化斷筋點!F45="","",最佳化斷筋點!F45)</f>
        <v>3</v>
      </c>
      <c r="AE45" s="6">
        <f>IF(最佳化斷筋點!G45="","",最佳化斷筋點!G45)</f>
        <v>3</v>
      </c>
      <c r="AF45" s="6">
        <f>IF(最佳化斷筋點!H45="","",最佳化斷筋點!H45)</f>
        <v>2</v>
      </c>
      <c r="AG45" s="6">
        <f>IF(最佳化斷筋點!I45="","",最佳化斷筋點!I45)</f>
        <v>3</v>
      </c>
      <c r="AH45" s="6">
        <f>IF(最佳化斷筋點!J45="","",最佳化斷筋點!J45)</f>
        <v>3</v>
      </c>
      <c r="AI45" s="6">
        <f>IF(最佳化斷筋點!K45="","",最佳化斷筋點!K45)</f>
        <v>3</v>
      </c>
      <c r="AJ45" s="6">
        <f>IF(最佳化斷筋點!L45="","",最佳化斷筋點!L45)</f>
        <v>3</v>
      </c>
      <c r="AK45" s="6">
        <f>IF(最佳化斷筋點!M45="","",最佳化斷筋點!M45)</f>
        <v>3</v>
      </c>
      <c r="AL45" s="6">
        <f>IF(最佳化斷筋點!N45="","",最佳化斷筋點!N45)</f>
        <v>3</v>
      </c>
      <c r="AM45" s="6">
        <f>IF(最佳化斷筋點!O45="","",最佳化斷筋點!O45)</f>
        <v>3</v>
      </c>
      <c r="AN45" s="6">
        <f>IF(最佳化斷筋點!P45="","",最佳化斷筋點!P45)</f>
        <v>3</v>
      </c>
      <c r="AO45" s="6">
        <f>IF(最佳化斷筋點!Q45="","",最佳化斷筋點!Q45)</f>
        <v>3</v>
      </c>
      <c r="AP45" s="6">
        <f>IF(最佳化斷筋點!R45="","",最佳化斷筋點!R45)</f>
        <v>3</v>
      </c>
      <c r="AQ45" s="6">
        <f>IF(最佳化斷筋點!S45="","",最佳化斷筋點!S45)</f>
        <v>3</v>
      </c>
      <c r="AR45" s="6">
        <f>IF(最佳化斷筋點!T45="","",最佳化斷筋點!T45)</f>
        <v>2</v>
      </c>
      <c r="AS45" s="6">
        <f>IF(最佳化斷筋點!U45="","",最佳化斷筋點!U45)</f>
        <v>3</v>
      </c>
      <c r="AT45" s="6">
        <f>IF(最佳化斷筋點!V45="","",最佳化斷筋點!V45)</f>
        <v>3</v>
      </c>
      <c r="AU45" s="6">
        <f>IF(最佳化斷筋點!W45="","",最佳化斷筋點!W45)</f>
        <v>3</v>
      </c>
      <c r="AV45" s="6">
        <f>IF(最佳化斷筋點!X45="","",最佳化斷筋點!X45)</f>
        <v>3</v>
      </c>
      <c r="AX45" s="6" t="s">
        <v>51</v>
      </c>
      <c r="AY45" s="6">
        <v>3</v>
      </c>
      <c r="AZ45" s="6">
        <v>3</v>
      </c>
      <c r="BA45" s="6">
        <v>3</v>
      </c>
      <c r="BB45" s="6">
        <v>3</v>
      </c>
      <c r="BC45" s="6">
        <v>2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2</v>
      </c>
      <c r="BP45" s="6">
        <v>3</v>
      </c>
      <c r="BQ45" s="6">
        <v>3</v>
      </c>
      <c r="BR45" s="6">
        <v>3</v>
      </c>
      <c r="BS45" s="6">
        <v>3</v>
      </c>
    </row>
    <row r="46" spans="4:71" x14ac:dyDescent="0.25">
      <c r="E46" s="6">
        <f t="shared" si="1"/>
        <v>0</v>
      </c>
      <c r="F46" s="6">
        <f t="shared" si="2"/>
        <v>0</v>
      </c>
      <c r="G46" s="6">
        <f t="shared" si="3"/>
        <v>0</v>
      </c>
      <c r="H46" s="6">
        <f t="shared" si="4"/>
        <v>0</v>
      </c>
      <c r="I46" s="6">
        <f t="shared" si="5"/>
        <v>0</v>
      </c>
      <c r="J46" s="6">
        <f t="shared" si="6"/>
        <v>0</v>
      </c>
      <c r="K46" s="6">
        <f t="shared" si="7"/>
        <v>0</v>
      </c>
      <c r="L46" s="6">
        <f t="shared" si="8"/>
        <v>0</v>
      </c>
      <c r="M46" s="6">
        <f t="shared" si="9"/>
        <v>0</v>
      </c>
      <c r="N46" s="6">
        <f t="shared" si="10"/>
        <v>0</v>
      </c>
      <c r="O46" s="6">
        <f t="shared" si="11"/>
        <v>0</v>
      </c>
      <c r="P46" s="6">
        <f t="shared" si="12"/>
        <v>0</v>
      </c>
      <c r="Q46" s="6">
        <f t="shared" si="13"/>
        <v>0</v>
      </c>
      <c r="R46" s="6">
        <f t="shared" si="14"/>
        <v>0</v>
      </c>
      <c r="S46" s="6">
        <f t="shared" si="15"/>
        <v>0</v>
      </c>
      <c r="T46" s="6">
        <f t="shared" si="16"/>
        <v>0</v>
      </c>
      <c r="U46" s="6">
        <f t="shared" si="17"/>
        <v>0</v>
      </c>
      <c r="V46" s="6">
        <f t="shared" si="18"/>
        <v>0</v>
      </c>
      <c r="W46" s="6">
        <f t="shared" si="19"/>
        <v>0</v>
      </c>
      <c r="X46" s="6">
        <f t="shared" si="20"/>
        <v>0</v>
      </c>
      <c r="Y46" s="6">
        <f t="shared" si="21"/>
        <v>0</v>
      </c>
      <c r="AA46" s="6" t="str">
        <f>IF(最佳化斷筋點!C46="","",最佳化斷筋點!C46)</f>
        <v/>
      </c>
      <c r="AB46" s="6" t="str">
        <f>IF(最佳化斷筋點!D46="","",最佳化斷筋點!D46)</f>
        <v/>
      </c>
      <c r="AC46" s="6" t="str">
        <f>IF(最佳化斷筋點!E46="","",最佳化斷筋點!E46)</f>
        <v/>
      </c>
      <c r="AD46" s="6" t="str">
        <f>IF(最佳化斷筋點!F46="","",最佳化斷筋點!F46)</f>
        <v/>
      </c>
      <c r="AE46" s="6" t="str">
        <f>IF(最佳化斷筋點!G46="","",最佳化斷筋點!G46)</f>
        <v/>
      </c>
      <c r="AF46" s="6" t="str">
        <f>IF(最佳化斷筋點!H46="","",最佳化斷筋點!H46)</f>
        <v/>
      </c>
      <c r="AG46" s="6" t="str">
        <f>IF(最佳化斷筋點!I46="","",最佳化斷筋點!I46)</f>
        <v/>
      </c>
      <c r="AH46" s="6" t="str">
        <f>IF(最佳化斷筋點!J46="","",最佳化斷筋點!J46)</f>
        <v/>
      </c>
      <c r="AI46" s="6" t="str">
        <f>IF(最佳化斷筋點!K46="","",最佳化斷筋點!K46)</f>
        <v/>
      </c>
      <c r="AJ46" s="6" t="str">
        <f>IF(最佳化斷筋點!L46="","",最佳化斷筋點!L46)</f>
        <v/>
      </c>
      <c r="AK46" s="6" t="str">
        <f>IF(最佳化斷筋點!M46="","",最佳化斷筋點!M46)</f>
        <v/>
      </c>
      <c r="AL46" s="6" t="str">
        <f>IF(最佳化斷筋點!N46="","",最佳化斷筋點!N46)</f>
        <v/>
      </c>
      <c r="AM46" s="6" t="str">
        <f>IF(最佳化斷筋點!O46="","",最佳化斷筋點!O46)</f>
        <v/>
      </c>
      <c r="AN46" s="6" t="str">
        <f>IF(最佳化斷筋點!P46="","",最佳化斷筋點!P46)</f>
        <v/>
      </c>
      <c r="AO46" s="6" t="str">
        <f>IF(最佳化斷筋點!Q46="","",最佳化斷筋點!Q46)</f>
        <v/>
      </c>
      <c r="AP46" s="6" t="str">
        <f>IF(最佳化斷筋點!R46="","",最佳化斷筋點!R46)</f>
        <v/>
      </c>
      <c r="AQ46" s="6" t="str">
        <f>IF(最佳化斷筋點!S46="","",最佳化斷筋點!S46)</f>
        <v/>
      </c>
      <c r="AR46" s="6" t="str">
        <f>IF(最佳化斷筋點!T46="","",最佳化斷筋點!T46)</f>
        <v/>
      </c>
      <c r="AS46" s="6" t="str">
        <f>IF(最佳化斷筋點!U46="","",最佳化斷筋點!U46)</f>
        <v/>
      </c>
      <c r="AT46" s="6" t="str">
        <f>IF(最佳化斷筋點!V46="","",最佳化斷筋點!V46)</f>
        <v/>
      </c>
      <c r="AU46" s="6" t="str">
        <f>IF(最佳化斷筋點!W46="","",最佳化斷筋點!W46)</f>
        <v/>
      </c>
      <c r="AV46" s="6" t="str">
        <f>IF(最佳化斷筋點!X46="","",最佳化斷筋點!X46)</f>
        <v/>
      </c>
    </row>
    <row r="47" spans="4:71" x14ac:dyDescent="0.25">
      <c r="D47" s="6" t="s">
        <v>50</v>
      </c>
      <c r="E47" s="6">
        <f t="shared" si="1"/>
        <v>0</v>
      </c>
      <c r="F47" s="6">
        <f t="shared" si="2"/>
        <v>0</v>
      </c>
      <c r="G47" s="6">
        <f t="shared" si="3"/>
        <v>0</v>
      </c>
      <c r="H47" s="6">
        <f t="shared" si="4"/>
        <v>0</v>
      </c>
      <c r="I47" s="6">
        <f t="shared" si="5"/>
        <v>0</v>
      </c>
      <c r="J47" s="6">
        <f t="shared" si="6"/>
        <v>0</v>
      </c>
      <c r="K47" s="6">
        <f t="shared" si="7"/>
        <v>0</v>
      </c>
      <c r="L47" s="6">
        <f t="shared" si="8"/>
        <v>0</v>
      </c>
      <c r="M47" s="6">
        <f t="shared" si="9"/>
        <v>0</v>
      </c>
      <c r="N47" s="6">
        <f t="shared" si="10"/>
        <v>0</v>
      </c>
      <c r="O47" s="6">
        <f t="shared" si="11"/>
        <v>0</v>
      </c>
      <c r="P47" s="6">
        <f t="shared" si="12"/>
        <v>0</v>
      </c>
      <c r="Q47" s="6">
        <f t="shared" si="13"/>
        <v>0</v>
      </c>
      <c r="R47" s="6">
        <f t="shared" si="14"/>
        <v>0</v>
      </c>
      <c r="S47" s="6">
        <f t="shared" si="15"/>
        <v>0</v>
      </c>
      <c r="T47" s="6">
        <f t="shared" si="16"/>
        <v>0</v>
      </c>
      <c r="U47" s="6">
        <f t="shared" si="17"/>
        <v>0</v>
      </c>
      <c r="V47" s="6">
        <f t="shared" si="18"/>
        <v>0</v>
      </c>
      <c r="W47" s="6">
        <f t="shared" si="19"/>
        <v>0</v>
      </c>
      <c r="X47" s="6">
        <f t="shared" si="20"/>
        <v>0</v>
      </c>
      <c r="Y47" s="6">
        <f t="shared" si="21"/>
        <v>0</v>
      </c>
      <c r="AA47" s="6" t="str">
        <f>IF(最佳化斷筋點!C47="","",最佳化斷筋點!C47)</f>
        <v>上層</v>
      </c>
      <c r="AB47" s="6">
        <f>IF(最佳化斷筋點!D47="","",最佳化斷筋點!D47)</f>
        <v>2</v>
      </c>
      <c r="AC47" s="6">
        <f>IF(最佳化斷筋點!E47="","",最佳化斷筋點!E47)</f>
        <v>2</v>
      </c>
      <c r="AD47" s="6">
        <f>IF(最佳化斷筋點!F47="","",最佳化斷筋點!F47)</f>
        <v>2</v>
      </c>
      <c r="AE47" s="6">
        <f>IF(最佳化斷筋點!G47="","",最佳化斷筋點!G47)</f>
        <v>2</v>
      </c>
      <c r="AF47" s="6">
        <f>IF(最佳化斷筋點!H47="","",最佳化斷筋點!H47)</f>
        <v>2</v>
      </c>
      <c r="AG47" s="6">
        <f>IF(最佳化斷筋點!I47="","",最佳化斷筋點!I47)</f>
        <v>2</v>
      </c>
      <c r="AH47" s="6">
        <f>IF(最佳化斷筋點!J47="","",最佳化斷筋點!J47)</f>
        <v>2</v>
      </c>
      <c r="AI47" s="6">
        <f>IF(最佳化斷筋點!K47="","",最佳化斷筋點!K47)</f>
        <v>2</v>
      </c>
      <c r="AJ47" s="6">
        <f>IF(最佳化斷筋點!L47="","",最佳化斷筋點!L47)</f>
        <v>2</v>
      </c>
      <c r="AK47" s="6">
        <f>IF(最佳化斷筋點!M47="","",最佳化斷筋點!M47)</f>
        <v>2</v>
      </c>
      <c r="AL47" s="6">
        <f>IF(最佳化斷筋點!N47="","",最佳化斷筋點!N47)</f>
        <v>2</v>
      </c>
      <c r="AM47" s="6">
        <f>IF(最佳化斷筋點!O47="","",最佳化斷筋點!O47)</f>
        <v>2</v>
      </c>
      <c r="AN47" s="6">
        <f>IF(最佳化斷筋點!P47="","",最佳化斷筋點!P47)</f>
        <v>2</v>
      </c>
      <c r="AO47" s="6">
        <f>IF(最佳化斷筋點!Q47="","",最佳化斷筋點!Q47)</f>
        <v>2</v>
      </c>
      <c r="AP47" s="6">
        <f>IF(最佳化斷筋點!R47="","",最佳化斷筋點!R47)</f>
        <v>2</v>
      </c>
      <c r="AQ47" s="6">
        <f>IF(最佳化斷筋點!S47="","",最佳化斷筋點!S47)</f>
        <v>2</v>
      </c>
      <c r="AR47" s="6">
        <f>IF(最佳化斷筋點!T47="","",最佳化斷筋點!T47)</f>
        <v>3</v>
      </c>
      <c r="AS47" s="6">
        <f>IF(最佳化斷筋點!U47="","",最佳化斷筋點!U47)</f>
        <v>3</v>
      </c>
      <c r="AT47" s="6">
        <f>IF(最佳化斷筋點!V47="","",最佳化斷筋點!V47)</f>
        <v>4</v>
      </c>
      <c r="AU47" s="6">
        <f>IF(最佳化斷筋點!W47="","",最佳化斷筋點!W47)</f>
        <v>4</v>
      </c>
      <c r="AV47" s="6">
        <f>IF(最佳化斷筋點!X47="","",最佳化斷筋點!X47)</f>
        <v>4</v>
      </c>
      <c r="AX47" s="6" t="s">
        <v>50</v>
      </c>
      <c r="AY47" s="6">
        <v>2</v>
      </c>
      <c r="AZ47" s="6">
        <v>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</row>
    <row r="48" spans="4:71" x14ac:dyDescent="0.25">
      <c r="E48" s="6">
        <f t="shared" si="1"/>
        <v>0</v>
      </c>
      <c r="F48" s="6">
        <f t="shared" si="2"/>
        <v>0</v>
      </c>
      <c r="G48" s="6">
        <f t="shared" si="3"/>
        <v>0</v>
      </c>
      <c r="H48" s="6">
        <f t="shared" si="4"/>
        <v>0</v>
      </c>
      <c r="I48" s="6">
        <f t="shared" si="5"/>
        <v>0</v>
      </c>
      <c r="J48" s="6">
        <f t="shared" si="6"/>
        <v>0</v>
      </c>
      <c r="K48" s="6">
        <f t="shared" si="7"/>
        <v>0</v>
      </c>
      <c r="L48" s="6">
        <f t="shared" si="8"/>
        <v>0</v>
      </c>
      <c r="M48" s="6">
        <f t="shared" si="9"/>
        <v>0</v>
      </c>
      <c r="N48" s="6">
        <f t="shared" si="10"/>
        <v>0</v>
      </c>
      <c r="O48" s="6">
        <f t="shared" si="11"/>
        <v>0</v>
      </c>
      <c r="P48" s="6">
        <f t="shared" si="12"/>
        <v>0</v>
      </c>
      <c r="Q48" s="6">
        <f t="shared" si="13"/>
        <v>0</v>
      </c>
      <c r="R48" s="6">
        <f t="shared" si="14"/>
        <v>0</v>
      </c>
      <c r="S48" s="6">
        <f t="shared" si="15"/>
        <v>0</v>
      </c>
      <c r="T48" s="6">
        <f t="shared" si="16"/>
        <v>0</v>
      </c>
      <c r="U48" s="6">
        <f t="shared" si="17"/>
        <v>0</v>
      </c>
      <c r="V48" s="6">
        <f t="shared" si="18"/>
        <v>0</v>
      </c>
      <c r="W48" s="6">
        <f t="shared" si="19"/>
        <v>0</v>
      </c>
      <c r="X48" s="6">
        <f t="shared" si="20"/>
        <v>0</v>
      </c>
      <c r="Y48" s="6">
        <f t="shared" si="21"/>
        <v>0</v>
      </c>
      <c r="AA48" s="6" t="str">
        <f>IF(最佳化斷筋點!C48="","",最佳化斷筋點!C48)</f>
        <v/>
      </c>
      <c r="AB48" s="6" t="str">
        <f>IF(最佳化斷筋點!D48="","",最佳化斷筋點!D48)</f>
        <v/>
      </c>
      <c r="AC48" s="6" t="str">
        <f>IF(最佳化斷筋點!E48="","",最佳化斷筋點!E48)</f>
        <v/>
      </c>
      <c r="AD48" s="6" t="str">
        <f>IF(最佳化斷筋點!F48="","",最佳化斷筋點!F48)</f>
        <v/>
      </c>
      <c r="AE48" s="6" t="str">
        <f>IF(最佳化斷筋點!G48="","",最佳化斷筋點!G48)</f>
        <v/>
      </c>
      <c r="AF48" s="6" t="str">
        <f>IF(最佳化斷筋點!H48="","",最佳化斷筋點!H48)</f>
        <v/>
      </c>
      <c r="AG48" s="6" t="str">
        <f>IF(最佳化斷筋點!I48="","",最佳化斷筋點!I48)</f>
        <v/>
      </c>
      <c r="AH48" s="6" t="str">
        <f>IF(最佳化斷筋點!J48="","",最佳化斷筋點!J48)</f>
        <v/>
      </c>
      <c r="AI48" s="6" t="str">
        <f>IF(最佳化斷筋點!K48="","",最佳化斷筋點!K48)</f>
        <v/>
      </c>
      <c r="AJ48" s="6" t="str">
        <f>IF(最佳化斷筋點!L48="","",最佳化斷筋點!L48)</f>
        <v/>
      </c>
      <c r="AK48" s="6" t="str">
        <f>IF(最佳化斷筋點!M48="","",最佳化斷筋點!M48)</f>
        <v/>
      </c>
      <c r="AL48" s="6" t="str">
        <f>IF(最佳化斷筋點!N48="","",最佳化斷筋點!N48)</f>
        <v/>
      </c>
      <c r="AM48" s="6" t="str">
        <f>IF(最佳化斷筋點!O48="","",最佳化斷筋點!O48)</f>
        <v/>
      </c>
      <c r="AN48" s="6" t="str">
        <f>IF(最佳化斷筋點!P48="","",最佳化斷筋點!P48)</f>
        <v/>
      </c>
      <c r="AO48" s="6" t="str">
        <f>IF(最佳化斷筋點!Q48="","",最佳化斷筋點!Q48)</f>
        <v/>
      </c>
      <c r="AP48" s="6" t="str">
        <f>IF(最佳化斷筋點!R48="","",最佳化斷筋點!R48)</f>
        <v/>
      </c>
      <c r="AQ48" s="6" t="str">
        <f>IF(最佳化斷筋點!S48="","",最佳化斷筋點!S48)</f>
        <v/>
      </c>
      <c r="AR48" s="6" t="str">
        <f>IF(最佳化斷筋點!T48="","",最佳化斷筋點!T48)</f>
        <v/>
      </c>
      <c r="AS48" s="6" t="str">
        <f>IF(最佳化斷筋點!U48="","",最佳化斷筋點!U48)</f>
        <v/>
      </c>
      <c r="AT48" s="6" t="str">
        <f>IF(最佳化斷筋點!V48="","",最佳化斷筋點!V48)</f>
        <v/>
      </c>
      <c r="AU48" s="6" t="str">
        <f>IF(最佳化斷筋點!W48="","",最佳化斷筋點!W48)</f>
        <v/>
      </c>
      <c r="AV48" s="6" t="str">
        <f>IF(最佳化斷筋點!X48="","",最佳化斷筋點!X48)</f>
        <v/>
      </c>
    </row>
    <row r="49" spans="4:71" x14ac:dyDescent="0.25">
      <c r="D49" s="6" t="s">
        <v>51</v>
      </c>
      <c r="E49" s="6">
        <f t="shared" si="1"/>
        <v>0</v>
      </c>
      <c r="F49" s="6">
        <f t="shared" si="2"/>
        <v>0</v>
      </c>
      <c r="G49" s="6">
        <f t="shared" si="3"/>
        <v>0</v>
      </c>
      <c r="H49" s="6">
        <f t="shared" si="4"/>
        <v>0</v>
      </c>
      <c r="I49" s="6">
        <f t="shared" si="5"/>
        <v>0</v>
      </c>
      <c r="J49" s="6">
        <f t="shared" si="6"/>
        <v>0</v>
      </c>
      <c r="K49" s="6">
        <f t="shared" si="7"/>
        <v>0</v>
      </c>
      <c r="L49" s="6">
        <f t="shared" si="8"/>
        <v>0</v>
      </c>
      <c r="M49" s="6">
        <f t="shared" si="9"/>
        <v>0</v>
      </c>
      <c r="N49" s="6">
        <f t="shared" si="10"/>
        <v>0</v>
      </c>
      <c r="O49" s="6">
        <f t="shared" si="11"/>
        <v>0</v>
      </c>
      <c r="P49" s="6">
        <f t="shared" si="12"/>
        <v>0</v>
      </c>
      <c r="Q49" s="6">
        <f t="shared" si="13"/>
        <v>0</v>
      </c>
      <c r="R49" s="6">
        <f t="shared" si="14"/>
        <v>0</v>
      </c>
      <c r="S49" s="6">
        <f t="shared" si="15"/>
        <v>0</v>
      </c>
      <c r="T49" s="6">
        <f t="shared" si="16"/>
        <v>0</v>
      </c>
      <c r="U49" s="6">
        <f t="shared" si="17"/>
        <v>0</v>
      </c>
      <c r="V49" s="6">
        <f t="shared" si="18"/>
        <v>0</v>
      </c>
      <c r="W49" s="6">
        <f t="shared" si="19"/>
        <v>0</v>
      </c>
      <c r="X49" s="6">
        <f t="shared" si="20"/>
        <v>0</v>
      </c>
      <c r="Y49" s="6">
        <f t="shared" si="21"/>
        <v>0</v>
      </c>
      <c r="AA49" s="6" t="str">
        <f>IF(最佳化斷筋點!C49="","",最佳化斷筋點!C49)</f>
        <v>下層</v>
      </c>
      <c r="AB49" s="6">
        <f>IF(最佳化斷筋點!D49="","",最佳化斷筋點!D49)</f>
        <v>3</v>
      </c>
      <c r="AC49" s="6">
        <f>IF(最佳化斷筋點!E49="","",最佳化斷筋點!E49)</f>
        <v>3</v>
      </c>
      <c r="AD49" s="6">
        <f>IF(最佳化斷筋點!F49="","",最佳化斷筋點!F49)</f>
        <v>3</v>
      </c>
      <c r="AE49" s="6">
        <f>IF(最佳化斷筋點!G49="","",最佳化斷筋點!G49)</f>
        <v>3</v>
      </c>
      <c r="AF49" s="6">
        <f>IF(最佳化斷筋點!H49="","",最佳化斷筋點!H49)</f>
        <v>3</v>
      </c>
      <c r="AG49" s="6">
        <f>IF(最佳化斷筋點!I49="","",最佳化斷筋點!I49)</f>
        <v>3</v>
      </c>
      <c r="AH49" s="6">
        <f>IF(最佳化斷筋點!J49="","",最佳化斷筋點!J49)</f>
        <v>4</v>
      </c>
      <c r="AI49" s="6">
        <f>IF(最佳化斷筋點!K49="","",最佳化斷筋點!K49)</f>
        <v>4</v>
      </c>
      <c r="AJ49" s="6">
        <f>IF(最佳化斷筋點!L49="","",最佳化斷筋點!L49)</f>
        <v>4</v>
      </c>
      <c r="AK49" s="6">
        <f>IF(最佳化斷筋點!M49="","",最佳化斷筋點!M49)</f>
        <v>4</v>
      </c>
      <c r="AL49" s="6">
        <f>IF(最佳化斷筋點!N49="","",最佳化斷筋點!N49)</f>
        <v>4</v>
      </c>
      <c r="AM49" s="6">
        <f>IF(最佳化斷筋點!O49="","",最佳化斷筋點!O49)</f>
        <v>4</v>
      </c>
      <c r="AN49" s="6">
        <f>IF(最佳化斷筋點!P49="","",最佳化斷筋點!P49)</f>
        <v>4</v>
      </c>
      <c r="AO49" s="6">
        <f>IF(最佳化斷筋點!Q49="","",最佳化斷筋點!Q49)</f>
        <v>4</v>
      </c>
      <c r="AP49" s="6">
        <f>IF(最佳化斷筋點!R49="","",最佳化斷筋點!R49)</f>
        <v>4</v>
      </c>
      <c r="AQ49" s="6">
        <f>IF(最佳化斷筋點!S49="","",最佳化斷筋點!S49)</f>
        <v>3</v>
      </c>
      <c r="AR49" s="6">
        <f>IF(最佳化斷筋點!T49="","",最佳化斷筋點!T49)</f>
        <v>3</v>
      </c>
      <c r="AS49" s="6">
        <f>IF(最佳化斷筋點!U49="","",最佳化斷筋點!U49)</f>
        <v>3</v>
      </c>
      <c r="AT49" s="6">
        <f>IF(最佳化斷筋點!V49="","",最佳化斷筋點!V49)</f>
        <v>3</v>
      </c>
      <c r="AU49" s="6">
        <f>IF(最佳化斷筋點!W49="","",最佳化斷筋點!W49)</f>
        <v>3</v>
      </c>
      <c r="AV49" s="6">
        <f>IF(最佳化斷筋點!X49="","",最佳化斷筋點!X49)</f>
        <v>3</v>
      </c>
      <c r="AX49" s="6" t="s">
        <v>51</v>
      </c>
      <c r="AY49" s="6">
        <v>3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3</v>
      </c>
      <c r="BO49" s="6">
        <v>3</v>
      </c>
      <c r="BP49" s="6">
        <v>3</v>
      </c>
      <c r="BQ49" s="6">
        <v>3</v>
      </c>
      <c r="BR49" s="6">
        <v>3</v>
      </c>
      <c r="BS49" s="6">
        <v>3</v>
      </c>
    </row>
    <row r="50" spans="4:71" x14ac:dyDescent="0.25">
      <c r="E50" s="6">
        <f t="shared" si="1"/>
        <v>0</v>
      </c>
      <c r="F50" s="6">
        <f t="shared" si="2"/>
        <v>0</v>
      </c>
      <c r="G50" s="6">
        <f t="shared" si="3"/>
        <v>0</v>
      </c>
      <c r="H50" s="6">
        <f t="shared" si="4"/>
        <v>0</v>
      </c>
      <c r="I50" s="6">
        <f t="shared" si="5"/>
        <v>0</v>
      </c>
      <c r="J50" s="6">
        <f t="shared" si="6"/>
        <v>0</v>
      </c>
      <c r="K50" s="6">
        <f t="shared" si="7"/>
        <v>0</v>
      </c>
      <c r="L50" s="6">
        <f t="shared" si="8"/>
        <v>0</v>
      </c>
      <c r="M50" s="6">
        <f t="shared" si="9"/>
        <v>0</v>
      </c>
      <c r="N50" s="6">
        <f t="shared" si="10"/>
        <v>0</v>
      </c>
      <c r="O50" s="6">
        <f t="shared" si="11"/>
        <v>0</v>
      </c>
      <c r="P50" s="6">
        <f t="shared" si="12"/>
        <v>0</v>
      </c>
      <c r="Q50" s="6">
        <f t="shared" si="13"/>
        <v>0</v>
      </c>
      <c r="R50" s="6">
        <f t="shared" si="14"/>
        <v>0</v>
      </c>
      <c r="S50" s="6">
        <f t="shared" si="15"/>
        <v>0</v>
      </c>
      <c r="T50" s="6">
        <f t="shared" si="16"/>
        <v>0</v>
      </c>
      <c r="U50" s="6">
        <f t="shared" si="17"/>
        <v>0</v>
      </c>
      <c r="V50" s="6">
        <f t="shared" si="18"/>
        <v>0</v>
      </c>
      <c r="W50" s="6">
        <f t="shared" si="19"/>
        <v>0</v>
      </c>
      <c r="X50" s="6">
        <f t="shared" si="20"/>
        <v>0</v>
      </c>
      <c r="Y50" s="6">
        <f t="shared" si="21"/>
        <v>0</v>
      </c>
      <c r="AA50" s="6" t="str">
        <f>IF(最佳化斷筋點!C50="","",最佳化斷筋點!C50)</f>
        <v/>
      </c>
      <c r="AB50" s="6" t="str">
        <f>IF(最佳化斷筋點!D50="","",最佳化斷筋點!D50)</f>
        <v/>
      </c>
      <c r="AC50" s="6" t="str">
        <f>IF(最佳化斷筋點!E50="","",最佳化斷筋點!E50)</f>
        <v/>
      </c>
      <c r="AD50" s="6" t="str">
        <f>IF(最佳化斷筋點!F50="","",最佳化斷筋點!F50)</f>
        <v/>
      </c>
      <c r="AE50" s="6" t="str">
        <f>IF(最佳化斷筋點!G50="","",最佳化斷筋點!G50)</f>
        <v/>
      </c>
      <c r="AF50" s="6" t="str">
        <f>IF(最佳化斷筋點!H50="","",最佳化斷筋點!H50)</f>
        <v/>
      </c>
      <c r="AG50" s="6" t="str">
        <f>IF(最佳化斷筋點!I50="","",最佳化斷筋點!I50)</f>
        <v/>
      </c>
      <c r="AH50" s="6" t="str">
        <f>IF(最佳化斷筋點!J50="","",最佳化斷筋點!J50)</f>
        <v/>
      </c>
      <c r="AI50" s="6" t="str">
        <f>IF(最佳化斷筋點!K50="","",最佳化斷筋點!K50)</f>
        <v/>
      </c>
      <c r="AJ50" s="6" t="str">
        <f>IF(最佳化斷筋點!L50="","",最佳化斷筋點!L50)</f>
        <v/>
      </c>
      <c r="AK50" s="6" t="str">
        <f>IF(最佳化斷筋點!M50="","",最佳化斷筋點!M50)</f>
        <v/>
      </c>
      <c r="AL50" s="6" t="str">
        <f>IF(最佳化斷筋點!N50="","",最佳化斷筋點!N50)</f>
        <v/>
      </c>
      <c r="AM50" s="6" t="str">
        <f>IF(最佳化斷筋點!O50="","",最佳化斷筋點!O50)</f>
        <v/>
      </c>
      <c r="AN50" s="6" t="str">
        <f>IF(最佳化斷筋點!P50="","",最佳化斷筋點!P50)</f>
        <v/>
      </c>
      <c r="AO50" s="6" t="str">
        <f>IF(最佳化斷筋點!Q50="","",最佳化斷筋點!Q50)</f>
        <v/>
      </c>
      <c r="AP50" s="6" t="str">
        <f>IF(最佳化斷筋點!R50="","",最佳化斷筋點!R50)</f>
        <v/>
      </c>
      <c r="AQ50" s="6" t="str">
        <f>IF(最佳化斷筋點!S50="","",最佳化斷筋點!S50)</f>
        <v/>
      </c>
      <c r="AR50" s="6" t="str">
        <f>IF(最佳化斷筋點!T50="","",最佳化斷筋點!T50)</f>
        <v/>
      </c>
      <c r="AS50" s="6" t="str">
        <f>IF(最佳化斷筋點!U50="","",最佳化斷筋點!U50)</f>
        <v/>
      </c>
      <c r="AT50" s="6" t="str">
        <f>IF(最佳化斷筋點!V50="","",最佳化斷筋點!V50)</f>
        <v/>
      </c>
      <c r="AU50" s="6" t="str">
        <f>IF(最佳化斷筋點!W50="","",最佳化斷筋點!W50)</f>
        <v/>
      </c>
      <c r="AV50" s="6" t="str">
        <f>IF(最佳化斷筋點!X50="","",最佳化斷筋點!X50)</f>
        <v/>
      </c>
    </row>
    <row r="51" spans="4:71" x14ac:dyDescent="0.25">
      <c r="D51" s="6" t="s">
        <v>50</v>
      </c>
      <c r="E51" s="6">
        <f t="shared" si="1"/>
        <v>0</v>
      </c>
      <c r="F51" s="6">
        <f t="shared" si="2"/>
        <v>0</v>
      </c>
      <c r="G51" s="6">
        <f t="shared" si="3"/>
        <v>0</v>
      </c>
      <c r="H51" s="6">
        <f t="shared" si="4"/>
        <v>0</v>
      </c>
      <c r="I51" s="6">
        <f t="shared" si="5"/>
        <v>0</v>
      </c>
      <c r="J51" s="6">
        <f t="shared" si="6"/>
        <v>0</v>
      </c>
      <c r="K51" s="6">
        <f t="shared" si="7"/>
        <v>0</v>
      </c>
      <c r="L51" s="6">
        <f t="shared" si="8"/>
        <v>0</v>
      </c>
      <c r="M51" s="6">
        <f t="shared" si="9"/>
        <v>0</v>
      </c>
      <c r="N51" s="6">
        <f t="shared" si="10"/>
        <v>0</v>
      </c>
      <c r="O51" s="6">
        <f t="shared" si="11"/>
        <v>0</v>
      </c>
      <c r="P51" s="6">
        <f t="shared" si="12"/>
        <v>0</v>
      </c>
      <c r="Q51" s="6">
        <f t="shared" si="13"/>
        <v>0</v>
      </c>
      <c r="R51" s="6">
        <f t="shared" si="14"/>
        <v>0</v>
      </c>
      <c r="S51" s="6">
        <f t="shared" si="15"/>
        <v>0</v>
      </c>
      <c r="T51" s="6">
        <f t="shared" si="16"/>
        <v>0</v>
      </c>
      <c r="U51" s="6">
        <f t="shared" si="17"/>
        <v>0</v>
      </c>
      <c r="V51" s="6">
        <f t="shared" si="18"/>
        <v>0</v>
      </c>
      <c r="W51" s="6">
        <f t="shared" si="19"/>
        <v>0</v>
      </c>
      <c r="X51" s="6">
        <f t="shared" si="20"/>
        <v>0</v>
      </c>
      <c r="Y51" s="6">
        <f t="shared" si="21"/>
        <v>0</v>
      </c>
      <c r="AA51" s="6" t="str">
        <f>IF(最佳化斷筋點!C51="","",最佳化斷筋點!C51)</f>
        <v>上層</v>
      </c>
      <c r="AB51" s="6">
        <f>IF(最佳化斷筋點!D51="","",最佳化斷筋點!D51)</f>
        <v>2</v>
      </c>
      <c r="AC51" s="6">
        <f>IF(最佳化斷筋點!E51="","",最佳化斷筋點!E51)</f>
        <v>2</v>
      </c>
      <c r="AD51" s="6">
        <f>IF(最佳化斷筋點!F51="","",最佳化斷筋點!F51)</f>
        <v>2</v>
      </c>
      <c r="AE51" s="6">
        <f>IF(最佳化斷筋點!G51="","",最佳化斷筋點!G51)</f>
        <v>2</v>
      </c>
      <c r="AF51" s="6">
        <f>IF(最佳化斷筋點!H51="","",最佳化斷筋點!H51)</f>
        <v>2</v>
      </c>
      <c r="AG51" s="6">
        <f>IF(最佳化斷筋點!I51="","",最佳化斷筋點!I51)</f>
        <v>2</v>
      </c>
      <c r="AH51" s="6">
        <f>IF(最佳化斷筋點!J51="","",最佳化斷筋點!J51)</f>
        <v>2</v>
      </c>
      <c r="AI51" s="6">
        <f>IF(最佳化斷筋點!K51="","",最佳化斷筋點!K51)</f>
        <v>2</v>
      </c>
      <c r="AJ51" s="6">
        <f>IF(最佳化斷筋點!L51="","",最佳化斷筋點!L51)</f>
        <v>2</v>
      </c>
      <c r="AK51" s="6">
        <f>IF(最佳化斷筋點!M51="","",最佳化斷筋點!M51)</f>
        <v>2</v>
      </c>
      <c r="AL51" s="6">
        <f>IF(最佳化斷筋點!N51="","",最佳化斷筋點!N51)</f>
        <v>2</v>
      </c>
      <c r="AM51" s="6">
        <f>IF(最佳化斷筋點!O51="","",最佳化斷筋點!O51)</f>
        <v>2</v>
      </c>
      <c r="AN51" s="6">
        <f>IF(最佳化斷筋點!P51="","",最佳化斷筋點!P51)</f>
        <v>2</v>
      </c>
      <c r="AO51" s="6">
        <f>IF(最佳化斷筋點!Q51="","",最佳化斷筋點!Q51)</f>
        <v>2</v>
      </c>
      <c r="AP51" s="6">
        <f>IF(最佳化斷筋點!R51="","",最佳化斷筋點!R51)</f>
        <v>2</v>
      </c>
      <c r="AQ51" s="6">
        <f>IF(最佳化斷筋點!S51="","",最佳化斷筋點!S51)</f>
        <v>2</v>
      </c>
      <c r="AR51" s="6">
        <f>IF(最佳化斷筋點!T51="","",最佳化斷筋點!T51)</f>
        <v>3</v>
      </c>
      <c r="AS51" s="6">
        <f>IF(最佳化斷筋點!U51="","",最佳化斷筋點!U51)</f>
        <v>3</v>
      </c>
      <c r="AT51" s="6">
        <f>IF(最佳化斷筋點!V51="","",最佳化斷筋點!V51)</f>
        <v>4</v>
      </c>
      <c r="AU51" s="6">
        <f>IF(最佳化斷筋點!W51="","",最佳化斷筋點!W51)</f>
        <v>4</v>
      </c>
      <c r="AV51" s="6">
        <f>IF(最佳化斷筋點!X51="","",最佳化斷筋點!X51)</f>
        <v>4</v>
      </c>
      <c r="AX51" s="6" t="s">
        <v>50</v>
      </c>
      <c r="AY51" s="6">
        <v>2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</row>
    <row r="52" spans="4:71" x14ac:dyDescent="0.25">
      <c r="E52" s="6">
        <f t="shared" si="1"/>
        <v>0</v>
      </c>
      <c r="F52" s="6">
        <f t="shared" si="2"/>
        <v>0</v>
      </c>
      <c r="G52" s="6">
        <f t="shared" si="3"/>
        <v>0</v>
      </c>
      <c r="H52" s="6">
        <f t="shared" si="4"/>
        <v>0</v>
      </c>
      <c r="I52" s="6">
        <f t="shared" si="5"/>
        <v>0</v>
      </c>
      <c r="J52" s="6">
        <f t="shared" si="6"/>
        <v>0</v>
      </c>
      <c r="K52" s="6">
        <f t="shared" si="7"/>
        <v>0</v>
      </c>
      <c r="L52" s="6">
        <f t="shared" si="8"/>
        <v>0</v>
      </c>
      <c r="M52" s="6">
        <f t="shared" si="9"/>
        <v>0</v>
      </c>
      <c r="N52" s="6">
        <f t="shared" si="10"/>
        <v>0</v>
      </c>
      <c r="O52" s="6">
        <f t="shared" si="11"/>
        <v>0</v>
      </c>
      <c r="P52" s="6">
        <f t="shared" si="12"/>
        <v>0</v>
      </c>
      <c r="Q52" s="6">
        <f t="shared" si="13"/>
        <v>0</v>
      </c>
      <c r="R52" s="6">
        <f t="shared" si="14"/>
        <v>0</v>
      </c>
      <c r="S52" s="6">
        <f t="shared" si="15"/>
        <v>0</v>
      </c>
      <c r="T52" s="6">
        <f t="shared" si="16"/>
        <v>0</v>
      </c>
      <c r="U52" s="6">
        <f t="shared" si="17"/>
        <v>0</v>
      </c>
      <c r="V52" s="6">
        <f t="shared" si="18"/>
        <v>0</v>
      </c>
      <c r="W52" s="6">
        <f t="shared" si="19"/>
        <v>0</v>
      </c>
      <c r="X52" s="6">
        <f t="shared" si="20"/>
        <v>0</v>
      </c>
      <c r="Y52" s="6">
        <f t="shared" si="21"/>
        <v>0</v>
      </c>
      <c r="AA52" s="6" t="str">
        <f>IF(最佳化斷筋點!C52="","",最佳化斷筋點!C52)</f>
        <v/>
      </c>
      <c r="AB52" s="6" t="str">
        <f>IF(最佳化斷筋點!D52="","",最佳化斷筋點!D52)</f>
        <v/>
      </c>
      <c r="AC52" s="6" t="str">
        <f>IF(最佳化斷筋點!E52="","",最佳化斷筋點!E52)</f>
        <v/>
      </c>
      <c r="AD52" s="6" t="str">
        <f>IF(最佳化斷筋點!F52="","",最佳化斷筋點!F52)</f>
        <v/>
      </c>
      <c r="AE52" s="6" t="str">
        <f>IF(最佳化斷筋點!G52="","",最佳化斷筋點!G52)</f>
        <v/>
      </c>
      <c r="AF52" s="6" t="str">
        <f>IF(最佳化斷筋點!H52="","",最佳化斷筋點!H52)</f>
        <v/>
      </c>
      <c r="AG52" s="6" t="str">
        <f>IF(最佳化斷筋點!I52="","",最佳化斷筋點!I52)</f>
        <v/>
      </c>
      <c r="AH52" s="6" t="str">
        <f>IF(最佳化斷筋點!J52="","",最佳化斷筋點!J52)</f>
        <v/>
      </c>
      <c r="AI52" s="6" t="str">
        <f>IF(最佳化斷筋點!K52="","",最佳化斷筋點!K52)</f>
        <v/>
      </c>
      <c r="AJ52" s="6" t="str">
        <f>IF(最佳化斷筋點!L52="","",最佳化斷筋點!L52)</f>
        <v/>
      </c>
      <c r="AK52" s="6" t="str">
        <f>IF(最佳化斷筋點!M52="","",最佳化斷筋點!M52)</f>
        <v/>
      </c>
      <c r="AL52" s="6" t="str">
        <f>IF(最佳化斷筋點!N52="","",最佳化斷筋點!N52)</f>
        <v/>
      </c>
      <c r="AM52" s="6" t="str">
        <f>IF(最佳化斷筋點!O52="","",最佳化斷筋點!O52)</f>
        <v/>
      </c>
      <c r="AN52" s="6" t="str">
        <f>IF(最佳化斷筋點!P52="","",最佳化斷筋點!P52)</f>
        <v/>
      </c>
      <c r="AO52" s="6" t="str">
        <f>IF(最佳化斷筋點!Q52="","",最佳化斷筋點!Q52)</f>
        <v/>
      </c>
      <c r="AP52" s="6" t="str">
        <f>IF(最佳化斷筋點!R52="","",最佳化斷筋點!R52)</f>
        <v/>
      </c>
      <c r="AQ52" s="6" t="str">
        <f>IF(最佳化斷筋點!S52="","",最佳化斷筋點!S52)</f>
        <v/>
      </c>
      <c r="AR52" s="6" t="str">
        <f>IF(最佳化斷筋點!T52="","",最佳化斷筋點!T52)</f>
        <v/>
      </c>
      <c r="AS52" s="6" t="str">
        <f>IF(最佳化斷筋點!U52="","",最佳化斷筋點!U52)</f>
        <v/>
      </c>
      <c r="AT52" s="6" t="str">
        <f>IF(最佳化斷筋點!V52="","",最佳化斷筋點!V52)</f>
        <v/>
      </c>
      <c r="AU52" s="6" t="str">
        <f>IF(最佳化斷筋點!W52="","",最佳化斷筋點!W52)</f>
        <v/>
      </c>
      <c r="AV52" s="6" t="str">
        <f>IF(最佳化斷筋點!X52="","",最佳化斷筋點!X52)</f>
        <v/>
      </c>
    </row>
    <row r="53" spans="4:71" x14ac:dyDescent="0.25">
      <c r="D53" s="6" t="s">
        <v>51</v>
      </c>
      <c r="E53" s="6">
        <f t="shared" si="1"/>
        <v>0</v>
      </c>
      <c r="F53" s="6">
        <f t="shared" si="2"/>
        <v>0</v>
      </c>
      <c r="G53" s="6">
        <f t="shared" si="3"/>
        <v>0</v>
      </c>
      <c r="H53" s="6">
        <f t="shared" si="4"/>
        <v>0</v>
      </c>
      <c r="I53" s="6">
        <f t="shared" si="5"/>
        <v>0</v>
      </c>
      <c r="J53" s="6">
        <f t="shared" si="6"/>
        <v>0</v>
      </c>
      <c r="K53" s="6">
        <f t="shared" si="7"/>
        <v>0</v>
      </c>
      <c r="L53" s="6">
        <f t="shared" si="8"/>
        <v>0</v>
      </c>
      <c r="M53" s="6">
        <f t="shared" si="9"/>
        <v>0</v>
      </c>
      <c r="N53" s="6">
        <f t="shared" si="10"/>
        <v>0</v>
      </c>
      <c r="O53" s="6">
        <f t="shared" si="11"/>
        <v>0</v>
      </c>
      <c r="P53" s="6">
        <f t="shared" si="12"/>
        <v>0</v>
      </c>
      <c r="Q53" s="6">
        <f t="shared" si="13"/>
        <v>0</v>
      </c>
      <c r="R53" s="6">
        <f t="shared" si="14"/>
        <v>0</v>
      </c>
      <c r="S53" s="6">
        <f t="shared" si="15"/>
        <v>0</v>
      </c>
      <c r="T53" s="6">
        <f t="shared" si="16"/>
        <v>0</v>
      </c>
      <c r="U53" s="6">
        <f t="shared" si="17"/>
        <v>0</v>
      </c>
      <c r="V53" s="6">
        <f t="shared" si="18"/>
        <v>0</v>
      </c>
      <c r="W53" s="6">
        <f t="shared" si="19"/>
        <v>0</v>
      </c>
      <c r="X53" s="6">
        <f t="shared" si="20"/>
        <v>0</v>
      </c>
      <c r="Y53" s="6">
        <f t="shared" si="21"/>
        <v>0</v>
      </c>
      <c r="AA53" s="6" t="str">
        <f>IF(最佳化斷筋點!C53="","",最佳化斷筋點!C53)</f>
        <v>下層</v>
      </c>
      <c r="AB53" s="6">
        <f>IF(最佳化斷筋點!D53="","",最佳化斷筋點!D53)</f>
        <v>3</v>
      </c>
      <c r="AC53" s="6">
        <f>IF(最佳化斷筋點!E53="","",最佳化斷筋點!E53)</f>
        <v>3</v>
      </c>
      <c r="AD53" s="6">
        <f>IF(最佳化斷筋點!F53="","",最佳化斷筋點!F53)</f>
        <v>3</v>
      </c>
      <c r="AE53" s="6">
        <f>IF(最佳化斷筋點!G53="","",最佳化斷筋點!G53)</f>
        <v>3</v>
      </c>
      <c r="AF53" s="6">
        <f>IF(最佳化斷筋點!H53="","",最佳化斷筋點!H53)</f>
        <v>3</v>
      </c>
      <c r="AG53" s="6">
        <f>IF(最佳化斷筋點!I53="","",最佳化斷筋點!I53)</f>
        <v>3</v>
      </c>
      <c r="AH53" s="6">
        <f>IF(最佳化斷筋點!J53="","",最佳化斷筋點!J53)</f>
        <v>4</v>
      </c>
      <c r="AI53" s="6">
        <f>IF(最佳化斷筋點!K53="","",最佳化斷筋點!K53)</f>
        <v>4</v>
      </c>
      <c r="AJ53" s="6">
        <f>IF(最佳化斷筋點!L53="","",最佳化斷筋點!L53)</f>
        <v>4</v>
      </c>
      <c r="AK53" s="6">
        <f>IF(最佳化斷筋點!M53="","",最佳化斷筋點!M53)</f>
        <v>4</v>
      </c>
      <c r="AL53" s="6">
        <f>IF(最佳化斷筋點!N53="","",最佳化斷筋點!N53)</f>
        <v>4</v>
      </c>
      <c r="AM53" s="6">
        <f>IF(最佳化斷筋點!O53="","",最佳化斷筋點!O53)</f>
        <v>4</v>
      </c>
      <c r="AN53" s="6">
        <f>IF(最佳化斷筋點!P53="","",最佳化斷筋點!P53)</f>
        <v>4</v>
      </c>
      <c r="AO53" s="6">
        <f>IF(最佳化斷筋點!Q53="","",最佳化斷筋點!Q53)</f>
        <v>4</v>
      </c>
      <c r="AP53" s="6">
        <f>IF(最佳化斷筋點!R53="","",最佳化斷筋點!R53)</f>
        <v>4</v>
      </c>
      <c r="AQ53" s="6">
        <f>IF(最佳化斷筋點!S53="","",最佳化斷筋點!S53)</f>
        <v>3</v>
      </c>
      <c r="AR53" s="6">
        <f>IF(最佳化斷筋點!T53="","",最佳化斷筋點!T53)</f>
        <v>3</v>
      </c>
      <c r="AS53" s="6">
        <f>IF(最佳化斷筋點!U53="","",最佳化斷筋點!U53)</f>
        <v>3</v>
      </c>
      <c r="AT53" s="6">
        <f>IF(最佳化斷筋點!V53="","",最佳化斷筋點!V53)</f>
        <v>3</v>
      </c>
      <c r="AU53" s="6">
        <f>IF(最佳化斷筋點!W53="","",最佳化斷筋點!W53)</f>
        <v>3</v>
      </c>
      <c r="AV53" s="6">
        <f>IF(最佳化斷筋點!X53="","",最佳化斷筋點!X53)</f>
        <v>3</v>
      </c>
      <c r="AX53" s="6" t="s">
        <v>51</v>
      </c>
      <c r="AY53" s="6">
        <v>3</v>
      </c>
      <c r="AZ53" s="6">
        <v>3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3</v>
      </c>
      <c r="BO53" s="6">
        <v>3</v>
      </c>
      <c r="BP53" s="6">
        <v>3</v>
      </c>
      <c r="BQ53" s="6">
        <v>3</v>
      </c>
      <c r="BR53" s="6">
        <v>3</v>
      </c>
      <c r="BS53" s="6">
        <v>3</v>
      </c>
    </row>
    <row r="54" spans="4:71" x14ac:dyDescent="0.25">
      <c r="E54" s="6">
        <f t="shared" si="1"/>
        <v>0</v>
      </c>
      <c r="F54" s="6">
        <f t="shared" si="2"/>
        <v>0</v>
      </c>
      <c r="G54" s="6">
        <f t="shared" si="3"/>
        <v>0</v>
      </c>
      <c r="H54" s="6">
        <f t="shared" si="4"/>
        <v>0</v>
      </c>
      <c r="I54" s="6">
        <f t="shared" si="5"/>
        <v>0</v>
      </c>
      <c r="J54" s="6">
        <f t="shared" si="6"/>
        <v>0</v>
      </c>
      <c r="K54" s="6">
        <f t="shared" si="7"/>
        <v>0</v>
      </c>
      <c r="L54" s="6">
        <f t="shared" si="8"/>
        <v>0</v>
      </c>
      <c r="M54" s="6">
        <f t="shared" si="9"/>
        <v>0</v>
      </c>
      <c r="N54" s="6">
        <f t="shared" si="10"/>
        <v>0</v>
      </c>
      <c r="O54" s="6">
        <f t="shared" si="11"/>
        <v>0</v>
      </c>
      <c r="P54" s="6">
        <f t="shared" si="12"/>
        <v>0</v>
      </c>
      <c r="Q54" s="6">
        <f t="shared" si="13"/>
        <v>0</v>
      </c>
      <c r="R54" s="6">
        <f t="shared" si="14"/>
        <v>0</v>
      </c>
      <c r="S54" s="6">
        <f t="shared" si="15"/>
        <v>0</v>
      </c>
      <c r="T54" s="6">
        <f t="shared" si="16"/>
        <v>0</v>
      </c>
      <c r="U54" s="6">
        <f t="shared" si="17"/>
        <v>0</v>
      </c>
      <c r="V54" s="6">
        <f t="shared" si="18"/>
        <v>0</v>
      </c>
      <c r="W54" s="6">
        <f t="shared" si="19"/>
        <v>0</v>
      </c>
      <c r="X54" s="6">
        <f t="shared" si="20"/>
        <v>0</v>
      </c>
      <c r="Y54" s="6">
        <f t="shared" si="21"/>
        <v>0</v>
      </c>
      <c r="AA54" s="6" t="str">
        <f>IF(最佳化斷筋點!C54="","",最佳化斷筋點!C54)</f>
        <v/>
      </c>
      <c r="AB54" s="6" t="str">
        <f>IF(最佳化斷筋點!D54="","",最佳化斷筋點!D54)</f>
        <v/>
      </c>
      <c r="AC54" s="6" t="str">
        <f>IF(最佳化斷筋點!E54="","",最佳化斷筋點!E54)</f>
        <v/>
      </c>
      <c r="AD54" s="6" t="str">
        <f>IF(最佳化斷筋點!F54="","",最佳化斷筋點!F54)</f>
        <v/>
      </c>
      <c r="AE54" s="6" t="str">
        <f>IF(最佳化斷筋點!G54="","",最佳化斷筋點!G54)</f>
        <v/>
      </c>
      <c r="AF54" s="6" t="str">
        <f>IF(最佳化斷筋點!H54="","",最佳化斷筋點!H54)</f>
        <v/>
      </c>
      <c r="AG54" s="6" t="str">
        <f>IF(最佳化斷筋點!I54="","",最佳化斷筋點!I54)</f>
        <v/>
      </c>
      <c r="AH54" s="6" t="str">
        <f>IF(最佳化斷筋點!J54="","",最佳化斷筋點!J54)</f>
        <v/>
      </c>
      <c r="AI54" s="6" t="str">
        <f>IF(最佳化斷筋點!K54="","",最佳化斷筋點!K54)</f>
        <v/>
      </c>
      <c r="AJ54" s="6" t="str">
        <f>IF(最佳化斷筋點!L54="","",最佳化斷筋點!L54)</f>
        <v/>
      </c>
      <c r="AK54" s="6" t="str">
        <f>IF(最佳化斷筋點!M54="","",最佳化斷筋點!M54)</f>
        <v/>
      </c>
      <c r="AL54" s="6" t="str">
        <f>IF(最佳化斷筋點!N54="","",最佳化斷筋點!N54)</f>
        <v/>
      </c>
      <c r="AM54" s="6" t="str">
        <f>IF(最佳化斷筋點!O54="","",最佳化斷筋點!O54)</f>
        <v/>
      </c>
      <c r="AN54" s="6" t="str">
        <f>IF(最佳化斷筋點!P54="","",最佳化斷筋點!P54)</f>
        <v/>
      </c>
      <c r="AO54" s="6" t="str">
        <f>IF(最佳化斷筋點!Q54="","",最佳化斷筋點!Q54)</f>
        <v/>
      </c>
      <c r="AP54" s="6" t="str">
        <f>IF(最佳化斷筋點!R54="","",最佳化斷筋點!R54)</f>
        <v/>
      </c>
      <c r="AQ54" s="6" t="str">
        <f>IF(最佳化斷筋點!S54="","",最佳化斷筋點!S54)</f>
        <v/>
      </c>
      <c r="AR54" s="6" t="str">
        <f>IF(最佳化斷筋點!T54="","",最佳化斷筋點!T54)</f>
        <v/>
      </c>
      <c r="AS54" s="6" t="str">
        <f>IF(最佳化斷筋點!U54="","",最佳化斷筋點!U54)</f>
        <v/>
      </c>
      <c r="AT54" s="6" t="str">
        <f>IF(最佳化斷筋點!V54="","",最佳化斷筋點!V54)</f>
        <v/>
      </c>
      <c r="AU54" s="6" t="str">
        <f>IF(最佳化斷筋點!W54="","",最佳化斷筋點!W54)</f>
        <v/>
      </c>
      <c r="AV54" s="6" t="str">
        <f>IF(最佳化斷筋點!X54="","",最佳化斷筋點!X54)</f>
        <v/>
      </c>
    </row>
    <row r="55" spans="4:71" x14ac:dyDescent="0.25">
      <c r="D55" s="6" t="s">
        <v>50</v>
      </c>
      <c r="E55" s="6">
        <f t="shared" si="1"/>
        <v>0</v>
      </c>
      <c r="F55" s="6">
        <f t="shared" si="2"/>
        <v>0</v>
      </c>
      <c r="G55" s="6">
        <f t="shared" si="3"/>
        <v>0</v>
      </c>
      <c r="H55" s="6">
        <f t="shared" si="4"/>
        <v>0</v>
      </c>
      <c r="I55" s="6">
        <f t="shared" si="5"/>
        <v>0</v>
      </c>
      <c r="J55" s="6">
        <f t="shared" si="6"/>
        <v>0</v>
      </c>
      <c r="K55" s="6">
        <f t="shared" si="7"/>
        <v>0</v>
      </c>
      <c r="L55" s="6">
        <f t="shared" si="8"/>
        <v>0</v>
      </c>
      <c r="M55" s="6">
        <f t="shared" si="9"/>
        <v>0</v>
      </c>
      <c r="N55" s="6">
        <f t="shared" si="10"/>
        <v>0</v>
      </c>
      <c r="O55" s="6">
        <f t="shared" si="11"/>
        <v>0</v>
      </c>
      <c r="P55" s="6">
        <f t="shared" si="12"/>
        <v>0</v>
      </c>
      <c r="Q55" s="6">
        <f t="shared" si="13"/>
        <v>0</v>
      </c>
      <c r="R55" s="6">
        <f t="shared" si="14"/>
        <v>0</v>
      </c>
      <c r="S55" s="6">
        <f t="shared" si="15"/>
        <v>0</v>
      </c>
      <c r="T55" s="6">
        <f t="shared" si="16"/>
        <v>0</v>
      </c>
      <c r="U55" s="6">
        <f t="shared" si="17"/>
        <v>0</v>
      </c>
      <c r="V55" s="6">
        <f t="shared" si="18"/>
        <v>0</v>
      </c>
      <c r="W55" s="6">
        <f t="shared" si="19"/>
        <v>0</v>
      </c>
      <c r="X55" s="6">
        <f t="shared" si="20"/>
        <v>0</v>
      </c>
      <c r="Y55" s="6">
        <f t="shared" si="21"/>
        <v>0</v>
      </c>
      <c r="AA55" s="6" t="str">
        <f>IF(最佳化斷筋點!C55="","",最佳化斷筋點!C55)</f>
        <v>上層</v>
      </c>
      <c r="AB55" s="6">
        <f>IF(最佳化斷筋點!D55="","",最佳化斷筋點!D55)</f>
        <v>5</v>
      </c>
      <c r="AC55" s="6">
        <f>IF(最佳化斷筋點!E55="","",最佳化斷筋點!E55)</f>
        <v>5</v>
      </c>
      <c r="AD55" s="6">
        <f>IF(最佳化斷筋點!F55="","",最佳化斷筋點!F55)</f>
        <v>4</v>
      </c>
      <c r="AE55" s="6">
        <f>IF(最佳化斷筋點!G55="","",最佳化斷筋點!G55)</f>
        <v>4</v>
      </c>
      <c r="AF55" s="6">
        <f>IF(最佳化斷筋點!H55="","",最佳化斷筋點!H55)</f>
        <v>4</v>
      </c>
      <c r="AG55" s="6">
        <f>IF(最佳化斷筋點!I55="","",最佳化斷筋點!I55)</f>
        <v>3</v>
      </c>
      <c r="AH55" s="6">
        <f>IF(最佳化斷筋點!J55="","",最佳化斷筋點!J55)</f>
        <v>3</v>
      </c>
      <c r="AI55" s="6">
        <f>IF(最佳化斷筋點!K55="","",最佳化斷筋點!K55)</f>
        <v>2</v>
      </c>
      <c r="AJ55" s="6">
        <f>IF(最佳化斷筋點!L55="","",最佳化斷筋點!L55)</f>
        <v>2</v>
      </c>
      <c r="AK55" s="6">
        <f>IF(最佳化斷筋點!M55="","",最佳化斷筋點!M55)</f>
        <v>2</v>
      </c>
      <c r="AL55" s="6">
        <f>IF(最佳化斷筋點!N55="","",最佳化斷筋點!N55)</f>
        <v>2</v>
      </c>
      <c r="AM55" s="6">
        <f>IF(最佳化斷筋點!O55="","",最佳化斷筋點!O55)</f>
        <v>2</v>
      </c>
      <c r="AN55" s="6">
        <f>IF(最佳化斷筋點!P55="","",最佳化斷筋點!P55)</f>
        <v>2</v>
      </c>
      <c r="AO55" s="6">
        <f>IF(最佳化斷筋點!Q55="","",最佳化斷筋點!Q55)</f>
        <v>2</v>
      </c>
      <c r="AP55" s="6">
        <f>IF(最佳化斷筋點!R55="","",最佳化斷筋點!R55)</f>
        <v>2</v>
      </c>
      <c r="AQ55" s="6">
        <f>IF(最佳化斷筋點!S55="","",最佳化斷筋點!S55)</f>
        <v>2</v>
      </c>
      <c r="AR55" s="6">
        <f>IF(最佳化斷筋點!T55="","",最佳化斷筋點!T55)</f>
        <v>2</v>
      </c>
      <c r="AS55" s="6">
        <f>IF(最佳化斷筋點!U55="","",最佳化斷筋點!U55)</f>
        <v>2</v>
      </c>
      <c r="AT55" s="6">
        <f>IF(最佳化斷筋點!V55="","",最佳化斷筋點!V55)</f>
        <v>2</v>
      </c>
      <c r="AU55" s="6">
        <f>IF(最佳化斷筋點!W55="","",最佳化斷筋點!W55)</f>
        <v>2</v>
      </c>
      <c r="AV55" s="6">
        <f>IF(最佳化斷筋點!X55="","",最佳化斷筋點!X55)</f>
        <v>2</v>
      </c>
      <c r="AX55" s="6" t="s">
        <v>50</v>
      </c>
      <c r="AY55" s="6">
        <v>5</v>
      </c>
      <c r="AZ55" s="6">
        <v>5</v>
      </c>
      <c r="BA55" s="6">
        <v>4</v>
      </c>
      <c r="BB55" s="6">
        <v>4</v>
      </c>
      <c r="BC55" s="6">
        <v>4</v>
      </c>
      <c r="BD55" s="6">
        <v>3</v>
      </c>
      <c r="BE55" s="6">
        <v>3</v>
      </c>
      <c r="BF55" s="6">
        <v>2</v>
      </c>
      <c r="BG55" s="6">
        <v>2</v>
      </c>
      <c r="BH55" s="6">
        <v>2</v>
      </c>
      <c r="BI55" s="6">
        <v>2</v>
      </c>
      <c r="BJ55" s="6">
        <v>2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</row>
    <row r="56" spans="4:71" x14ac:dyDescent="0.25">
      <c r="E56" s="6">
        <f t="shared" si="1"/>
        <v>0</v>
      </c>
      <c r="F56" s="6">
        <f t="shared" si="2"/>
        <v>0</v>
      </c>
      <c r="G56" s="6">
        <f t="shared" si="3"/>
        <v>0</v>
      </c>
      <c r="H56" s="6">
        <f t="shared" si="4"/>
        <v>0</v>
      </c>
      <c r="I56" s="6">
        <f t="shared" si="5"/>
        <v>0</v>
      </c>
      <c r="J56" s="6">
        <f t="shared" si="6"/>
        <v>0</v>
      </c>
      <c r="K56" s="6">
        <f t="shared" si="7"/>
        <v>0</v>
      </c>
      <c r="L56" s="6">
        <f t="shared" si="8"/>
        <v>0</v>
      </c>
      <c r="M56" s="6">
        <f t="shared" si="9"/>
        <v>0</v>
      </c>
      <c r="N56" s="6">
        <f t="shared" si="10"/>
        <v>0</v>
      </c>
      <c r="O56" s="6">
        <f t="shared" si="11"/>
        <v>0</v>
      </c>
      <c r="P56" s="6">
        <f t="shared" si="12"/>
        <v>0</v>
      </c>
      <c r="Q56" s="6">
        <f t="shared" si="13"/>
        <v>0</v>
      </c>
      <c r="R56" s="6">
        <f t="shared" si="14"/>
        <v>0</v>
      </c>
      <c r="S56" s="6">
        <f t="shared" si="15"/>
        <v>0</v>
      </c>
      <c r="T56" s="6">
        <f t="shared" si="16"/>
        <v>0</v>
      </c>
      <c r="U56" s="6">
        <f t="shared" si="17"/>
        <v>0</v>
      </c>
      <c r="V56" s="6">
        <f t="shared" si="18"/>
        <v>0</v>
      </c>
      <c r="W56" s="6">
        <f t="shared" si="19"/>
        <v>0</v>
      </c>
      <c r="X56" s="6">
        <f t="shared" si="20"/>
        <v>0</v>
      </c>
      <c r="Y56" s="6">
        <f t="shared" si="21"/>
        <v>0</v>
      </c>
      <c r="AA56" s="6" t="str">
        <f>IF(最佳化斷筋點!C56="","",最佳化斷筋點!C56)</f>
        <v/>
      </c>
      <c r="AB56" s="6" t="str">
        <f>IF(最佳化斷筋點!D56="","",最佳化斷筋點!D56)</f>
        <v/>
      </c>
      <c r="AC56" s="6" t="str">
        <f>IF(最佳化斷筋點!E56="","",最佳化斷筋點!E56)</f>
        <v/>
      </c>
      <c r="AD56" s="6" t="str">
        <f>IF(最佳化斷筋點!F56="","",最佳化斷筋點!F56)</f>
        <v/>
      </c>
      <c r="AE56" s="6" t="str">
        <f>IF(最佳化斷筋點!G56="","",最佳化斷筋點!G56)</f>
        <v/>
      </c>
      <c r="AF56" s="6" t="str">
        <f>IF(最佳化斷筋點!H56="","",最佳化斷筋點!H56)</f>
        <v/>
      </c>
      <c r="AG56" s="6" t="str">
        <f>IF(最佳化斷筋點!I56="","",最佳化斷筋點!I56)</f>
        <v/>
      </c>
      <c r="AH56" s="6" t="str">
        <f>IF(最佳化斷筋點!J56="","",最佳化斷筋點!J56)</f>
        <v/>
      </c>
      <c r="AI56" s="6" t="str">
        <f>IF(最佳化斷筋點!K56="","",最佳化斷筋點!K56)</f>
        <v/>
      </c>
      <c r="AJ56" s="6" t="str">
        <f>IF(最佳化斷筋點!L56="","",最佳化斷筋點!L56)</f>
        <v/>
      </c>
      <c r="AK56" s="6" t="str">
        <f>IF(最佳化斷筋點!M56="","",最佳化斷筋點!M56)</f>
        <v/>
      </c>
      <c r="AL56" s="6" t="str">
        <f>IF(最佳化斷筋點!N56="","",最佳化斷筋點!N56)</f>
        <v/>
      </c>
      <c r="AM56" s="6" t="str">
        <f>IF(最佳化斷筋點!O56="","",最佳化斷筋點!O56)</f>
        <v/>
      </c>
      <c r="AN56" s="6" t="str">
        <f>IF(最佳化斷筋點!P56="","",最佳化斷筋點!P56)</f>
        <v/>
      </c>
      <c r="AO56" s="6" t="str">
        <f>IF(最佳化斷筋點!Q56="","",最佳化斷筋點!Q56)</f>
        <v/>
      </c>
      <c r="AP56" s="6" t="str">
        <f>IF(最佳化斷筋點!R56="","",最佳化斷筋點!R56)</f>
        <v/>
      </c>
      <c r="AQ56" s="6" t="str">
        <f>IF(最佳化斷筋點!S56="","",最佳化斷筋點!S56)</f>
        <v/>
      </c>
      <c r="AR56" s="6" t="str">
        <f>IF(最佳化斷筋點!T56="","",最佳化斷筋點!T56)</f>
        <v/>
      </c>
      <c r="AS56" s="6" t="str">
        <f>IF(最佳化斷筋點!U56="","",最佳化斷筋點!U56)</f>
        <v/>
      </c>
      <c r="AT56" s="6" t="str">
        <f>IF(最佳化斷筋點!V56="","",最佳化斷筋點!V56)</f>
        <v/>
      </c>
      <c r="AU56" s="6" t="str">
        <f>IF(最佳化斷筋點!W56="","",最佳化斷筋點!W56)</f>
        <v/>
      </c>
      <c r="AV56" s="6" t="str">
        <f>IF(最佳化斷筋點!X56="","",最佳化斷筋點!X56)</f>
        <v/>
      </c>
    </row>
    <row r="57" spans="4:71" x14ac:dyDescent="0.25">
      <c r="D57" s="6" t="s">
        <v>51</v>
      </c>
      <c r="E57" s="6">
        <f t="shared" si="1"/>
        <v>0</v>
      </c>
      <c r="F57" s="6">
        <f t="shared" si="2"/>
        <v>0</v>
      </c>
      <c r="G57" s="6">
        <f t="shared" si="3"/>
        <v>0</v>
      </c>
      <c r="H57" s="6">
        <f t="shared" si="4"/>
        <v>0</v>
      </c>
      <c r="I57" s="6">
        <f t="shared" si="5"/>
        <v>0</v>
      </c>
      <c r="J57" s="6">
        <f t="shared" si="6"/>
        <v>0</v>
      </c>
      <c r="K57" s="6">
        <f t="shared" si="7"/>
        <v>0</v>
      </c>
      <c r="L57" s="6">
        <f t="shared" si="8"/>
        <v>0</v>
      </c>
      <c r="M57" s="6">
        <f t="shared" si="9"/>
        <v>0</v>
      </c>
      <c r="N57" s="6">
        <f t="shared" si="10"/>
        <v>0</v>
      </c>
      <c r="O57" s="6">
        <f t="shared" si="11"/>
        <v>0</v>
      </c>
      <c r="P57" s="6">
        <f t="shared" si="12"/>
        <v>0</v>
      </c>
      <c r="Q57" s="6">
        <f t="shared" si="13"/>
        <v>0</v>
      </c>
      <c r="R57" s="6">
        <f t="shared" si="14"/>
        <v>0</v>
      </c>
      <c r="S57" s="6">
        <f t="shared" si="15"/>
        <v>0</v>
      </c>
      <c r="T57" s="6">
        <f t="shared" si="16"/>
        <v>0</v>
      </c>
      <c r="U57" s="6">
        <f t="shared" si="17"/>
        <v>0</v>
      </c>
      <c r="V57" s="6">
        <f t="shared" si="18"/>
        <v>0</v>
      </c>
      <c r="W57" s="6">
        <f t="shared" si="19"/>
        <v>0</v>
      </c>
      <c r="X57" s="6">
        <f t="shared" si="20"/>
        <v>0</v>
      </c>
      <c r="Y57" s="6">
        <f t="shared" si="21"/>
        <v>0</v>
      </c>
      <c r="AA57" s="6" t="str">
        <f>IF(最佳化斷筋點!C57="","",最佳化斷筋點!C57)</f>
        <v>下層</v>
      </c>
      <c r="AB57" s="6">
        <f>IF(最佳化斷筋點!D57="","",最佳化斷筋點!D57)</f>
        <v>3</v>
      </c>
      <c r="AC57" s="6">
        <f>IF(最佳化斷筋點!E57="","",最佳化斷筋點!E57)</f>
        <v>3</v>
      </c>
      <c r="AD57" s="6">
        <f>IF(最佳化斷筋點!F57="","",最佳化斷筋點!F57)</f>
        <v>3</v>
      </c>
      <c r="AE57" s="6">
        <f>IF(最佳化斷筋點!G57="","",最佳化斷筋點!G57)</f>
        <v>3</v>
      </c>
      <c r="AF57" s="6">
        <f>IF(最佳化斷筋點!H57="","",最佳化斷筋點!H57)</f>
        <v>4</v>
      </c>
      <c r="AG57" s="6">
        <f>IF(最佳化斷筋點!I57="","",最佳化斷筋點!I57)</f>
        <v>4</v>
      </c>
      <c r="AH57" s="6">
        <f>IF(最佳化斷筋點!J57="","",最佳化斷筋點!J57)</f>
        <v>5</v>
      </c>
      <c r="AI57" s="6">
        <f>IF(最佳化斷筋點!K57="","",最佳化斷筋點!K57)</f>
        <v>5</v>
      </c>
      <c r="AJ57" s="6">
        <f>IF(最佳化斷筋點!L57="","",最佳化斷筋點!L57)</f>
        <v>5</v>
      </c>
      <c r="AK57" s="6">
        <f>IF(最佳化斷筋點!M57="","",最佳化斷筋點!M57)</f>
        <v>5</v>
      </c>
      <c r="AL57" s="6">
        <f>IF(最佳化斷筋點!N57="","",最佳化斷筋點!N57)</f>
        <v>5</v>
      </c>
      <c r="AM57" s="6">
        <f>IF(最佳化斷筋點!O57="","",最佳化斷筋點!O57)</f>
        <v>5</v>
      </c>
      <c r="AN57" s="6">
        <f>IF(最佳化斷筋點!P57="","",最佳化斷筋點!P57)</f>
        <v>5</v>
      </c>
      <c r="AO57" s="6">
        <f>IF(最佳化斷筋點!Q57="","",最佳化斷筋點!Q57)</f>
        <v>5</v>
      </c>
      <c r="AP57" s="6">
        <f>IF(最佳化斷筋點!R57="","",最佳化斷筋點!R57)</f>
        <v>5</v>
      </c>
      <c r="AQ57" s="6">
        <f>IF(最佳化斷筋點!S57="","",最佳化斷筋點!S57)</f>
        <v>4</v>
      </c>
      <c r="AR57" s="6">
        <f>IF(最佳化斷筋點!T57="","",最佳化斷筋點!T57)</f>
        <v>4</v>
      </c>
      <c r="AS57" s="6">
        <f>IF(最佳化斷筋點!U57="","",最佳化斷筋點!U57)</f>
        <v>3</v>
      </c>
      <c r="AT57" s="6">
        <f>IF(最佳化斷筋點!V57="","",最佳化斷筋點!V57)</f>
        <v>4</v>
      </c>
      <c r="AU57" s="6">
        <f>IF(最佳化斷筋點!W57="","",最佳化斷筋點!W57)</f>
        <v>4</v>
      </c>
      <c r="AV57" s="6">
        <f>IF(最佳化斷筋點!X57="","",最佳化斷筋點!X57)</f>
        <v>4</v>
      </c>
      <c r="AX57" s="6" t="s">
        <v>51</v>
      </c>
      <c r="AY57" s="6">
        <v>3</v>
      </c>
      <c r="AZ57" s="6">
        <v>3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4</v>
      </c>
      <c r="BO57" s="6">
        <v>4</v>
      </c>
      <c r="BP57" s="6">
        <v>3</v>
      </c>
      <c r="BQ57" s="6">
        <v>4</v>
      </c>
      <c r="BR57" s="6">
        <v>4</v>
      </c>
      <c r="BS57" s="6">
        <v>4</v>
      </c>
    </row>
    <row r="58" spans="4:71" x14ac:dyDescent="0.25">
      <c r="E58" s="6">
        <f t="shared" si="1"/>
        <v>0</v>
      </c>
      <c r="F58" s="6">
        <f t="shared" si="2"/>
        <v>0</v>
      </c>
      <c r="G58" s="6">
        <f t="shared" si="3"/>
        <v>0</v>
      </c>
      <c r="H58" s="6">
        <f t="shared" si="4"/>
        <v>0</v>
      </c>
      <c r="I58" s="6">
        <f t="shared" si="5"/>
        <v>0</v>
      </c>
      <c r="J58" s="6">
        <f t="shared" si="6"/>
        <v>0</v>
      </c>
      <c r="K58" s="6">
        <f t="shared" si="7"/>
        <v>0</v>
      </c>
      <c r="L58" s="6">
        <f t="shared" si="8"/>
        <v>0</v>
      </c>
      <c r="M58" s="6">
        <f t="shared" si="9"/>
        <v>0</v>
      </c>
      <c r="N58" s="6">
        <f t="shared" si="10"/>
        <v>0</v>
      </c>
      <c r="O58" s="6">
        <f t="shared" si="11"/>
        <v>0</v>
      </c>
      <c r="P58" s="6">
        <f t="shared" si="12"/>
        <v>0</v>
      </c>
      <c r="Q58" s="6">
        <f t="shared" si="13"/>
        <v>0</v>
      </c>
      <c r="R58" s="6">
        <f t="shared" si="14"/>
        <v>0</v>
      </c>
      <c r="S58" s="6">
        <f t="shared" si="15"/>
        <v>0</v>
      </c>
      <c r="T58" s="6">
        <f t="shared" si="16"/>
        <v>0</v>
      </c>
      <c r="U58" s="6">
        <f t="shared" si="17"/>
        <v>0</v>
      </c>
      <c r="V58" s="6">
        <f t="shared" si="18"/>
        <v>0</v>
      </c>
      <c r="W58" s="6">
        <f t="shared" si="19"/>
        <v>0</v>
      </c>
      <c r="X58" s="6">
        <f t="shared" si="20"/>
        <v>0</v>
      </c>
      <c r="Y58" s="6">
        <f t="shared" si="21"/>
        <v>0</v>
      </c>
      <c r="AA58" s="6" t="str">
        <f>IF(最佳化斷筋點!C58="","",最佳化斷筋點!C58)</f>
        <v/>
      </c>
      <c r="AB58" s="6" t="str">
        <f>IF(最佳化斷筋點!D58="","",最佳化斷筋點!D58)</f>
        <v/>
      </c>
      <c r="AC58" s="6" t="str">
        <f>IF(最佳化斷筋點!E58="","",最佳化斷筋點!E58)</f>
        <v/>
      </c>
      <c r="AD58" s="6" t="str">
        <f>IF(最佳化斷筋點!F58="","",最佳化斷筋點!F58)</f>
        <v/>
      </c>
      <c r="AE58" s="6" t="str">
        <f>IF(最佳化斷筋點!G58="","",最佳化斷筋點!G58)</f>
        <v/>
      </c>
      <c r="AF58" s="6" t="str">
        <f>IF(最佳化斷筋點!H58="","",最佳化斷筋點!H58)</f>
        <v/>
      </c>
      <c r="AG58" s="6" t="str">
        <f>IF(最佳化斷筋點!I58="","",最佳化斷筋點!I58)</f>
        <v/>
      </c>
      <c r="AH58" s="6" t="str">
        <f>IF(最佳化斷筋點!J58="","",最佳化斷筋點!J58)</f>
        <v/>
      </c>
      <c r="AI58" s="6" t="str">
        <f>IF(最佳化斷筋點!K58="","",最佳化斷筋點!K58)</f>
        <v/>
      </c>
      <c r="AJ58" s="6" t="str">
        <f>IF(最佳化斷筋點!L58="","",最佳化斷筋點!L58)</f>
        <v/>
      </c>
      <c r="AK58" s="6" t="str">
        <f>IF(最佳化斷筋點!M58="","",最佳化斷筋點!M58)</f>
        <v/>
      </c>
      <c r="AL58" s="6" t="str">
        <f>IF(最佳化斷筋點!N58="","",最佳化斷筋點!N58)</f>
        <v/>
      </c>
      <c r="AM58" s="6" t="str">
        <f>IF(最佳化斷筋點!O58="","",最佳化斷筋點!O58)</f>
        <v/>
      </c>
      <c r="AN58" s="6" t="str">
        <f>IF(最佳化斷筋點!P58="","",最佳化斷筋點!P58)</f>
        <v/>
      </c>
      <c r="AO58" s="6" t="str">
        <f>IF(最佳化斷筋點!Q58="","",最佳化斷筋點!Q58)</f>
        <v/>
      </c>
      <c r="AP58" s="6" t="str">
        <f>IF(最佳化斷筋點!R58="","",最佳化斷筋點!R58)</f>
        <v/>
      </c>
      <c r="AQ58" s="6" t="str">
        <f>IF(最佳化斷筋點!S58="","",最佳化斷筋點!S58)</f>
        <v/>
      </c>
      <c r="AR58" s="6" t="str">
        <f>IF(最佳化斷筋點!T58="","",最佳化斷筋點!T58)</f>
        <v/>
      </c>
      <c r="AS58" s="6" t="str">
        <f>IF(最佳化斷筋點!U58="","",最佳化斷筋點!U58)</f>
        <v/>
      </c>
      <c r="AT58" s="6" t="str">
        <f>IF(最佳化斷筋點!V58="","",最佳化斷筋點!V58)</f>
        <v/>
      </c>
      <c r="AU58" s="6" t="str">
        <f>IF(最佳化斷筋點!W58="","",最佳化斷筋點!W58)</f>
        <v/>
      </c>
      <c r="AV58" s="6" t="str">
        <f>IF(最佳化斷筋點!X58="","",最佳化斷筋點!X58)</f>
        <v/>
      </c>
    </row>
    <row r="59" spans="4:71" x14ac:dyDescent="0.25">
      <c r="D59" s="6" t="s">
        <v>50</v>
      </c>
      <c r="E59" s="6">
        <f t="shared" si="1"/>
        <v>0</v>
      </c>
      <c r="F59" s="6">
        <f t="shared" si="2"/>
        <v>0</v>
      </c>
      <c r="G59" s="6">
        <f t="shared" si="3"/>
        <v>0</v>
      </c>
      <c r="H59" s="6">
        <f t="shared" si="4"/>
        <v>0</v>
      </c>
      <c r="I59" s="6">
        <f t="shared" si="5"/>
        <v>0</v>
      </c>
      <c r="J59" s="6">
        <f t="shared" si="6"/>
        <v>0</v>
      </c>
      <c r="K59" s="6">
        <f t="shared" si="7"/>
        <v>0</v>
      </c>
      <c r="L59" s="6">
        <f t="shared" si="8"/>
        <v>0</v>
      </c>
      <c r="M59" s="6">
        <f t="shared" si="9"/>
        <v>0</v>
      </c>
      <c r="N59" s="6">
        <f t="shared" si="10"/>
        <v>0</v>
      </c>
      <c r="O59" s="6">
        <f t="shared" si="11"/>
        <v>0</v>
      </c>
      <c r="P59" s="6">
        <f t="shared" si="12"/>
        <v>0</v>
      </c>
      <c r="Q59" s="6">
        <f t="shared" si="13"/>
        <v>0</v>
      </c>
      <c r="R59" s="6">
        <f t="shared" si="14"/>
        <v>0</v>
      </c>
      <c r="S59" s="6">
        <f t="shared" si="15"/>
        <v>0</v>
      </c>
      <c r="T59" s="6">
        <f t="shared" si="16"/>
        <v>0</v>
      </c>
      <c r="U59" s="6">
        <f t="shared" si="17"/>
        <v>0</v>
      </c>
      <c r="V59" s="6">
        <f t="shared" si="18"/>
        <v>0</v>
      </c>
      <c r="W59" s="6">
        <f t="shared" si="19"/>
        <v>0</v>
      </c>
      <c r="X59" s="6">
        <f t="shared" si="20"/>
        <v>0</v>
      </c>
      <c r="Y59" s="6">
        <f t="shared" si="21"/>
        <v>0</v>
      </c>
      <c r="AA59" s="6" t="str">
        <f>IF(最佳化斷筋點!C59="","",最佳化斷筋點!C59)</f>
        <v>上層</v>
      </c>
      <c r="AB59" s="6">
        <f>IF(最佳化斷筋點!D59="","",最佳化斷筋點!D59)</f>
        <v>5</v>
      </c>
      <c r="AC59" s="6">
        <f>IF(最佳化斷筋點!E59="","",最佳化斷筋點!E59)</f>
        <v>5</v>
      </c>
      <c r="AD59" s="6">
        <f>IF(最佳化斷筋點!F59="","",最佳化斷筋點!F59)</f>
        <v>4</v>
      </c>
      <c r="AE59" s="6">
        <f>IF(最佳化斷筋點!G59="","",最佳化斷筋點!G59)</f>
        <v>4</v>
      </c>
      <c r="AF59" s="6">
        <f>IF(最佳化斷筋點!H59="","",最佳化斷筋點!H59)</f>
        <v>4</v>
      </c>
      <c r="AG59" s="6">
        <f>IF(最佳化斷筋點!I59="","",最佳化斷筋點!I59)</f>
        <v>3</v>
      </c>
      <c r="AH59" s="6">
        <f>IF(最佳化斷筋點!J59="","",最佳化斷筋點!J59)</f>
        <v>3</v>
      </c>
      <c r="AI59" s="6">
        <f>IF(最佳化斷筋點!K59="","",最佳化斷筋點!K59)</f>
        <v>2</v>
      </c>
      <c r="AJ59" s="6">
        <f>IF(最佳化斷筋點!L59="","",最佳化斷筋點!L59)</f>
        <v>2</v>
      </c>
      <c r="AK59" s="6">
        <f>IF(最佳化斷筋點!M59="","",最佳化斷筋點!M59)</f>
        <v>2</v>
      </c>
      <c r="AL59" s="6">
        <f>IF(最佳化斷筋點!N59="","",最佳化斷筋點!N59)</f>
        <v>2</v>
      </c>
      <c r="AM59" s="6">
        <f>IF(最佳化斷筋點!O59="","",最佳化斷筋點!O59)</f>
        <v>2</v>
      </c>
      <c r="AN59" s="6">
        <f>IF(最佳化斷筋點!P59="","",最佳化斷筋點!P59)</f>
        <v>2</v>
      </c>
      <c r="AO59" s="6">
        <f>IF(最佳化斷筋點!Q59="","",最佳化斷筋點!Q59)</f>
        <v>2</v>
      </c>
      <c r="AP59" s="6">
        <f>IF(最佳化斷筋點!R59="","",最佳化斷筋點!R59)</f>
        <v>2</v>
      </c>
      <c r="AQ59" s="6">
        <f>IF(最佳化斷筋點!S59="","",最佳化斷筋點!S59)</f>
        <v>2</v>
      </c>
      <c r="AR59" s="6">
        <f>IF(最佳化斷筋點!T59="","",最佳化斷筋點!T59)</f>
        <v>2</v>
      </c>
      <c r="AS59" s="6">
        <f>IF(最佳化斷筋點!U59="","",最佳化斷筋點!U59)</f>
        <v>2</v>
      </c>
      <c r="AT59" s="6">
        <f>IF(最佳化斷筋點!V59="","",最佳化斷筋點!V59)</f>
        <v>2</v>
      </c>
      <c r="AU59" s="6">
        <f>IF(最佳化斷筋點!W59="","",最佳化斷筋點!W59)</f>
        <v>2</v>
      </c>
      <c r="AV59" s="6">
        <f>IF(最佳化斷筋點!X59="","",最佳化斷筋點!X59)</f>
        <v>2</v>
      </c>
      <c r="AX59" s="6" t="s">
        <v>50</v>
      </c>
      <c r="AY59" s="6">
        <v>5</v>
      </c>
      <c r="AZ59" s="6">
        <v>5</v>
      </c>
      <c r="BA59" s="6">
        <v>4</v>
      </c>
      <c r="BB59" s="6">
        <v>4</v>
      </c>
      <c r="BC59" s="6">
        <v>4</v>
      </c>
      <c r="BD59" s="6">
        <v>3</v>
      </c>
      <c r="BE59" s="6">
        <v>3</v>
      </c>
      <c r="BF59" s="6">
        <v>2</v>
      </c>
      <c r="BG59" s="6">
        <v>2</v>
      </c>
      <c r="BH59" s="6">
        <v>2</v>
      </c>
      <c r="BI59" s="6">
        <v>2</v>
      </c>
      <c r="BJ59" s="6">
        <v>2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</row>
    <row r="60" spans="4:71" x14ac:dyDescent="0.25">
      <c r="E60" s="6">
        <f t="shared" si="1"/>
        <v>0</v>
      </c>
      <c r="F60" s="6">
        <f t="shared" si="2"/>
        <v>0</v>
      </c>
      <c r="G60" s="6">
        <f t="shared" si="3"/>
        <v>0</v>
      </c>
      <c r="H60" s="6">
        <f t="shared" si="4"/>
        <v>0</v>
      </c>
      <c r="I60" s="6">
        <f t="shared" si="5"/>
        <v>0</v>
      </c>
      <c r="J60" s="6">
        <f t="shared" si="6"/>
        <v>0</v>
      </c>
      <c r="K60" s="6">
        <f t="shared" si="7"/>
        <v>0</v>
      </c>
      <c r="L60" s="6">
        <f t="shared" si="8"/>
        <v>0</v>
      </c>
      <c r="M60" s="6">
        <f t="shared" si="9"/>
        <v>0</v>
      </c>
      <c r="N60" s="6">
        <f t="shared" si="10"/>
        <v>0</v>
      </c>
      <c r="O60" s="6">
        <f t="shared" si="11"/>
        <v>0</v>
      </c>
      <c r="P60" s="6">
        <f t="shared" si="12"/>
        <v>0</v>
      </c>
      <c r="Q60" s="6">
        <f t="shared" si="13"/>
        <v>0</v>
      </c>
      <c r="R60" s="6">
        <f t="shared" si="14"/>
        <v>0</v>
      </c>
      <c r="S60" s="6">
        <f t="shared" si="15"/>
        <v>0</v>
      </c>
      <c r="T60" s="6">
        <f t="shared" si="16"/>
        <v>0</v>
      </c>
      <c r="U60" s="6">
        <f t="shared" si="17"/>
        <v>0</v>
      </c>
      <c r="V60" s="6">
        <f t="shared" si="18"/>
        <v>0</v>
      </c>
      <c r="W60" s="6">
        <f t="shared" si="19"/>
        <v>0</v>
      </c>
      <c r="X60" s="6">
        <f t="shared" si="20"/>
        <v>0</v>
      </c>
      <c r="Y60" s="6">
        <f t="shared" si="21"/>
        <v>0</v>
      </c>
      <c r="AA60" s="6" t="str">
        <f>IF(最佳化斷筋點!C60="","",最佳化斷筋點!C60)</f>
        <v/>
      </c>
      <c r="AB60" s="6" t="str">
        <f>IF(最佳化斷筋點!D60="","",最佳化斷筋點!D60)</f>
        <v/>
      </c>
      <c r="AC60" s="6" t="str">
        <f>IF(最佳化斷筋點!E60="","",最佳化斷筋點!E60)</f>
        <v/>
      </c>
      <c r="AD60" s="6" t="str">
        <f>IF(最佳化斷筋點!F60="","",最佳化斷筋點!F60)</f>
        <v/>
      </c>
      <c r="AE60" s="6" t="str">
        <f>IF(最佳化斷筋點!G60="","",最佳化斷筋點!G60)</f>
        <v/>
      </c>
      <c r="AF60" s="6" t="str">
        <f>IF(最佳化斷筋點!H60="","",最佳化斷筋點!H60)</f>
        <v/>
      </c>
      <c r="AG60" s="6" t="str">
        <f>IF(最佳化斷筋點!I60="","",最佳化斷筋點!I60)</f>
        <v/>
      </c>
      <c r="AH60" s="6" t="str">
        <f>IF(最佳化斷筋點!J60="","",最佳化斷筋點!J60)</f>
        <v/>
      </c>
      <c r="AI60" s="6" t="str">
        <f>IF(最佳化斷筋點!K60="","",最佳化斷筋點!K60)</f>
        <v/>
      </c>
      <c r="AJ60" s="6" t="str">
        <f>IF(最佳化斷筋點!L60="","",最佳化斷筋點!L60)</f>
        <v/>
      </c>
      <c r="AK60" s="6" t="str">
        <f>IF(最佳化斷筋點!M60="","",最佳化斷筋點!M60)</f>
        <v/>
      </c>
      <c r="AL60" s="6" t="str">
        <f>IF(最佳化斷筋點!N60="","",最佳化斷筋點!N60)</f>
        <v/>
      </c>
      <c r="AM60" s="6" t="str">
        <f>IF(最佳化斷筋點!O60="","",最佳化斷筋點!O60)</f>
        <v/>
      </c>
      <c r="AN60" s="6" t="str">
        <f>IF(最佳化斷筋點!P60="","",最佳化斷筋點!P60)</f>
        <v/>
      </c>
      <c r="AO60" s="6" t="str">
        <f>IF(最佳化斷筋點!Q60="","",最佳化斷筋點!Q60)</f>
        <v/>
      </c>
      <c r="AP60" s="6" t="str">
        <f>IF(最佳化斷筋點!R60="","",最佳化斷筋點!R60)</f>
        <v/>
      </c>
      <c r="AQ60" s="6" t="str">
        <f>IF(最佳化斷筋點!S60="","",最佳化斷筋點!S60)</f>
        <v/>
      </c>
      <c r="AR60" s="6" t="str">
        <f>IF(最佳化斷筋點!T60="","",最佳化斷筋點!T60)</f>
        <v/>
      </c>
      <c r="AS60" s="6" t="str">
        <f>IF(最佳化斷筋點!U60="","",最佳化斷筋點!U60)</f>
        <v/>
      </c>
      <c r="AT60" s="6" t="str">
        <f>IF(最佳化斷筋點!V60="","",最佳化斷筋點!V60)</f>
        <v/>
      </c>
      <c r="AU60" s="6" t="str">
        <f>IF(最佳化斷筋點!W60="","",最佳化斷筋點!W60)</f>
        <v/>
      </c>
      <c r="AV60" s="6" t="str">
        <f>IF(最佳化斷筋點!X60="","",最佳化斷筋點!X60)</f>
        <v/>
      </c>
    </row>
    <row r="61" spans="4:71" x14ac:dyDescent="0.25">
      <c r="D61" s="6" t="s">
        <v>51</v>
      </c>
      <c r="E61" s="6">
        <f t="shared" si="1"/>
        <v>0</v>
      </c>
      <c r="F61" s="6">
        <f t="shared" si="2"/>
        <v>0</v>
      </c>
      <c r="G61" s="6">
        <f t="shared" si="3"/>
        <v>0</v>
      </c>
      <c r="H61" s="6">
        <f t="shared" si="4"/>
        <v>0</v>
      </c>
      <c r="I61" s="6">
        <f t="shared" si="5"/>
        <v>0</v>
      </c>
      <c r="J61" s="6">
        <f t="shared" si="6"/>
        <v>0</v>
      </c>
      <c r="K61" s="6">
        <f t="shared" si="7"/>
        <v>0</v>
      </c>
      <c r="L61" s="6">
        <f t="shared" si="8"/>
        <v>0</v>
      </c>
      <c r="M61" s="6">
        <f t="shared" si="9"/>
        <v>0</v>
      </c>
      <c r="N61" s="6">
        <f t="shared" si="10"/>
        <v>0</v>
      </c>
      <c r="O61" s="6">
        <f t="shared" si="11"/>
        <v>0</v>
      </c>
      <c r="P61" s="6">
        <f t="shared" si="12"/>
        <v>0</v>
      </c>
      <c r="Q61" s="6">
        <f t="shared" si="13"/>
        <v>0</v>
      </c>
      <c r="R61" s="6">
        <f t="shared" si="14"/>
        <v>0</v>
      </c>
      <c r="S61" s="6">
        <f t="shared" si="15"/>
        <v>0</v>
      </c>
      <c r="T61" s="6">
        <f t="shared" si="16"/>
        <v>0</v>
      </c>
      <c r="U61" s="6">
        <f t="shared" si="17"/>
        <v>0</v>
      </c>
      <c r="V61" s="6">
        <f t="shared" si="18"/>
        <v>0</v>
      </c>
      <c r="W61" s="6">
        <f t="shared" si="19"/>
        <v>0</v>
      </c>
      <c r="X61" s="6">
        <f t="shared" si="20"/>
        <v>0</v>
      </c>
      <c r="Y61" s="6">
        <f t="shared" si="21"/>
        <v>0</v>
      </c>
      <c r="AA61" s="6" t="str">
        <f>IF(最佳化斷筋點!C61="","",最佳化斷筋點!C61)</f>
        <v>下層</v>
      </c>
      <c r="AB61" s="6">
        <f>IF(最佳化斷筋點!D61="","",最佳化斷筋點!D61)</f>
        <v>3</v>
      </c>
      <c r="AC61" s="6">
        <f>IF(最佳化斷筋點!E61="","",最佳化斷筋點!E61)</f>
        <v>3</v>
      </c>
      <c r="AD61" s="6">
        <f>IF(最佳化斷筋點!F61="","",最佳化斷筋點!F61)</f>
        <v>3</v>
      </c>
      <c r="AE61" s="6">
        <f>IF(最佳化斷筋點!G61="","",最佳化斷筋點!G61)</f>
        <v>3</v>
      </c>
      <c r="AF61" s="6">
        <f>IF(最佳化斷筋點!H61="","",最佳化斷筋點!H61)</f>
        <v>4</v>
      </c>
      <c r="AG61" s="6">
        <f>IF(最佳化斷筋點!I61="","",最佳化斷筋點!I61)</f>
        <v>4</v>
      </c>
      <c r="AH61" s="6">
        <f>IF(最佳化斷筋點!J61="","",最佳化斷筋點!J61)</f>
        <v>5</v>
      </c>
      <c r="AI61" s="6">
        <f>IF(最佳化斷筋點!K61="","",最佳化斷筋點!K61)</f>
        <v>5</v>
      </c>
      <c r="AJ61" s="6">
        <f>IF(最佳化斷筋點!L61="","",最佳化斷筋點!L61)</f>
        <v>5</v>
      </c>
      <c r="AK61" s="6">
        <f>IF(最佳化斷筋點!M61="","",最佳化斷筋點!M61)</f>
        <v>5</v>
      </c>
      <c r="AL61" s="6">
        <f>IF(最佳化斷筋點!N61="","",最佳化斷筋點!N61)</f>
        <v>5</v>
      </c>
      <c r="AM61" s="6">
        <f>IF(最佳化斷筋點!O61="","",最佳化斷筋點!O61)</f>
        <v>5</v>
      </c>
      <c r="AN61" s="6">
        <f>IF(最佳化斷筋點!P61="","",最佳化斷筋點!P61)</f>
        <v>5</v>
      </c>
      <c r="AO61" s="6">
        <f>IF(最佳化斷筋點!Q61="","",最佳化斷筋點!Q61)</f>
        <v>5</v>
      </c>
      <c r="AP61" s="6">
        <f>IF(最佳化斷筋點!R61="","",最佳化斷筋點!R61)</f>
        <v>5</v>
      </c>
      <c r="AQ61" s="6">
        <f>IF(最佳化斷筋點!S61="","",最佳化斷筋點!S61)</f>
        <v>4</v>
      </c>
      <c r="AR61" s="6">
        <f>IF(最佳化斷筋點!T61="","",最佳化斷筋點!T61)</f>
        <v>4</v>
      </c>
      <c r="AS61" s="6">
        <f>IF(最佳化斷筋點!U61="","",最佳化斷筋點!U61)</f>
        <v>3</v>
      </c>
      <c r="AT61" s="6">
        <f>IF(最佳化斷筋點!V61="","",最佳化斷筋點!V61)</f>
        <v>4</v>
      </c>
      <c r="AU61" s="6">
        <f>IF(最佳化斷筋點!W61="","",最佳化斷筋點!W61)</f>
        <v>4</v>
      </c>
      <c r="AV61" s="6">
        <f>IF(最佳化斷筋點!X61="","",最佳化斷筋點!X61)</f>
        <v>4</v>
      </c>
      <c r="AX61" s="6" t="s">
        <v>51</v>
      </c>
      <c r="AY61" s="6">
        <v>3</v>
      </c>
      <c r="AZ61" s="6">
        <v>3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4</v>
      </c>
      <c r="BO61" s="6">
        <v>4</v>
      </c>
      <c r="BP61" s="6">
        <v>3</v>
      </c>
      <c r="BQ61" s="6">
        <v>4</v>
      </c>
      <c r="BR61" s="6">
        <v>4</v>
      </c>
      <c r="BS61" s="6">
        <v>4</v>
      </c>
    </row>
    <row r="62" spans="4:71" x14ac:dyDescent="0.25">
      <c r="E62" s="6">
        <f t="shared" si="1"/>
        <v>0</v>
      </c>
      <c r="F62" s="6">
        <f t="shared" si="2"/>
        <v>0</v>
      </c>
      <c r="G62" s="6">
        <f t="shared" si="3"/>
        <v>0</v>
      </c>
      <c r="H62" s="6">
        <f t="shared" si="4"/>
        <v>0</v>
      </c>
      <c r="I62" s="6">
        <f t="shared" si="5"/>
        <v>0</v>
      </c>
      <c r="J62" s="6">
        <f t="shared" si="6"/>
        <v>0</v>
      </c>
      <c r="K62" s="6">
        <f t="shared" si="7"/>
        <v>0</v>
      </c>
      <c r="L62" s="6">
        <f t="shared" si="8"/>
        <v>0</v>
      </c>
      <c r="M62" s="6">
        <f t="shared" si="9"/>
        <v>0</v>
      </c>
      <c r="N62" s="6">
        <f t="shared" si="10"/>
        <v>0</v>
      </c>
      <c r="O62" s="6">
        <f t="shared" si="11"/>
        <v>0</v>
      </c>
      <c r="P62" s="6">
        <f t="shared" si="12"/>
        <v>0</v>
      </c>
      <c r="Q62" s="6">
        <f t="shared" si="13"/>
        <v>0</v>
      </c>
      <c r="R62" s="6">
        <f t="shared" si="14"/>
        <v>0</v>
      </c>
      <c r="S62" s="6">
        <f t="shared" si="15"/>
        <v>0</v>
      </c>
      <c r="T62" s="6">
        <f t="shared" si="16"/>
        <v>0</v>
      </c>
      <c r="U62" s="6">
        <f t="shared" si="17"/>
        <v>0</v>
      </c>
      <c r="V62" s="6">
        <f t="shared" si="18"/>
        <v>0</v>
      </c>
      <c r="W62" s="6">
        <f t="shared" si="19"/>
        <v>0</v>
      </c>
      <c r="X62" s="6">
        <f t="shared" si="20"/>
        <v>0</v>
      </c>
      <c r="Y62" s="6">
        <f t="shared" si="21"/>
        <v>0</v>
      </c>
      <c r="AA62" s="6" t="str">
        <f>IF(最佳化斷筋點!C62="","",最佳化斷筋點!C62)</f>
        <v/>
      </c>
      <c r="AB62" s="6" t="str">
        <f>IF(最佳化斷筋點!D62="","",最佳化斷筋點!D62)</f>
        <v/>
      </c>
      <c r="AC62" s="6" t="str">
        <f>IF(最佳化斷筋點!E62="","",最佳化斷筋點!E62)</f>
        <v/>
      </c>
      <c r="AD62" s="6" t="str">
        <f>IF(最佳化斷筋點!F62="","",最佳化斷筋點!F62)</f>
        <v/>
      </c>
      <c r="AE62" s="6" t="str">
        <f>IF(最佳化斷筋點!G62="","",最佳化斷筋點!G62)</f>
        <v/>
      </c>
      <c r="AF62" s="6" t="str">
        <f>IF(最佳化斷筋點!H62="","",最佳化斷筋點!H62)</f>
        <v/>
      </c>
      <c r="AG62" s="6" t="str">
        <f>IF(最佳化斷筋點!I62="","",最佳化斷筋點!I62)</f>
        <v/>
      </c>
      <c r="AH62" s="6" t="str">
        <f>IF(最佳化斷筋點!J62="","",最佳化斷筋點!J62)</f>
        <v/>
      </c>
      <c r="AI62" s="6" t="str">
        <f>IF(最佳化斷筋點!K62="","",最佳化斷筋點!K62)</f>
        <v/>
      </c>
      <c r="AJ62" s="6" t="str">
        <f>IF(最佳化斷筋點!L62="","",最佳化斷筋點!L62)</f>
        <v/>
      </c>
      <c r="AK62" s="6" t="str">
        <f>IF(最佳化斷筋點!M62="","",最佳化斷筋點!M62)</f>
        <v/>
      </c>
      <c r="AL62" s="6" t="str">
        <f>IF(最佳化斷筋點!N62="","",最佳化斷筋點!N62)</f>
        <v/>
      </c>
      <c r="AM62" s="6" t="str">
        <f>IF(最佳化斷筋點!O62="","",最佳化斷筋點!O62)</f>
        <v/>
      </c>
      <c r="AN62" s="6" t="str">
        <f>IF(最佳化斷筋點!P62="","",最佳化斷筋點!P62)</f>
        <v/>
      </c>
      <c r="AO62" s="6" t="str">
        <f>IF(最佳化斷筋點!Q62="","",最佳化斷筋點!Q62)</f>
        <v/>
      </c>
      <c r="AP62" s="6" t="str">
        <f>IF(最佳化斷筋點!R62="","",最佳化斷筋點!R62)</f>
        <v/>
      </c>
      <c r="AQ62" s="6" t="str">
        <f>IF(最佳化斷筋點!S62="","",最佳化斷筋點!S62)</f>
        <v/>
      </c>
      <c r="AR62" s="6" t="str">
        <f>IF(最佳化斷筋點!T62="","",最佳化斷筋點!T62)</f>
        <v/>
      </c>
      <c r="AS62" s="6" t="str">
        <f>IF(最佳化斷筋點!U62="","",最佳化斷筋點!U62)</f>
        <v/>
      </c>
      <c r="AT62" s="6" t="str">
        <f>IF(最佳化斷筋點!V62="","",最佳化斷筋點!V62)</f>
        <v/>
      </c>
      <c r="AU62" s="6" t="str">
        <f>IF(最佳化斷筋點!W62="","",最佳化斷筋點!W62)</f>
        <v/>
      </c>
      <c r="AV62" s="6" t="str">
        <f>IF(最佳化斷筋點!X62="","",最佳化斷筋點!X62)</f>
        <v/>
      </c>
    </row>
    <row r="63" spans="4:71" x14ac:dyDescent="0.25">
      <c r="D63" s="6" t="s">
        <v>50</v>
      </c>
      <c r="E63" s="6">
        <f t="shared" si="1"/>
        <v>0</v>
      </c>
      <c r="F63" s="6">
        <f t="shared" si="2"/>
        <v>0</v>
      </c>
      <c r="G63" s="6">
        <f t="shared" si="3"/>
        <v>0</v>
      </c>
      <c r="H63" s="6">
        <f t="shared" si="4"/>
        <v>0</v>
      </c>
      <c r="I63" s="6">
        <f t="shared" si="5"/>
        <v>0</v>
      </c>
      <c r="J63" s="6">
        <f t="shared" si="6"/>
        <v>0</v>
      </c>
      <c r="K63" s="6">
        <f t="shared" si="7"/>
        <v>0</v>
      </c>
      <c r="L63" s="6">
        <f t="shared" si="8"/>
        <v>0</v>
      </c>
      <c r="M63" s="6">
        <f t="shared" si="9"/>
        <v>0</v>
      </c>
      <c r="N63" s="6">
        <f t="shared" si="10"/>
        <v>0</v>
      </c>
      <c r="O63" s="6">
        <f t="shared" si="11"/>
        <v>0</v>
      </c>
      <c r="P63" s="6">
        <f t="shared" si="12"/>
        <v>0</v>
      </c>
      <c r="Q63" s="6">
        <f t="shared" si="13"/>
        <v>0</v>
      </c>
      <c r="R63" s="6">
        <f t="shared" si="14"/>
        <v>0</v>
      </c>
      <c r="S63" s="6">
        <f t="shared" si="15"/>
        <v>0</v>
      </c>
      <c r="T63" s="6">
        <f t="shared" si="16"/>
        <v>0</v>
      </c>
      <c r="U63" s="6">
        <f t="shared" si="17"/>
        <v>0</v>
      </c>
      <c r="V63" s="6">
        <f t="shared" si="18"/>
        <v>0</v>
      </c>
      <c r="W63" s="6">
        <f t="shared" si="19"/>
        <v>0</v>
      </c>
      <c r="X63" s="6">
        <f t="shared" si="20"/>
        <v>0</v>
      </c>
      <c r="Y63" s="6">
        <f t="shared" si="21"/>
        <v>0</v>
      </c>
      <c r="AA63" s="6" t="str">
        <f>IF(最佳化斷筋點!C63="","",最佳化斷筋點!C63)</f>
        <v>上層</v>
      </c>
      <c r="AB63" s="6">
        <f>IF(最佳化斷筋點!D63="","",最佳化斷筋點!D63)</f>
        <v>4</v>
      </c>
      <c r="AC63" s="6">
        <f>IF(最佳化斷筋點!E63="","",最佳化斷筋點!E63)</f>
        <v>4</v>
      </c>
      <c r="AD63" s="6">
        <f>IF(最佳化斷筋點!F63="","",最佳化斷筋點!F63)</f>
        <v>4</v>
      </c>
      <c r="AE63" s="6">
        <f>IF(最佳化斷筋點!G63="","",最佳化斷筋點!G63)</f>
        <v>3</v>
      </c>
      <c r="AF63" s="6">
        <f>IF(最佳化斷筋點!H63="","",最佳化斷筋點!H63)</f>
        <v>3</v>
      </c>
      <c r="AG63" s="6">
        <f>IF(最佳化斷筋點!I63="","",最佳化斷筋點!I63)</f>
        <v>3</v>
      </c>
      <c r="AH63" s="6">
        <f>IF(最佳化斷筋點!J63="","",最佳化斷筋點!J63)</f>
        <v>2</v>
      </c>
      <c r="AI63" s="6">
        <f>IF(最佳化斷筋點!K63="","",最佳化斷筋點!K63)</f>
        <v>2</v>
      </c>
      <c r="AJ63" s="6">
        <f>IF(最佳化斷筋點!L63="","",最佳化斷筋點!L63)</f>
        <v>2</v>
      </c>
      <c r="AK63" s="6">
        <f>IF(最佳化斷筋點!M63="","",最佳化斷筋點!M63)</f>
        <v>2</v>
      </c>
      <c r="AL63" s="6">
        <f>IF(最佳化斷筋點!N63="","",最佳化斷筋點!N63)</f>
        <v>2</v>
      </c>
      <c r="AM63" s="6">
        <f>IF(最佳化斷筋點!O63="","",最佳化斷筋點!O63)</f>
        <v>2</v>
      </c>
      <c r="AN63" s="6">
        <f>IF(最佳化斷筋點!P63="","",最佳化斷筋點!P63)</f>
        <v>2</v>
      </c>
      <c r="AO63" s="6">
        <f>IF(最佳化斷筋點!Q63="","",最佳化斷筋點!Q63)</f>
        <v>2</v>
      </c>
      <c r="AP63" s="6">
        <f>IF(最佳化斷筋點!R63="","",最佳化斷筋點!R63)</f>
        <v>2</v>
      </c>
      <c r="AQ63" s="6">
        <f>IF(最佳化斷筋點!S63="","",最佳化斷筋點!S63)</f>
        <v>3</v>
      </c>
      <c r="AR63" s="6">
        <f>IF(最佳化斷筋點!T63="","",最佳化斷筋點!T63)</f>
        <v>3</v>
      </c>
      <c r="AS63" s="6">
        <f>IF(最佳化斷筋點!U63="","",最佳化斷筋點!U63)</f>
        <v>4</v>
      </c>
      <c r="AT63" s="6">
        <f>IF(最佳化斷筋點!V63="","",最佳化斷筋點!V63)</f>
        <v>4</v>
      </c>
      <c r="AU63" s="6">
        <f>IF(最佳化斷筋點!W63="","",最佳化斷筋點!W63)</f>
        <v>5</v>
      </c>
      <c r="AV63" s="6">
        <f>IF(最佳化斷筋點!X63="","",最佳化斷筋點!X63)</f>
        <v>5</v>
      </c>
      <c r="AX63" s="6" t="s">
        <v>50</v>
      </c>
      <c r="AY63" s="6">
        <v>4</v>
      </c>
      <c r="AZ63" s="6">
        <v>4</v>
      </c>
      <c r="BA63" s="6">
        <v>4</v>
      </c>
      <c r="BB63" s="6">
        <v>3</v>
      </c>
      <c r="BC63" s="6">
        <v>3</v>
      </c>
      <c r="BD63" s="6">
        <v>3</v>
      </c>
      <c r="BE63" s="6">
        <v>2</v>
      </c>
      <c r="BF63" s="6">
        <v>2</v>
      </c>
      <c r="BG63" s="6">
        <v>2</v>
      </c>
      <c r="BH63" s="6">
        <v>2</v>
      </c>
      <c r="BI63" s="6">
        <v>2</v>
      </c>
      <c r="BJ63" s="6">
        <v>2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4</v>
      </c>
      <c r="BQ63" s="6">
        <v>4</v>
      </c>
      <c r="BR63" s="6">
        <v>5</v>
      </c>
      <c r="BS63" s="6">
        <v>5</v>
      </c>
    </row>
    <row r="64" spans="4:71" x14ac:dyDescent="0.25">
      <c r="E64" s="6">
        <f t="shared" si="1"/>
        <v>0</v>
      </c>
      <c r="F64" s="6">
        <f t="shared" si="2"/>
        <v>0</v>
      </c>
      <c r="G64" s="6">
        <f t="shared" si="3"/>
        <v>0</v>
      </c>
      <c r="H64" s="6">
        <f t="shared" si="4"/>
        <v>0</v>
      </c>
      <c r="I64" s="6">
        <f t="shared" si="5"/>
        <v>0</v>
      </c>
      <c r="J64" s="6">
        <f t="shared" si="6"/>
        <v>0</v>
      </c>
      <c r="K64" s="6">
        <f t="shared" si="7"/>
        <v>0</v>
      </c>
      <c r="L64" s="6">
        <f t="shared" si="8"/>
        <v>0</v>
      </c>
      <c r="M64" s="6">
        <f t="shared" si="9"/>
        <v>0</v>
      </c>
      <c r="N64" s="6">
        <f t="shared" si="10"/>
        <v>0</v>
      </c>
      <c r="O64" s="6">
        <f t="shared" si="11"/>
        <v>0</v>
      </c>
      <c r="P64" s="6">
        <f t="shared" si="12"/>
        <v>0</v>
      </c>
      <c r="Q64" s="6">
        <f t="shared" si="13"/>
        <v>0</v>
      </c>
      <c r="R64" s="6">
        <f t="shared" si="14"/>
        <v>0</v>
      </c>
      <c r="S64" s="6">
        <f t="shared" si="15"/>
        <v>0</v>
      </c>
      <c r="T64" s="6">
        <f t="shared" si="16"/>
        <v>0</v>
      </c>
      <c r="U64" s="6">
        <f t="shared" si="17"/>
        <v>0</v>
      </c>
      <c r="V64" s="6">
        <f t="shared" si="18"/>
        <v>0</v>
      </c>
      <c r="W64" s="6">
        <f t="shared" si="19"/>
        <v>0</v>
      </c>
      <c r="X64" s="6">
        <f t="shared" si="20"/>
        <v>0</v>
      </c>
      <c r="Y64" s="6">
        <f t="shared" si="21"/>
        <v>0</v>
      </c>
      <c r="AA64" s="6" t="str">
        <f>IF(最佳化斷筋點!C64="","",最佳化斷筋點!C64)</f>
        <v/>
      </c>
      <c r="AB64" s="6" t="str">
        <f>IF(最佳化斷筋點!D64="","",最佳化斷筋點!D64)</f>
        <v/>
      </c>
      <c r="AC64" s="6" t="str">
        <f>IF(最佳化斷筋點!E64="","",最佳化斷筋點!E64)</f>
        <v/>
      </c>
      <c r="AD64" s="6" t="str">
        <f>IF(最佳化斷筋點!F64="","",最佳化斷筋點!F64)</f>
        <v/>
      </c>
      <c r="AE64" s="6" t="str">
        <f>IF(最佳化斷筋點!G64="","",最佳化斷筋點!G64)</f>
        <v/>
      </c>
      <c r="AF64" s="6" t="str">
        <f>IF(最佳化斷筋點!H64="","",最佳化斷筋點!H64)</f>
        <v/>
      </c>
      <c r="AG64" s="6" t="str">
        <f>IF(最佳化斷筋點!I64="","",最佳化斷筋點!I64)</f>
        <v/>
      </c>
      <c r="AH64" s="6" t="str">
        <f>IF(最佳化斷筋點!J64="","",最佳化斷筋點!J64)</f>
        <v/>
      </c>
      <c r="AI64" s="6" t="str">
        <f>IF(最佳化斷筋點!K64="","",最佳化斷筋點!K64)</f>
        <v/>
      </c>
      <c r="AJ64" s="6" t="str">
        <f>IF(最佳化斷筋點!L64="","",最佳化斷筋點!L64)</f>
        <v/>
      </c>
      <c r="AK64" s="6" t="str">
        <f>IF(最佳化斷筋點!M64="","",最佳化斷筋點!M64)</f>
        <v/>
      </c>
      <c r="AL64" s="6" t="str">
        <f>IF(最佳化斷筋點!N64="","",最佳化斷筋點!N64)</f>
        <v/>
      </c>
      <c r="AM64" s="6" t="str">
        <f>IF(最佳化斷筋點!O64="","",最佳化斷筋點!O64)</f>
        <v/>
      </c>
      <c r="AN64" s="6" t="str">
        <f>IF(最佳化斷筋點!P64="","",最佳化斷筋點!P64)</f>
        <v/>
      </c>
      <c r="AO64" s="6" t="str">
        <f>IF(最佳化斷筋點!Q64="","",最佳化斷筋點!Q64)</f>
        <v/>
      </c>
      <c r="AP64" s="6" t="str">
        <f>IF(最佳化斷筋點!R64="","",最佳化斷筋點!R64)</f>
        <v/>
      </c>
      <c r="AQ64" s="6" t="str">
        <f>IF(最佳化斷筋點!S64="","",最佳化斷筋點!S64)</f>
        <v/>
      </c>
      <c r="AR64" s="6" t="str">
        <f>IF(最佳化斷筋點!T64="","",最佳化斷筋點!T64)</f>
        <v/>
      </c>
      <c r="AS64" s="6" t="str">
        <f>IF(最佳化斷筋點!U64="","",最佳化斷筋點!U64)</f>
        <v/>
      </c>
      <c r="AT64" s="6" t="str">
        <f>IF(最佳化斷筋點!V64="","",最佳化斷筋點!V64)</f>
        <v/>
      </c>
      <c r="AU64" s="6" t="str">
        <f>IF(最佳化斷筋點!W64="","",最佳化斷筋點!W64)</f>
        <v/>
      </c>
      <c r="AV64" s="6" t="str">
        <f>IF(最佳化斷筋點!X64="","",最佳化斷筋點!X64)</f>
        <v/>
      </c>
    </row>
    <row r="65" spans="4:71" x14ac:dyDescent="0.25">
      <c r="D65" s="6" t="s">
        <v>51</v>
      </c>
      <c r="E65" s="6">
        <f t="shared" si="1"/>
        <v>0</v>
      </c>
      <c r="F65" s="6">
        <f t="shared" si="2"/>
        <v>0</v>
      </c>
      <c r="G65" s="6">
        <f t="shared" si="3"/>
        <v>0</v>
      </c>
      <c r="H65" s="6">
        <f t="shared" si="4"/>
        <v>0</v>
      </c>
      <c r="I65" s="6">
        <f t="shared" si="5"/>
        <v>0</v>
      </c>
      <c r="J65" s="6">
        <f t="shared" si="6"/>
        <v>0</v>
      </c>
      <c r="K65" s="6">
        <f t="shared" si="7"/>
        <v>0</v>
      </c>
      <c r="L65" s="6">
        <f t="shared" si="8"/>
        <v>0</v>
      </c>
      <c r="M65" s="6">
        <f t="shared" si="9"/>
        <v>0</v>
      </c>
      <c r="N65" s="6">
        <f t="shared" si="10"/>
        <v>0</v>
      </c>
      <c r="O65" s="6">
        <f t="shared" si="11"/>
        <v>0</v>
      </c>
      <c r="P65" s="6">
        <f t="shared" si="12"/>
        <v>0</v>
      </c>
      <c r="Q65" s="6">
        <f t="shared" si="13"/>
        <v>0</v>
      </c>
      <c r="R65" s="6">
        <f t="shared" si="14"/>
        <v>0</v>
      </c>
      <c r="S65" s="6">
        <f t="shared" si="15"/>
        <v>0</v>
      </c>
      <c r="T65" s="6">
        <f t="shared" si="16"/>
        <v>0</v>
      </c>
      <c r="U65" s="6">
        <f t="shared" si="17"/>
        <v>0</v>
      </c>
      <c r="V65" s="6">
        <f t="shared" si="18"/>
        <v>0</v>
      </c>
      <c r="W65" s="6">
        <f t="shared" si="19"/>
        <v>0</v>
      </c>
      <c r="X65" s="6">
        <f t="shared" si="20"/>
        <v>0</v>
      </c>
      <c r="Y65" s="6">
        <f t="shared" si="21"/>
        <v>0</v>
      </c>
      <c r="AA65" s="6" t="str">
        <f>IF(最佳化斷筋點!C65="","",最佳化斷筋點!C65)</f>
        <v>下層</v>
      </c>
      <c r="AB65" s="6">
        <f>IF(最佳化斷筋點!D65="","",最佳化斷筋點!D65)</f>
        <v>3</v>
      </c>
      <c r="AC65" s="6">
        <f>IF(最佳化斷筋點!E65="","",最佳化斷筋點!E65)</f>
        <v>3</v>
      </c>
      <c r="AD65" s="6">
        <f>IF(最佳化斷筋點!F65="","",最佳化斷筋點!F65)</f>
        <v>3</v>
      </c>
      <c r="AE65" s="6">
        <f>IF(最佳化斷筋點!G65="","",最佳化斷筋點!G65)</f>
        <v>3</v>
      </c>
      <c r="AF65" s="6">
        <f>IF(最佳化斷筋點!H65="","",最佳化斷筋點!H65)</f>
        <v>2</v>
      </c>
      <c r="AG65" s="6">
        <f>IF(最佳化斷筋點!I65="","",最佳化斷筋點!I65)</f>
        <v>3</v>
      </c>
      <c r="AH65" s="6">
        <f>IF(最佳化斷筋點!J65="","",最佳化斷筋點!J65)</f>
        <v>3</v>
      </c>
      <c r="AI65" s="6">
        <f>IF(最佳化斷筋點!K65="","",最佳化斷筋點!K65)</f>
        <v>3</v>
      </c>
      <c r="AJ65" s="6">
        <f>IF(最佳化斷筋點!L65="","",最佳化斷筋點!L65)</f>
        <v>3</v>
      </c>
      <c r="AK65" s="6">
        <f>IF(最佳化斷筋點!M65="","",最佳化斷筋點!M65)</f>
        <v>3</v>
      </c>
      <c r="AL65" s="6">
        <f>IF(最佳化斷筋點!N65="","",最佳化斷筋點!N65)</f>
        <v>3</v>
      </c>
      <c r="AM65" s="6">
        <f>IF(最佳化斷筋點!O65="","",最佳化斷筋點!O65)</f>
        <v>3</v>
      </c>
      <c r="AN65" s="6">
        <f>IF(最佳化斷筋點!P65="","",最佳化斷筋點!P65)</f>
        <v>3</v>
      </c>
      <c r="AO65" s="6">
        <f>IF(最佳化斷筋點!Q65="","",最佳化斷筋點!Q65)</f>
        <v>3</v>
      </c>
      <c r="AP65" s="6">
        <f>IF(最佳化斷筋點!R65="","",最佳化斷筋點!R65)</f>
        <v>3</v>
      </c>
      <c r="AQ65" s="6">
        <f>IF(最佳化斷筋點!S65="","",最佳化斷筋點!S65)</f>
        <v>3</v>
      </c>
      <c r="AR65" s="6">
        <f>IF(最佳化斷筋點!T65="","",最佳化斷筋點!T65)</f>
        <v>2</v>
      </c>
      <c r="AS65" s="6">
        <f>IF(最佳化斷筋點!U65="","",最佳化斷筋點!U65)</f>
        <v>3</v>
      </c>
      <c r="AT65" s="6">
        <f>IF(最佳化斷筋點!V65="","",最佳化斷筋點!V65)</f>
        <v>3</v>
      </c>
      <c r="AU65" s="6">
        <f>IF(最佳化斷筋點!W65="","",最佳化斷筋點!W65)</f>
        <v>3</v>
      </c>
      <c r="AV65" s="6">
        <f>IF(最佳化斷筋點!X65="","",最佳化斷筋點!X65)</f>
        <v>3</v>
      </c>
      <c r="AX65" s="6" t="s">
        <v>51</v>
      </c>
      <c r="AY65" s="6">
        <v>3</v>
      </c>
      <c r="AZ65" s="6">
        <v>3</v>
      </c>
      <c r="BA65" s="6">
        <v>3</v>
      </c>
      <c r="BB65" s="6">
        <v>3</v>
      </c>
      <c r="BC65" s="6">
        <v>2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2</v>
      </c>
      <c r="BP65" s="6">
        <v>3</v>
      </c>
      <c r="BQ65" s="6">
        <v>3</v>
      </c>
      <c r="BR65" s="6">
        <v>3</v>
      </c>
      <c r="BS65" s="6">
        <v>3</v>
      </c>
    </row>
    <row r="66" spans="4:71" x14ac:dyDescent="0.25">
      <c r="E66" s="6">
        <f t="shared" si="1"/>
        <v>0</v>
      </c>
      <c r="F66" s="6">
        <f t="shared" si="2"/>
        <v>0</v>
      </c>
      <c r="G66" s="6">
        <f t="shared" si="3"/>
        <v>0</v>
      </c>
      <c r="H66" s="6">
        <f t="shared" si="4"/>
        <v>0</v>
      </c>
      <c r="I66" s="6">
        <f t="shared" si="5"/>
        <v>0</v>
      </c>
      <c r="J66" s="6">
        <f t="shared" si="6"/>
        <v>0</v>
      </c>
      <c r="K66" s="6">
        <f t="shared" si="7"/>
        <v>0</v>
      </c>
      <c r="L66" s="6">
        <f t="shared" si="8"/>
        <v>0</v>
      </c>
      <c r="M66" s="6">
        <f t="shared" si="9"/>
        <v>0</v>
      </c>
      <c r="N66" s="6">
        <f t="shared" si="10"/>
        <v>0</v>
      </c>
      <c r="O66" s="6">
        <f t="shared" si="11"/>
        <v>0</v>
      </c>
      <c r="P66" s="6">
        <f t="shared" si="12"/>
        <v>0</v>
      </c>
      <c r="Q66" s="6">
        <f t="shared" si="13"/>
        <v>0</v>
      </c>
      <c r="R66" s="6">
        <f t="shared" si="14"/>
        <v>0</v>
      </c>
      <c r="S66" s="6">
        <f t="shared" si="15"/>
        <v>0</v>
      </c>
      <c r="T66" s="6">
        <f t="shared" si="16"/>
        <v>0</v>
      </c>
      <c r="U66" s="6">
        <f t="shared" si="17"/>
        <v>0</v>
      </c>
      <c r="V66" s="6">
        <f t="shared" si="18"/>
        <v>0</v>
      </c>
      <c r="W66" s="6">
        <f t="shared" si="19"/>
        <v>0</v>
      </c>
      <c r="X66" s="6">
        <f t="shared" si="20"/>
        <v>0</v>
      </c>
      <c r="Y66" s="6">
        <f t="shared" si="21"/>
        <v>0</v>
      </c>
      <c r="AA66" s="6" t="str">
        <f>IF(最佳化斷筋點!C66="","",最佳化斷筋點!C66)</f>
        <v/>
      </c>
      <c r="AB66" s="6" t="str">
        <f>IF(最佳化斷筋點!D66="","",最佳化斷筋點!D66)</f>
        <v/>
      </c>
      <c r="AC66" s="6" t="str">
        <f>IF(最佳化斷筋點!E66="","",最佳化斷筋點!E66)</f>
        <v/>
      </c>
      <c r="AD66" s="6" t="str">
        <f>IF(最佳化斷筋點!F66="","",最佳化斷筋點!F66)</f>
        <v/>
      </c>
      <c r="AE66" s="6" t="str">
        <f>IF(最佳化斷筋點!G66="","",最佳化斷筋點!G66)</f>
        <v/>
      </c>
      <c r="AF66" s="6" t="str">
        <f>IF(最佳化斷筋點!H66="","",最佳化斷筋點!H66)</f>
        <v/>
      </c>
      <c r="AG66" s="6" t="str">
        <f>IF(最佳化斷筋點!I66="","",最佳化斷筋點!I66)</f>
        <v/>
      </c>
      <c r="AH66" s="6" t="str">
        <f>IF(最佳化斷筋點!J66="","",最佳化斷筋點!J66)</f>
        <v/>
      </c>
      <c r="AI66" s="6" t="str">
        <f>IF(最佳化斷筋點!K66="","",最佳化斷筋點!K66)</f>
        <v/>
      </c>
      <c r="AJ66" s="6" t="str">
        <f>IF(最佳化斷筋點!L66="","",最佳化斷筋點!L66)</f>
        <v/>
      </c>
      <c r="AK66" s="6" t="str">
        <f>IF(最佳化斷筋點!M66="","",最佳化斷筋點!M66)</f>
        <v/>
      </c>
      <c r="AL66" s="6" t="str">
        <f>IF(最佳化斷筋點!N66="","",最佳化斷筋點!N66)</f>
        <v/>
      </c>
      <c r="AM66" s="6" t="str">
        <f>IF(最佳化斷筋點!O66="","",最佳化斷筋點!O66)</f>
        <v/>
      </c>
      <c r="AN66" s="6" t="str">
        <f>IF(最佳化斷筋點!P66="","",最佳化斷筋點!P66)</f>
        <v/>
      </c>
      <c r="AO66" s="6" t="str">
        <f>IF(最佳化斷筋點!Q66="","",最佳化斷筋點!Q66)</f>
        <v/>
      </c>
      <c r="AP66" s="6" t="str">
        <f>IF(最佳化斷筋點!R66="","",最佳化斷筋點!R66)</f>
        <v/>
      </c>
      <c r="AQ66" s="6" t="str">
        <f>IF(最佳化斷筋點!S66="","",最佳化斷筋點!S66)</f>
        <v/>
      </c>
      <c r="AR66" s="6" t="str">
        <f>IF(最佳化斷筋點!T66="","",最佳化斷筋點!T66)</f>
        <v/>
      </c>
      <c r="AS66" s="6" t="str">
        <f>IF(最佳化斷筋點!U66="","",最佳化斷筋點!U66)</f>
        <v/>
      </c>
      <c r="AT66" s="6" t="str">
        <f>IF(最佳化斷筋點!V66="","",最佳化斷筋點!V66)</f>
        <v/>
      </c>
      <c r="AU66" s="6" t="str">
        <f>IF(最佳化斷筋點!W66="","",最佳化斷筋點!W66)</f>
        <v/>
      </c>
      <c r="AV66" s="6" t="str">
        <f>IF(最佳化斷筋點!X66="","",最佳化斷筋點!X66)</f>
        <v/>
      </c>
    </row>
    <row r="67" spans="4:71" x14ac:dyDescent="0.25">
      <c r="D67" s="6" t="s">
        <v>50</v>
      </c>
      <c r="E67" s="6">
        <f t="shared" si="1"/>
        <v>0</v>
      </c>
      <c r="F67" s="6">
        <f t="shared" si="2"/>
        <v>0</v>
      </c>
      <c r="G67" s="6">
        <f t="shared" si="3"/>
        <v>0</v>
      </c>
      <c r="H67" s="6">
        <f t="shared" si="4"/>
        <v>0</v>
      </c>
      <c r="I67" s="6">
        <f t="shared" si="5"/>
        <v>0</v>
      </c>
      <c r="J67" s="6">
        <f t="shared" si="6"/>
        <v>0</v>
      </c>
      <c r="K67" s="6">
        <f t="shared" si="7"/>
        <v>0</v>
      </c>
      <c r="L67" s="6">
        <f t="shared" si="8"/>
        <v>0</v>
      </c>
      <c r="M67" s="6">
        <f t="shared" si="9"/>
        <v>0</v>
      </c>
      <c r="N67" s="6">
        <f t="shared" si="10"/>
        <v>0</v>
      </c>
      <c r="O67" s="6">
        <f t="shared" si="11"/>
        <v>0</v>
      </c>
      <c r="P67" s="6">
        <f t="shared" si="12"/>
        <v>0</v>
      </c>
      <c r="Q67" s="6">
        <f t="shared" si="13"/>
        <v>0</v>
      </c>
      <c r="R67" s="6">
        <f t="shared" si="14"/>
        <v>0</v>
      </c>
      <c r="S67" s="6">
        <f t="shared" si="15"/>
        <v>0</v>
      </c>
      <c r="T67" s="6">
        <f t="shared" si="16"/>
        <v>0</v>
      </c>
      <c r="U67" s="6">
        <f t="shared" si="17"/>
        <v>0</v>
      </c>
      <c r="V67" s="6">
        <f t="shared" si="18"/>
        <v>0</v>
      </c>
      <c r="W67" s="6">
        <f t="shared" si="19"/>
        <v>0</v>
      </c>
      <c r="X67" s="6">
        <f t="shared" si="20"/>
        <v>0</v>
      </c>
      <c r="Y67" s="6">
        <f t="shared" si="21"/>
        <v>0</v>
      </c>
      <c r="AA67" s="6" t="str">
        <f>IF(最佳化斷筋點!C67="","",最佳化斷筋點!C67)</f>
        <v>上層</v>
      </c>
      <c r="AB67" s="6">
        <f>IF(最佳化斷筋點!D67="","",最佳化斷筋點!D67)</f>
        <v>4</v>
      </c>
      <c r="AC67" s="6">
        <f>IF(最佳化斷筋點!E67="","",最佳化斷筋點!E67)</f>
        <v>4</v>
      </c>
      <c r="AD67" s="6">
        <f>IF(最佳化斷筋點!F67="","",最佳化斷筋點!F67)</f>
        <v>4</v>
      </c>
      <c r="AE67" s="6">
        <f>IF(最佳化斷筋點!G67="","",最佳化斷筋點!G67)</f>
        <v>3</v>
      </c>
      <c r="AF67" s="6">
        <f>IF(最佳化斷筋點!H67="","",最佳化斷筋點!H67)</f>
        <v>3</v>
      </c>
      <c r="AG67" s="6">
        <f>IF(最佳化斷筋點!I67="","",最佳化斷筋點!I67)</f>
        <v>3</v>
      </c>
      <c r="AH67" s="6">
        <f>IF(最佳化斷筋點!J67="","",最佳化斷筋點!J67)</f>
        <v>2</v>
      </c>
      <c r="AI67" s="6">
        <f>IF(最佳化斷筋點!K67="","",最佳化斷筋點!K67)</f>
        <v>2</v>
      </c>
      <c r="AJ67" s="6">
        <f>IF(最佳化斷筋點!L67="","",最佳化斷筋點!L67)</f>
        <v>2</v>
      </c>
      <c r="AK67" s="6">
        <f>IF(最佳化斷筋點!M67="","",最佳化斷筋點!M67)</f>
        <v>2</v>
      </c>
      <c r="AL67" s="6">
        <f>IF(最佳化斷筋點!N67="","",最佳化斷筋點!N67)</f>
        <v>2</v>
      </c>
      <c r="AM67" s="6">
        <f>IF(最佳化斷筋點!O67="","",最佳化斷筋點!O67)</f>
        <v>2</v>
      </c>
      <c r="AN67" s="6">
        <f>IF(最佳化斷筋點!P67="","",最佳化斷筋點!P67)</f>
        <v>2</v>
      </c>
      <c r="AO67" s="6">
        <f>IF(最佳化斷筋點!Q67="","",最佳化斷筋點!Q67)</f>
        <v>2</v>
      </c>
      <c r="AP67" s="6">
        <f>IF(最佳化斷筋點!R67="","",最佳化斷筋點!R67)</f>
        <v>2</v>
      </c>
      <c r="AQ67" s="6">
        <f>IF(最佳化斷筋點!S67="","",最佳化斷筋點!S67)</f>
        <v>3</v>
      </c>
      <c r="AR67" s="6">
        <f>IF(最佳化斷筋點!T67="","",最佳化斷筋點!T67)</f>
        <v>3</v>
      </c>
      <c r="AS67" s="6">
        <f>IF(最佳化斷筋點!U67="","",最佳化斷筋點!U67)</f>
        <v>4</v>
      </c>
      <c r="AT67" s="6">
        <f>IF(最佳化斷筋點!V67="","",最佳化斷筋點!V67)</f>
        <v>4</v>
      </c>
      <c r="AU67" s="6">
        <f>IF(最佳化斷筋點!W67="","",最佳化斷筋點!W67)</f>
        <v>5</v>
      </c>
      <c r="AV67" s="6">
        <f>IF(最佳化斷筋點!X67="","",最佳化斷筋點!X67)</f>
        <v>5</v>
      </c>
      <c r="AX67" s="6" t="s">
        <v>50</v>
      </c>
      <c r="AY67" s="6">
        <v>4</v>
      </c>
      <c r="AZ67" s="6">
        <v>4</v>
      </c>
      <c r="BA67" s="6">
        <v>4</v>
      </c>
      <c r="BB67" s="6">
        <v>3</v>
      </c>
      <c r="BC67" s="6">
        <v>3</v>
      </c>
      <c r="BD67" s="6">
        <v>3</v>
      </c>
      <c r="BE67" s="6">
        <v>2</v>
      </c>
      <c r="BF67" s="6">
        <v>2</v>
      </c>
      <c r="BG67" s="6">
        <v>2</v>
      </c>
      <c r="BH67" s="6">
        <v>2</v>
      </c>
      <c r="BI67" s="6">
        <v>2</v>
      </c>
      <c r="BJ67" s="6">
        <v>2</v>
      </c>
      <c r="BK67" s="6">
        <v>2</v>
      </c>
      <c r="BL67" s="6">
        <v>2</v>
      </c>
      <c r="BM67" s="6">
        <v>2</v>
      </c>
      <c r="BN67" s="6">
        <v>3</v>
      </c>
      <c r="BO67" s="6">
        <v>3</v>
      </c>
      <c r="BP67" s="6">
        <v>4</v>
      </c>
      <c r="BQ67" s="6">
        <v>4</v>
      </c>
      <c r="BR67" s="6">
        <v>5</v>
      </c>
      <c r="BS67" s="6">
        <v>5</v>
      </c>
    </row>
    <row r="68" spans="4:71" x14ac:dyDescent="0.25">
      <c r="E68" s="6">
        <f t="shared" ref="E68:E131" si="22">IF(AB68=AY68,0,1)</f>
        <v>0</v>
      </c>
      <c r="F68" s="6">
        <f t="shared" ref="F68:F131" si="23">IF(AC68=AZ68,0,1)</f>
        <v>0</v>
      </c>
      <c r="G68" s="6">
        <f t="shared" ref="G68:G131" si="24">IF(AD68=BA68,0,1)</f>
        <v>0</v>
      </c>
      <c r="H68" s="6">
        <f t="shared" ref="H68:H131" si="25">IF(AE68=BB68,0,1)</f>
        <v>0</v>
      </c>
      <c r="I68" s="6">
        <f t="shared" ref="I68:I131" si="26">IF(AF68=BC68,0,1)</f>
        <v>0</v>
      </c>
      <c r="J68" s="6">
        <f t="shared" ref="J68:J131" si="27">IF(AG68=BD68,0,1)</f>
        <v>0</v>
      </c>
      <c r="K68" s="6">
        <f t="shared" ref="K68:K131" si="28">IF(AH68=BE68,0,1)</f>
        <v>0</v>
      </c>
      <c r="L68" s="6">
        <f t="shared" ref="L68:L131" si="29">IF(AI68=BF68,0,1)</f>
        <v>0</v>
      </c>
      <c r="M68" s="6">
        <f t="shared" ref="M68:M131" si="30">IF(AJ68=BG68,0,1)</f>
        <v>0</v>
      </c>
      <c r="N68" s="6">
        <f t="shared" ref="N68:N131" si="31">IF(AK68=BH68,0,1)</f>
        <v>0</v>
      </c>
      <c r="O68" s="6">
        <f t="shared" ref="O68:O131" si="32">IF(AL68=BI68,0,1)</f>
        <v>0</v>
      </c>
      <c r="P68" s="6">
        <f t="shared" ref="P68:P131" si="33">IF(AM68=BJ68,0,1)</f>
        <v>0</v>
      </c>
      <c r="Q68" s="6">
        <f t="shared" ref="Q68:Q131" si="34">IF(AN68=BK68,0,1)</f>
        <v>0</v>
      </c>
      <c r="R68" s="6">
        <f t="shared" ref="R68:R131" si="35">IF(AO68=BL68,0,1)</f>
        <v>0</v>
      </c>
      <c r="S68" s="6">
        <f t="shared" ref="S68:S131" si="36">IF(AP68=BM68,0,1)</f>
        <v>0</v>
      </c>
      <c r="T68" s="6">
        <f t="shared" ref="T68:T131" si="37">IF(AQ68=BN68,0,1)</f>
        <v>0</v>
      </c>
      <c r="U68" s="6">
        <f t="shared" ref="U68:U131" si="38">IF(AR68=BO68,0,1)</f>
        <v>0</v>
      </c>
      <c r="V68" s="6">
        <f t="shared" ref="V68:V131" si="39">IF(AS68=BP68,0,1)</f>
        <v>0</v>
      </c>
      <c r="W68" s="6">
        <f t="shared" ref="W68:W131" si="40">IF(AT68=BQ68,0,1)</f>
        <v>0</v>
      </c>
      <c r="X68" s="6">
        <f t="shared" ref="X68:X131" si="41">IF(AU68=BR68,0,1)</f>
        <v>0</v>
      </c>
      <c r="Y68" s="6">
        <f t="shared" ref="Y68:Y131" si="42">IF(AV68=BS68,0,1)</f>
        <v>0</v>
      </c>
      <c r="AA68" s="6" t="str">
        <f>IF(最佳化斷筋點!C68="","",最佳化斷筋點!C68)</f>
        <v/>
      </c>
      <c r="AB68" s="6" t="str">
        <f>IF(最佳化斷筋點!D68="","",最佳化斷筋點!D68)</f>
        <v/>
      </c>
      <c r="AC68" s="6" t="str">
        <f>IF(最佳化斷筋點!E68="","",最佳化斷筋點!E68)</f>
        <v/>
      </c>
      <c r="AD68" s="6" t="str">
        <f>IF(最佳化斷筋點!F68="","",最佳化斷筋點!F68)</f>
        <v/>
      </c>
      <c r="AE68" s="6" t="str">
        <f>IF(最佳化斷筋點!G68="","",最佳化斷筋點!G68)</f>
        <v/>
      </c>
      <c r="AF68" s="6" t="str">
        <f>IF(最佳化斷筋點!H68="","",最佳化斷筋點!H68)</f>
        <v/>
      </c>
      <c r="AG68" s="6" t="str">
        <f>IF(最佳化斷筋點!I68="","",最佳化斷筋點!I68)</f>
        <v/>
      </c>
      <c r="AH68" s="6" t="str">
        <f>IF(最佳化斷筋點!J68="","",最佳化斷筋點!J68)</f>
        <v/>
      </c>
      <c r="AI68" s="6" t="str">
        <f>IF(最佳化斷筋點!K68="","",最佳化斷筋點!K68)</f>
        <v/>
      </c>
      <c r="AJ68" s="6" t="str">
        <f>IF(最佳化斷筋點!L68="","",最佳化斷筋點!L68)</f>
        <v/>
      </c>
      <c r="AK68" s="6" t="str">
        <f>IF(最佳化斷筋點!M68="","",最佳化斷筋點!M68)</f>
        <v/>
      </c>
      <c r="AL68" s="6" t="str">
        <f>IF(最佳化斷筋點!N68="","",最佳化斷筋點!N68)</f>
        <v/>
      </c>
      <c r="AM68" s="6" t="str">
        <f>IF(最佳化斷筋點!O68="","",最佳化斷筋點!O68)</f>
        <v/>
      </c>
      <c r="AN68" s="6" t="str">
        <f>IF(最佳化斷筋點!P68="","",最佳化斷筋點!P68)</f>
        <v/>
      </c>
      <c r="AO68" s="6" t="str">
        <f>IF(最佳化斷筋點!Q68="","",最佳化斷筋點!Q68)</f>
        <v/>
      </c>
      <c r="AP68" s="6" t="str">
        <f>IF(最佳化斷筋點!R68="","",最佳化斷筋點!R68)</f>
        <v/>
      </c>
      <c r="AQ68" s="6" t="str">
        <f>IF(最佳化斷筋點!S68="","",最佳化斷筋點!S68)</f>
        <v/>
      </c>
      <c r="AR68" s="6" t="str">
        <f>IF(最佳化斷筋點!T68="","",最佳化斷筋點!T68)</f>
        <v/>
      </c>
      <c r="AS68" s="6" t="str">
        <f>IF(最佳化斷筋點!U68="","",最佳化斷筋點!U68)</f>
        <v/>
      </c>
      <c r="AT68" s="6" t="str">
        <f>IF(最佳化斷筋點!V68="","",最佳化斷筋點!V68)</f>
        <v/>
      </c>
      <c r="AU68" s="6" t="str">
        <f>IF(最佳化斷筋點!W68="","",最佳化斷筋點!W68)</f>
        <v/>
      </c>
      <c r="AV68" s="6" t="str">
        <f>IF(最佳化斷筋點!X68="","",最佳化斷筋點!X68)</f>
        <v/>
      </c>
    </row>
    <row r="69" spans="4:71" x14ac:dyDescent="0.25">
      <c r="D69" s="6" t="s">
        <v>51</v>
      </c>
      <c r="E69" s="6">
        <f t="shared" si="22"/>
        <v>0</v>
      </c>
      <c r="F69" s="6">
        <f t="shared" si="23"/>
        <v>0</v>
      </c>
      <c r="G69" s="6">
        <f t="shared" si="24"/>
        <v>0</v>
      </c>
      <c r="H69" s="6">
        <f t="shared" si="25"/>
        <v>0</v>
      </c>
      <c r="I69" s="6">
        <f t="shared" si="26"/>
        <v>0</v>
      </c>
      <c r="J69" s="6">
        <f t="shared" si="27"/>
        <v>0</v>
      </c>
      <c r="K69" s="6">
        <f t="shared" si="28"/>
        <v>0</v>
      </c>
      <c r="L69" s="6">
        <f t="shared" si="29"/>
        <v>0</v>
      </c>
      <c r="M69" s="6">
        <f t="shared" si="30"/>
        <v>0</v>
      </c>
      <c r="N69" s="6">
        <f t="shared" si="31"/>
        <v>0</v>
      </c>
      <c r="O69" s="6">
        <f t="shared" si="32"/>
        <v>0</v>
      </c>
      <c r="P69" s="6">
        <f t="shared" si="33"/>
        <v>0</v>
      </c>
      <c r="Q69" s="6">
        <f t="shared" si="34"/>
        <v>0</v>
      </c>
      <c r="R69" s="6">
        <f t="shared" si="35"/>
        <v>0</v>
      </c>
      <c r="S69" s="6">
        <f t="shared" si="36"/>
        <v>0</v>
      </c>
      <c r="T69" s="6">
        <f t="shared" si="37"/>
        <v>0</v>
      </c>
      <c r="U69" s="6">
        <f t="shared" si="38"/>
        <v>0</v>
      </c>
      <c r="V69" s="6">
        <f t="shared" si="39"/>
        <v>0</v>
      </c>
      <c r="W69" s="6">
        <f t="shared" si="40"/>
        <v>0</v>
      </c>
      <c r="X69" s="6">
        <f t="shared" si="41"/>
        <v>0</v>
      </c>
      <c r="Y69" s="6">
        <f t="shared" si="42"/>
        <v>0</v>
      </c>
      <c r="AA69" s="6" t="str">
        <f>IF(最佳化斷筋點!C69="","",最佳化斷筋點!C69)</f>
        <v>下層</v>
      </c>
      <c r="AB69" s="6">
        <f>IF(最佳化斷筋點!D69="","",最佳化斷筋點!D69)</f>
        <v>3</v>
      </c>
      <c r="AC69" s="6">
        <f>IF(最佳化斷筋點!E69="","",最佳化斷筋點!E69)</f>
        <v>3</v>
      </c>
      <c r="AD69" s="6">
        <f>IF(最佳化斷筋點!F69="","",最佳化斷筋點!F69)</f>
        <v>3</v>
      </c>
      <c r="AE69" s="6">
        <f>IF(最佳化斷筋點!G69="","",最佳化斷筋點!G69)</f>
        <v>3</v>
      </c>
      <c r="AF69" s="6">
        <f>IF(最佳化斷筋點!H69="","",最佳化斷筋點!H69)</f>
        <v>2</v>
      </c>
      <c r="AG69" s="6">
        <f>IF(最佳化斷筋點!I69="","",最佳化斷筋點!I69)</f>
        <v>3</v>
      </c>
      <c r="AH69" s="6">
        <f>IF(最佳化斷筋點!J69="","",最佳化斷筋點!J69)</f>
        <v>3</v>
      </c>
      <c r="AI69" s="6">
        <f>IF(最佳化斷筋點!K69="","",最佳化斷筋點!K69)</f>
        <v>3</v>
      </c>
      <c r="AJ69" s="6">
        <f>IF(最佳化斷筋點!L69="","",最佳化斷筋點!L69)</f>
        <v>3</v>
      </c>
      <c r="AK69" s="6">
        <f>IF(最佳化斷筋點!M69="","",最佳化斷筋點!M69)</f>
        <v>3</v>
      </c>
      <c r="AL69" s="6">
        <f>IF(最佳化斷筋點!N69="","",最佳化斷筋點!N69)</f>
        <v>3</v>
      </c>
      <c r="AM69" s="6">
        <f>IF(最佳化斷筋點!O69="","",最佳化斷筋點!O69)</f>
        <v>3</v>
      </c>
      <c r="AN69" s="6">
        <f>IF(最佳化斷筋點!P69="","",最佳化斷筋點!P69)</f>
        <v>3</v>
      </c>
      <c r="AO69" s="6">
        <f>IF(最佳化斷筋點!Q69="","",最佳化斷筋點!Q69)</f>
        <v>3</v>
      </c>
      <c r="AP69" s="6">
        <f>IF(最佳化斷筋點!R69="","",最佳化斷筋點!R69)</f>
        <v>3</v>
      </c>
      <c r="AQ69" s="6">
        <f>IF(最佳化斷筋點!S69="","",最佳化斷筋點!S69)</f>
        <v>3</v>
      </c>
      <c r="AR69" s="6">
        <f>IF(最佳化斷筋點!T69="","",最佳化斷筋點!T69)</f>
        <v>2</v>
      </c>
      <c r="AS69" s="6">
        <f>IF(最佳化斷筋點!U69="","",最佳化斷筋點!U69)</f>
        <v>3</v>
      </c>
      <c r="AT69" s="6">
        <f>IF(最佳化斷筋點!V69="","",最佳化斷筋點!V69)</f>
        <v>3</v>
      </c>
      <c r="AU69" s="6">
        <f>IF(最佳化斷筋點!W69="","",最佳化斷筋點!W69)</f>
        <v>3</v>
      </c>
      <c r="AV69" s="6">
        <f>IF(最佳化斷筋點!X69="","",最佳化斷筋點!X69)</f>
        <v>3</v>
      </c>
      <c r="AX69" s="6" t="s">
        <v>51</v>
      </c>
      <c r="AY69" s="6">
        <v>3</v>
      </c>
      <c r="AZ69" s="6">
        <v>3</v>
      </c>
      <c r="BA69" s="6">
        <v>3</v>
      </c>
      <c r="BB69" s="6">
        <v>3</v>
      </c>
      <c r="BC69" s="6">
        <v>2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2</v>
      </c>
      <c r="BP69" s="6">
        <v>3</v>
      </c>
      <c r="BQ69" s="6">
        <v>3</v>
      </c>
      <c r="BR69" s="6">
        <v>3</v>
      </c>
      <c r="BS69" s="6">
        <v>3</v>
      </c>
    </row>
    <row r="70" spans="4:71" x14ac:dyDescent="0.25">
      <c r="E70" s="6">
        <f t="shared" si="22"/>
        <v>0</v>
      </c>
      <c r="F70" s="6">
        <f t="shared" si="23"/>
        <v>0</v>
      </c>
      <c r="G70" s="6">
        <f t="shared" si="24"/>
        <v>0</v>
      </c>
      <c r="H70" s="6">
        <f t="shared" si="25"/>
        <v>0</v>
      </c>
      <c r="I70" s="6">
        <f t="shared" si="26"/>
        <v>0</v>
      </c>
      <c r="J70" s="6">
        <f t="shared" si="27"/>
        <v>0</v>
      </c>
      <c r="K70" s="6">
        <f t="shared" si="28"/>
        <v>0</v>
      </c>
      <c r="L70" s="6">
        <f t="shared" si="29"/>
        <v>0</v>
      </c>
      <c r="M70" s="6">
        <f t="shared" si="30"/>
        <v>0</v>
      </c>
      <c r="N70" s="6">
        <f t="shared" si="31"/>
        <v>0</v>
      </c>
      <c r="O70" s="6">
        <f t="shared" si="32"/>
        <v>0</v>
      </c>
      <c r="P70" s="6">
        <f t="shared" si="33"/>
        <v>0</v>
      </c>
      <c r="Q70" s="6">
        <f t="shared" si="34"/>
        <v>0</v>
      </c>
      <c r="R70" s="6">
        <f t="shared" si="35"/>
        <v>0</v>
      </c>
      <c r="S70" s="6">
        <f t="shared" si="36"/>
        <v>0</v>
      </c>
      <c r="T70" s="6">
        <f t="shared" si="37"/>
        <v>0</v>
      </c>
      <c r="U70" s="6">
        <f t="shared" si="38"/>
        <v>0</v>
      </c>
      <c r="V70" s="6">
        <f t="shared" si="39"/>
        <v>0</v>
      </c>
      <c r="W70" s="6">
        <f t="shared" si="40"/>
        <v>0</v>
      </c>
      <c r="X70" s="6">
        <f t="shared" si="41"/>
        <v>0</v>
      </c>
      <c r="Y70" s="6">
        <f t="shared" si="42"/>
        <v>0</v>
      </c>
      <c r="AA70" s="6" t="str">
        <f>IF(最佳化斷筋點!C70="","",最佳化斷筋點!C70)</f>
        <v/>
      </c>
      <c r="AB70" s="6" t="str">
        <f>IF(最佳化斷筋點!D70="","",最佳化斷筋點!D70)</f>
        <v/>
      </c>
      <c r="AC70" s="6" t="str">
        <f>IF(最佳化斷筋點!E70="","",最佳化斷筋點!E70)</f>
        <v/>
      </c>
      <c r="AD70" s="6" t="str">
        <f>IF(最佳化斷筋點!F70="","",最佳化斷筋點!F70)</f>
        <v/>
      </c>
      <c r="AE70" s="6" t="str">
        <f>IF(最佳化斷筋點!G70="","",最佳化斷筋點!G70)</f>
        <v/>
      </c>
      <c r="AF70" s="6" t="str">
        <f>IF(最佳化斷筋點!H70="","",最佳化斷筋點!H70)</f>
        <v/>
      </c>
      <c r="AG70" s="6" t="str">
        <f>IF(最佳化斷筋點!I70="","",最佳化斷筋點!I70)</f>
        <v/>
      </c>
      <c r="AH70" s="6" t="str">
        <f>IF(最佳化斷筋點!J70="","",最佳化斷筋點!J70)</f>
        <v/>
      </c>
      <c r="AI70" s="6" t="str">
        <f>IF(最佳化斷筋點!K70="","",最佳化斷筋點!K70)</f>
        <v/>
      </c>
      <c r="AJ70" s="6" t="str">
        <f>IF(最佳化斷筋點!L70="","",最佳化斷筋點!L70)</f>
        <v/>
      </c>
      <c r="AK70" s="6" t="str">
        <f>IF(最佳化斷筋點!M70="","",最佳化斷筋點!M70)</f>
        <v/>
      </c>
      <c r="AL70" s="6" t="str">
        <f>IF(最佳化斷筋點!N70="","",最佳化斷筋點!N70)</f>
        <v/>
      </c>
      <c r="AM70" s="6" t="str">
        <f>IF(最佳化斷筋點!O70="","",最佳化斷筋點!O70)</f>
        <v/>
      </c>
      <c r="AN70" s="6" t="str">
        <f>IF(最佳化斷筋點!P70="","",最佳化斷筋點!P70)</f>
        <v/>
      </c>
      <c r="AO70" s="6" t="str">
        <f>IF(最佳化斷筋點!Q70="","",最佳化斷筋點!Q70)</f>
        <v/>
      </c>
      <c r="AP70" s="6" t="str">
        <f>IF(最佳化斷筋點!R70="","",最佳化斷筋點!R70)</f>
        <v/>
      </c>
      <c r="AQ70" s="6" t="str">
        <f>IF(最佳化斷筋點!S70="","",最佳化斷筋點!S70)</f>
        <v/>
      </c>
      <c r="AR70" s="6" t="str">
        <f>IF(最佳化斷筋點!T70="","",最佳化斷筋點!T70)</f>
        <v/>
      </c>
      <c r="AS70" s="6" t="str">
        <f>IF(最佳化斷筋點!U70="","",最佳化斷筋點!U70)</f>
        <v/>
      </c>
      <c r="AT70" s="6" t="str">
        <f>IF(最佳化斷筋點!V70="","",最佳化斷筋點!V70)</f>
        <v/>
      </c>
      <c r="AU70" s="6" t="str">
        <f>IF(最佳化斷筋點!W70="","",最佳化斷筋點!W70)</f>
        <v/>
      </c>
      <c r="AV70" s="6" t="str">
        <f>IF(最佳化斷筋點!X70="","",最佳化斷筋點!X70)</f>
        <v/>
      </c>
    </row>
    <row r="71" spans="4:71" x14ac:dyDescent="0.25">
      <c r="D71" s="6" t="s">
        <v>50</v>
      </c>
      <c r="E71" s="6">
        <f t="shared" si="22"/>
        <v>0</v>
      </c>
      <c r="F71" s="6">
        <f t="shared" si="23"/>
        <v>0</v>
      </c>
      <c r="G71" s="6">
        <f t="shared" si="24"/>
        <v>0</v>
      </c>
      <c r="H71" s="6">
        <f t="shared" si="25"/>
        <v>0</v>
      </c>
      <c r="I71" s="6">
        <f t="shared" si="26"/>
        <v>0</v>
      </c>
      <c r="J71" s="6">
        <f t="shared" si="27"/>
        <v>0</v>
      </c>
      <c r="K71" s="6">
        <f t="shared" si="28"/>
        <v>0</v>
      </c>
      <c r="L71" s="6">
        <f t="shared" si="29"/>
        <v>0</v>
      </c>
      <c r="M71" s="6">
        <f t="shared" si="30"/>
        <v>0</v>
      </c>
      <c r="N71" s="6">
        <f t="shared" si="31"/>
        <v>0</v>
      </c>
      <c r="O71" s="6">
        <f t="shared" si="32"/>
        <v>0</v>
      </c>
      <c r="P71" s="6">
        <f t="shared" si="33"/>
        <v>0</v>
      </c>
      <c r="Q71" s="6">
        <f t="shared" si="34"/>
        <v>0</v>
      </c>
      <c r="R71" s="6">
        <f t="shared" si="35"/>
        <v>0</v>
      </c>
      <c r="S71" s="6">
        <f t="shared" si="36"/>
        <v>0</v>
      </c>
      <c r="T71" s="6">
        <f t="shared" si="37"/>
        <v>0</v>
      </c>
      <c r="U71" s="6">
        <f t="shared" si="38"/>
        <v>0</v>
      </c>
      <c r="V71" s="6">
        <f t="shared" si="39"/>
        <v>0</v>
      </c>
      <c r="W71" s="6">
        <f t="shared" si="40"/>
        <v>0</v>
      </c>
      <c r="X71" s="6">
        <f t="shared" si="41"/>
        <v>0</v>
      </c>
      <c r="Y71" s="6">
        <f t="shared" si="42"/>
        <v>0</v>
      </c>
      <c r="AA71" s="6" t="str">
        <f>IF(最佳化斷筋點!C71="","",最佳化斷筋點!C71)</f>
        <v>上層</v>
      </c>
      <c r="AB71" s="6">
        <f>IF(最佳化斷筋點!D71="","",最佳化斷筋點!D71)</f>
        <v>4</v>
      </c>
      <c r="AC71" s="6">
        <f>IF(最佳化斷筋點!E71="","",最佳化斷筋點!E71)</f>
        <v>4</v>
      </c>
      <c r="AD71" s="6">
        <f>IF(最佳化斷筋點!F71="","",最佳化斷筋點!F71)</f>
        <v>4</v>
      </c>
      <c r="AE71" s="6">
        <f>IF(最佳化斷筋點!G71="","",最佳化斷筋點!G71)</f>
        <v>3</v>
      </c>
      <c r="AF71" s="6">
        <f>IF(最佳化斷筋點!H71="","",最佳化斷筋點!H71)</f>
        <v>3</v>
      </c>
      <c r="AG71" s="6">
        <f>IF(最佳化斷筋點!I71="","",最佳化斷筋點!I71)</f>
        <v>3</v>
      </c>
      <c r="AH71" s="6">
        <f>IF(最佳化斷筋點!J71="","",最佳化斷筋點!J71)</f>
        <v>2</v>
      </c>
      <c r="AI71" s="6">
        <f>IF(最佳化斷筋點!K71="","",最佳化斷筋點!K71)</f>
        <v>2</v>
      </c>
      <c r="AJ71" s="6">
        <f>IF(最佳化斷筋點!L71="","",最佳化斷筋點!L71)</f>
        <v>2</v>
      </c>
      <c r="AK71" s="6">
        <f>IF(最佳化斷筋點!M71="","",最佳化斷筋點!M71)</f>
        <v>2</v>
      </c>
      <c r="AL71" s="6">
        <f>IF(最佳化斷筋點!N71="","",最佳化斷筋點!N71)</f>
        <v>2</v>
      </c>
      <c r="AM71" s="6">
        <f>IF(最佳化斷筋點!O71="","",最佳化斷筋點!O71)</f>
        <v>2</v>
      </c>
      <c r="AN71" s="6">
        <f>IF(最佳化斷筋點!P71="","",最佳化斷筋點!P71)</f>
        <v>2</v>
      </c>
      <c r="AO71" s="6">
        <f>IF(最佳化斷筋點!Q71="","",最佳化斷筋點!Q71)</f>
        <v>2</v>
      </c>
      <c r="AP71" s="6">
        <f>IF(最佳化斷筋點!R71="","",最佳化斷筋點!R71)</f>
        <v>2</v>
      </c>
      <c r="AQ71" s="6">
        <f>IF(最佳化斷筋點!S71="","",最佳化斷筋點!S71)</f>
        <v>2</v>
      </c>
      <c r="AR71" s="6">
        <f>IF(最佳化斷筋點!T71="","",最佳化斷筋點!T71)</f>
        <v>3</v>
      </c>
      <c r="AS71" s="6">
        <f>IF(最佳化斷筋點!U71="","",最佳化斷筋點!U71)</f>
        <v>3</v>
      </c>
      <c r="AT71" s="6">
        <f>IF(最佳化斷筋點!V71="","",最佳化斷筋點!V71)</f>
        <v>4</v>
      </c>
      <c r="AU71" s="6">
        <f>IF(最佳化斷筋點!W71="","",最佳化斷筋點!W71)</f>
        <v>4</v>
      </c>
      <c r="AV71" s="6">
        <f>IF(最佳化斷筋點!X71="","",最佳化斷筋點!X71)</f>
        <v>4</v>
      </c>
      <c r="AX71" s="6" t="s">
        <v>50</v>
      </c>
      <c r="AY71" s="6">
        <v>4</v>
      </c>
      <c r="AZ71" s="6">
        <v>4</v>
      </c>
      <c r="BA71" s="6">
        <v>4</v>
      </c>
      <c r="BB71" s="6">
        <v>3</v>
      </c>
      <c r="BC71" s="6">
        <v>3</v>
      </c>
      <c r="BD71" s="6">
        <v>3</v>
      </c>
      <c r="BE71" s="6">
        <v>2</v>
      </c>
      <c r="BF71" s="6">
        <v>2</v>
      </c>
      <c r="BG71" s="6">
        <v>2</v>
      </c>
      <c r="BH71" s="6">
        <v>2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</row>
    <row r="72" spans="4:71" x14ac:dyDescent="0.25">
      <c r="E72" s="6">
        <f t="shared" si="22"/>
        <v>0</v>
      </c>
      <c r="F72" s="6">
        <f t="shared" si="23"/>
        <v>0</v>
      </c>
      <c r="G72" s="6">
        <f t="shared" si="24"/>
        <v>0</v>
      </c>
      <c r="H72" s="6">
        <f t="shared" si="25"/>
        <v>0</v>
      </c>
      <c r="I72" s="6">
        <f t="shared" si="26"/>
        <v>0</v>
      </c>
      <c r="J72" s="6">
        <f t="shared" si="27"/>
        <v>0</v>
      </c>
      <c r="K72" s="6">
        <f t="shared" si="28"/>
        <v>0</v>
      </c>
      <c r="L72" s="6">
        <f t="shared" si="29"/>
        <v>0</v>
      </c>
      <c r="M72" s="6">
        <f t="shared" si="30"/>
        <v>0</v>
      </c>
      <c r="N72" s="6">
        <f t="shared" si="31"/>
        <v>0</v>
      </c>
      <c r="O72" s="6">
        <f t="shared" si="32"/>
        <v>0</v>
      </c>
      <c r="P72" s="6">
        <f t="shared" si="33"/>
        <v>0</v>
      </c>
      <c r="Q72" s="6">
        <f t="shared" si="34"/>
        <v>0</v>
      </c>
      <c r="R72" s="6">
        <f t="shared" si="35"/>
        <v>0</v>
      </c>
      <c r="S72" s="6">
        <f t="shared" si="36"/>
        <v>0</v>
      </c>
      <c r="T72" s="6">
        <f t="shared" si="37"/>
        <v>0</v>
      </c>
      <c r="U72" s="6">
        <f t="shared" si="38"/>
        <v>0</v>
      </c>
      <c r="V72" s="6">
        <f t="shared" si="39"/>
        <v>0</v>
      </c>
      <c r="W72" s="6">
        <f t="shared" si="40"/>
        <v>0</v>
      </c>
      <c r="X72" s="6">
        <f t="shared" si="41"/>
        <v>0</v>
      </c>
      <c r="Y72" s="6">
        <f t="shared" si="42"/>
        <v>0</v>
      </c>
      <c r="AA72" s="6" t="str">
        <f>IF(最佳化斷筋點!C72="","",最佳化斷筋點!C72)</f>
        <v/>
      </c>
      <c r="AB72" s="6" t="str">
        <f>IF(最佳化斷筋點!D72="","",最佳化斷筋點!D72)</f>
        <v/>
      </c>
      <c r="AC72" s="6" t="str">
        <f>IF(最佳化斷筋點!E72="","",最佳化斷筋點!E72)</f>
        <v/>
      </c>
      <c r="AD72" s="6" t="str">
        <f>IF(最佳化斷筋點!F72="","",最佳化斷筋點!F72)</f>
        <v/>
      </c>
      <c r="AE72" s="6" t="str">
        <f>IF(最佳化斷筋點!G72="","",最佳化斷筋點!G72)</f>
        <v/>
      </c>
      <c r="AF72" s="6" t="str">
        <f>IF(最佳化斷筋點!H72="","",最佳化斷筋點!H72)</f>
        <v/>
      </c>
      <c r="AG72" s="6" t="str">
        <f>IF(最佳化斷筋點!I72="","",最佳化斷筋點!I72)</f>
        <v/>
      </c>
      <c r="AH72" s="6" t="str">
        <f>IF(最佳化斷筋點!J72="","",最佳化斷筋點!J72)</f>
        <v/>
      </c>
      <c r="AI72" s="6" t="str">
        <f>IF(最佳化斷筋點!K72="","",最佳化斷筋點!K72)</f>
        <v/>
      </c>
      <c r="AJ72" s="6" t="str">
        <f>IF(最佳化斷筋點!L72="","",最佳化斷筋點!L72)</f>
        <v/>
      </c>
      <c r="AK72" s="6" t="str">
        <f>IF(最佳化斷筋點!M72="","",最佳化斷筋點!M72)</f>
        <v/>
      </c>
      <c r="AL72" s="6" t="str">
        <f>IF(最佳化斷筋點!N72="","",最佳化斷筋點!N72)</f>
        <v/>
      </c>
      <c r="AM72" s="6" t="str">
        <f>IF(最佳化斷筋點!O72="","",最佳化斷筋點!O72)</f>
        <v/>
      </c>
      <c r="AN72" s="6" t="str">
        <f>IF(最佳化斷筋點!P72="","",最佳化斷筋點!P72)</f>
        <v/>
      </c>
      <c r="AO72" s="6" t="str">
        <f>IF(最佳化斷筋點!Q72="","",最佳化斷筋點!Q72)</f>
        <v/>
      </c>
      <c r="AP72" s="6" t="str">
        <f>IF(最佳化斷筋點!R72="","",最佳化斷筋點!R72)</f>
        <v/>
      </c>
      <c r="AQ72" s="6" t="str">
        <f>IF(最佳化斷筋點!S72="","",最佳化斷筋點!S72)</f>
        <v/>
      </c>
      <c r="AR72" s="6" t="str">
        <f>IF(最佳化斷筋點!T72="","",最佳化斷筋點!T72)</f>
        <v/>
      </c>
      <c r="AS72" s="6" t="str">
        <f>IF(最佳化斷筋點!U72="","",最佳化斷筋點!U72)</f>
        <v/>
      </c>
      <c r="AT72" s="6" t="str">
        <f>IF(最佳化斷筋點!V72="","",最佳化斷筋點!V72)</f>
        <v/>
      </c>
      <c r="AU72" s="6" t="str">
        <f>IF(最佳化斷筋點!W72="","",最佳化斷筋點!W72)</f>
        <v/>
      </c>
      <c r="AV72" s="6" t="str">
        <f>IF(最佳化斷筋點!X72="","",最佳化斷筋點!X72)</f>
        <v/>
      </c>
    </row>
    <row r="73" spans="4:71" x14ac:dyDescent="0.25">
      <c r="D73" s="6" t="s">
        <v>51</v>
      </c>
      <c r="E73" s="6">
        <f t="shared" si="22"/>
        <v>0</v>
      </c>
      <c r="F73" s="6">
        <f t="shared" si="23"/>
        <v>0</v>
      </c>
      <c r="G73" s="6">
        <f t="shared" si="24"/>
        <v>0</v>
      </c>
      <c r="H73" s="6">
        <f t="shared" si="25"/>
        <v>0</v>
      </c>
      <c r="I73" s="6">
        <f t="shared" si="26"/>
        <v>0</v>
      </c>
      <c r="J73" s="6">
        <f t="shared" si="27"/>
        <v>0</v>
      </c>
      <c r="K73" s="6">
        <f t="shared" si="28"/>
        <v>0</v>
      </c>
      <c r="L73" s="6">
        <f t="shared" si="29"/>
        <v>0</v>
      </c>
      <c r="M73" s="6">
        <f t="shared" si="30"/>
        <v>0</v>
      </c>
      <c r="N73" s="6">
        <f t="shared" si="31"/>
        <v>0</v>
      </c>
      <c r="O73" s="6">
        <f t="shared" si="32"/>
        <v>0</v>
      </c>
      <c r="P73" s="6">
        <f t="shared" si="33"/>
        <v>0</v>
      </c>
      <c r="Q73" s="6">
        <f t="shared" si="34"/>
        <v>0</v>
      </c>
      <c r="R73" s="6">
        <f t="shared" si="35"/>
        <v>0</v>
      </c>
      <c r="S73" s="6">
        <f t="shared" si="36"/>
        <v>0</v>
      </c>
      <c r="T73" s="6">
        <f t="shared" si="37"/>
        <v>0</v>
      </c>
      <c r="U73" s="6">
        <f t="shared" si="38"/>
        <v>0</v>
      </c>
      <c r="V73" s="6">
        <f t="shared" si="39"/>
        <v>0</v>
      </c>
      <c r="W73" s="6">
        <f t="shared" si="40"/>
        <v>0</v>
      </c>
      <c r="X73" s="6">
        <f t="shared" si="41"/>
        <v>0</v>
      </c>
      <c r="Y73" s="6">
        <f t="shared" si="42"/>
        <v>0</v>
      </c>
      <c r="AA73" s="6" t="str">
        <f>IF(最佳化斷筋點!C73="","",最佳化斷筋點!C73)</f>
        <v>下層</v>
      </c>
      <c r="AB73" s="6">
        <f>IF(最佳化斷筋點!D73="","",最佳化斷筋點!D73)</f>
        <v>3</v>
      </c>
      <c r="AC73" s="6">
        <f>IF(最佳化斷筋點!E73="","",最佳化斷筋點!E73)</f>
        <v>3</v>
      </c>
      <c r="AD73" s="6">
        <f>IF(最佳化斷筋點!F73="","",最佳化斷筋點!F73)</f>
        <v>3</v>
      </c>
      <c r="AE73" s="6">
        <f>IF(最佳化斷筋點!G73="","",最佳化斷筋點!G73)</f>
        <v>3</v>
      </c>
      <c r="AF73" s="6">
        <f>IF(最佳化斷筋點!H73="","",最佳化斷筋點!H73)</f>
        <v>2</v>
      </c>
      <c r="AG73" s="6">
        <f>IF(最佳化斷筋點!I73="","",最佳化斷筋點!I73)</f>
        <v>3</v>
      </c>
      <c r="AH73" s="6">
        <f>IF(最佳化斷筋點!J73="","",最佳化斷筋點!J73)</f>
        <v>3</v>
      </c>
      <c r="AI73" s="6">
        <f>IF(最佳化斷筋點!K73="","",最佳化斷筋點!K73)</f>
        <v>3</v>
      </c>
      <c r="AJ73" s="6">
        <f>IF(最佳化斷筋點!L73="","",最佳化斷筋點!L73)</f>
        <v>3</v>
      </c>
      <c r="AK73" s="6">
        <f>IF(最佳化斷筋點!M73="","",最佳化斷筋點!M73)</f>
        <v>3</v>
      </c>
      <c r="AL73" s="6">
        <f>IF(最佳化斷筋點!N73="","",最佳化斷筋點!N73)</f>
        <v>3</v>
      </c>
      <c r="AM73" s="6">
        <f>IF(最佳化斷筋點!O73="","",最佳化斷筋點!O73)</f>
        <v>3</v>
      </c>
      <c r="AN73" s="6">
        <f>IF(最佳化斷筋點!P73="","",最佳化斷筋點!P73)</f>
        <v>3</v>
      </c>
      <c r="AO73" s="6">
        <f>IF(最佳化斷筋點!Q73="","",最佳化斷筋點!Q73)</f>
        <v>3</v>
      </c>
      <c r="AP73" s="6">
        <f>IF(最佳化斷筋點!R73="","",最佳化斷筋點!R73)</f>
        <v>3</v>
      </c>
      <c r="AQ73" s="6">
        <f>IF(最佳化斷筋點!S73="","",最佳化斷筋點!S73)</f>
        <v>3</v>
      </c>
      <c r="AR73" s="6">
        <f>IF(最佳化斷筋點!T73="","",最佳化斷筋點!T73)</f>
        <v>2</v>
      </c>
      <c r="AS73" s="6">
        <f>IF(最佳化斷筋點!U73="","",最佳化斷筋點!U73)</f>
        <v>3</v>
      </c>
      <c r="AT73" s="6">
        <f>IF(最佳化斷筋點!V73="","",最佳化斷筋點!V73)</f>
        <v>3</v>
      </c>
      <c r="AU73" s="6">
        <f>IF(最佳化斷筋點!W73="","",最佳化斷筋點!W73)</f>
        <v>3</v>
      </c>
      <c r="AV73" s="6">
        <f>IF(最佳化斷筋點!X73="","",最佳化斷筋點!X73)</f>
        <v>3</v>
      </c>
      <c r="AX73" s="6" t="s">
        <v>51</v>
      </c>
      <c r="AY73" s="6">
        <v>3</v>
      </c>
      <c r="AZ73" s="6">
        <v>3</v>
      </c>
      <c r="BA73" s="6">
        <v>3</v>
      </c>
      <c r="BB73" s="6">
        <v>3</v>
      </c>
      <c r="BC73" s="6">
        <v>2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2</v>
      </c>
      <c r="BP73" s="6">
        <v>3</v>
      </c>
      <c r="BQ73" s="6">
        <v>3</v>
      </c>
      <c r="BR73" s="6">
        <v>3</v>
      </c>
      <c r="BS73" s="6">
        <v>3</v>
      </c>
    </row>
    <row r="74" spans="4:71" x14ac:dyDescent="0.25">
      <c r="E74" s="6">
        <f t="shared" si="22"/>
        <v>0</v>
      </c>
      <c r="F74" s="6">
        <f t="shared" si="23"/>
        <v>0</v>
      </c>
      <c r="G74" s="6">
        <f t="shared" si="24"/>
        <v>0</v>
      </c>
      <c r="H74" s="6">
        <f t="shared" si="25"/>
        <v>0</v>
      </c>
      <c r="I74" s="6">
        <f t="shared" si="26"/>
        <v>0</v>
      </c>
      <c r="J74" s="6">
        <f t="shared" si="27"/>
        <v>0</v>
      </c>
      <c r="K74" s="6">
        <f t="shared" si="28"/>
        <v>0</v>
      </c>
      <c r="L74" s="6">
        <f t="shared" si="29"/>
        <v>0</v>
      </c>
      <c r="M74" s="6">
        <f t="shared" si="30"/>
        <v>0</v>
      </c>
      <c r="N74" s="6">
        <f t="shared" si="31"/>
        <v>0</v>
      </c>
      <c r="O74" s="6">
        <f t="shared" si="32"/>
        <v>0</v>
      </c>
      <c r="P74" s="6">
        <f t="shared" si="33"/>
        <v>0</v>
      </c>
      <c r="Q74" s="6">
        <f t="shared" si="34"/>
        <v>0</v>
      </c>
      <c r="R74" s="6">
        <f t="shared" si="35"/>
        <v>0</v>
      </c>
      <c r="S74" s="6">
        <f t="shared" si="36"/>
        <v>0</v>
      </c>
      <c r="T74" s="6">
        <f t="shared" si="37"/>
        <v>0</v>
      </c>
      <c r="U74" s="6">
        <f t="shared" si="38"/>
        <v>0</v>
      </c>
      <c r="V74" s="6">
        <f t="shared" si="39"/>
        <v>0</v>
      </c>
      <c r="W74" s="6">
        <f t="shared" si="40"/>
        <v>0</v>
      </c>
      <c r="X74" s="6">
        <f t="shared" si="41"/>
        <v>0</v>
      </c>
      <c r="Y74" s="6">
        <f t="shared" si="42"/>
        <v>0</v>
      </c>
      <c r="AA74" s="6" t="str">
        <f>IF(最佳化斷筋點!C74="","",最佳化斷筋點!C74)</f>
        <v/>
      </c>
      <c r="AB74" s="6" t="str">
        <f>IF(最佳化斷筋點!D74="","",最佳化斷筋點!D74)</f>
        <v/>
      </c>
      <c r="AC74" s="6" t="str">
        <f>IF(最佳化斷筋點!E74="","",最佳化斷筋點!E74)</f>
        <v/>
      </c>
      <c r="AD74" s="6" t="str">
        <f>IF(最佳化斷筋點!F74="","",最佳化斷筋點!F74)</f>
        <v/>
      </c>
      <c r="AE74" s="6" t="str">
        <f>IF(最佳化斷筋點!G74="","",最佳化斷筋點!G74)</f>
        <v/>
      </c>
      <c r="AF74" s="6" t="str">
        <f>IF(最佳化斷筋點!H74="","",最佳化斷筋點!H74)</f>
        <v/>
      </c>
      <c r="AG74" s="6" t="str">
        <f>IF(最佳化斷筋點!I74="","",最佳化斷筋點!I74)</f>
        <v/>
      </c>
      <c r="AH74" s="6" t="str">
        <f>IF(最佳化斷筋點!J74="","",最佳化斷筋點!J74)</f>
        <v/>
      </c>
      <c r="AI74" s="6" t="str">
        <f>IF(最佳化斷筋點!K74="","",最佳化斷筋點!K74)</f>
        <v/>
      </c>
      <c r="AJ74" s="6" t="str">
        <f>IF(最佳化斷筋點!L74="","",最佳化斷筋點!L74)</f>
        <v/>
      </c>
      <c r="AK74" s="6" t="str">
        <f>IF(最佳化斷筋點!M74="","",最佳化斷筋點!M74)</f>
        <v/>
      </c>
      <c r="AL74" s="6" t="str">
        <f>IF(最佳化斷筋點!N74="","",最佳化斷筋點!N74)</f>
        <v/>
      </c>
      <c r="AM74" s="6" t="str">
        <f>IF(最佳化斷筋點!O74="","",最佳化斷筋點!O74)</f>
        <v/>
      </c>
      <c r="AN74" s="6" t="str">
        <f>IF(最佳化斷筋點!P74="","",最佳化斷筋點!P74)</f>
        <v/>
      </c>
      <c r="AO74" s="6" t="str">
        <f>IF(最佳化斷筋點!Q74="","",最佳化斷筋點!Q74)</f>
        <v/>
      </c>
      <c r="AP74" s="6" t="str">
        <f>IF(最佳化斷筋點!R74="","",最佳化斷筋點!R74)</f>
        <v/>
      </c>
      <c r="AQ74" s="6" t="str">
        <f>IF(最佳化斷筋點!S74="","",最佳化斷筋點!S74)</f>
        <v/>
      </c>
      <c r="AR74" s="6" t="str">
        <f>IF(最佳化斷筋點!T74="","",最佳化斷筋點!T74)</f>
        <v/>
      </c>
      <c r="AS74" s="6" t="str">
        <f>IF(最佳化斷筋點!U74="","",最佳化斷筋點!U74)</f>
        <v/>
      </c>
      <c r="AT74" s="6" t="str">
        <f>IF(最佳化斷筋點!V74="","",最佳化斷筋點!V74)</f>
        <v/>
      </c>
      <c r="AU74" s="6" t="str">
        <f>IF(最佳化斷筋點!W74="","",最佳化斷筋點!W74)</f>
        <v/>
      </c>
      <c r="AV74" s="6" t="str">
        <f>IF(最佳化斷筋點!X74="","",最佳化斷筋點!X74)</f>
        <v/>
      </c>
    </row>
    <row r="75" spans="4:71" x14ac:dyDescent="0.25">
      <c r="D75" s="6" t="s">
        <v>50</v>
      </c>
      <c r="E75" s="6">
        <f t="shared" si="22"/>
        <v>0</v>
      </c>
      <c r="F75" s="6">
        <f t="shared" si="23"/>
        <v>0</v>
      </c>
      <c r="G75" s="6">
        <f t="shared" si="24"/>
        <v>0</v>
      </c>
      <c r="H75" s="6">
        <f t="shared" si="25"/>
        <v>0</v>
      </c>
      <c r="I75" s="6">
        <f t="shared" si="26"/>
        <v>0</v>
      </c>
      <c r="J75" s="6">
        <f t="shared" si="27"/>
        <v>0</v>
      </c>
      <c r="K75" s="6">
        <f t="shared" si="28"/>
        <v>0</v>
      </c>
      <c r="L75" s="6">
        <f t="shared" si="29"/>
        <v>0</v>
      </c>
      <c r="M75" s="6">
        <f t="shared" si="30"/>
        <v>0</v>
      </c>
      <c r="N75" s="6">
        <f t="shared" si="31"/>
        <v>0</v>
      </c>
      <c r="O75" s="6">
        <f t="shared" si="32"/>
        <v>0</v>
      </c>
      <c r="P75" s="6">
        <f t="shared" si="33"/>
        <v>0</v>
      </c>
      <c r="Q75" s="6">
        <f t="shared" si="34"/>
        <v>0</v>
      </c>
      <c r="R75" s="6">
        <f t="shared" si="35"/>
        <v>0</v>
      </c>
      <c r="S75" s="6">
        <f t="shared" si="36"/>
        <v>0</v>
      </c>
      <c r="T75" s="6">
        <f t="shared" si="37"/>
        <v>0</v>
      </c>
      <c r="U75" s="6">
        <f t="shared" si="38"/>
        <v>0</v>
      </c>
      <c r="V75" s="6">
        <f t="shared" si="39"/>
        <v>0</v>
      </c>
      <c r="W75" s="6">
        <f t="shared" si="40"/>
        <v>0</v>
      </c>
      <c r="X75" s="6">
        <f t="shared" si="41"/>
        <v>0</v>
      </c>
      <c r="Y75" s="6">
        <f t="shared" si="42"/>
        <v>0</v>
      </c>
      <c r="AA75" s="6" t="str">
        <f>IF(最佳化斷筋點!C75="","",最佳化斷筋點!C75)</f>
        <v>上層</v>
      </c>
      <c r="AB75" s="6">
        <f>IF(最佳化斷筋點!D75="","",最佳化斷筋點!D75)</f>
        <v>4</v>
      </c>
      <c r="AC75" s="6">
        <f>IF(最佳化斷筋點!E75="","",最佳化斷筋點!E75)</f>
        <v>4</v>
      </c>
      <c r="AD75" s="6">
        <f>IF(最佳化斷筋點!F75="","",最佳化斷筋點!F75)</f>
        <v>4</v>
      </c>
      <c r="AE75" s="6">
        <f>IF(最佳化斷筋點!G75="","",最佳化斷筋點!G75)</f>
        <v>3</v>
      </c>
      <c r="AF75" s="6">
        <f>IF(最佳化斷筋點!H75="","",最佳化斷筋點!H75)</f>
        <v>3</v>
      </c>
      <c r="AG75" s="6">
        <f>IF(最佳化斷筋點!I75="","",最佳化斷筋點!I75)</f>
        <v>3</v>
      </c>
      <c r="AH75" s="6">
        <f>IF(最佳化斷筋點!J75="","",最佳化斷筋點!J75)</f>
        <v>2</v>
      </c>
      <c r="AI75" s="6">
        <f>IF(最佳化斷筋點!K75="","",最佳化斷筋點!K75)</f>
        <v>2</v>
      </c>
      <c r="AJ75" s="6">
        <f>IF(最佳化斷筋點!L75="","",最佳化斷筋點!L75)</f>
        <v>2</v>
      </c>
      <c r="AK75" s="6">
        <f>IF(最佳化斷筋點!M75="","",最佳化斷筋點!M75)</f>
        <v>2</v>
      </c>
      <c r="AL75" s="6">
        <f>IF(最佳化斷筋點!N75="","",最佳化斷筋點!N75)</f>
        <v>2</v>
      </c>
      <c r="AM75" s="6">
        <f>IF(最佳化斷筋點!O75="","",最佳化斷筋點!O75)</f>
        <v>2</v>
      </c>
      <c r="AN75" s="6">
        <f>IF(最佳化斷筋點!P75="","",最佳化斷筋點!P75)</f>
        <v>2</v>
      </c>
      <c r="AO75" s="6">
        <f>IF(最佳化斷筋點!Q75="","",最佳化斷筋點!Q75)</f>
        <v>2</v>
      </c>
      <c r="AP75" s="6">
        <f>IF(最佳化斷筋點!R75="","",最佳化斷筋點!R75)</f>
        <v>2</v>
      </c>
      <c r="AQ75" s="6">
        <f>IF(最佳化斷筋點!S75="","",最佳化斷筋點!S75)</f>
        <v>2</v>
      </c>
      <c r="AR75" s="6">
        <f>IF(最佳化斷筋點!T75="","",最佳化斷筋點!T75)</f>
        <v>3</v>
      </c>
      <c r="AS75" s="6">
        <f>IF(最佳化斷筋點!U75="","",最佳化斷筋點!U75)</f>
        <v>3</v>
      </c>
      <c r="AT75" s="6">
        <f>IF(最佳化斷筋點!V75="","",最佳化斷筋點!V75)</f>
        <v>4</v>
      </c>
      <c r="AU75" s="6">
        <f>IF(最佳化斷筋點!W75="","",最佳化斷筋點!W75)</f>
        <v>4</v>
      </c>
      <c r="AV75" s="6">
        <f>IF(最佳化斷筋點!X75="","",最佳化斷筋點!X75)</f>
        <v>4</v>
      </c>
      <c r="AX75" s="6" t="s">
        <v>50</v>
      </c>
      <c r="AY75" s="6">
        <v>4</v>
      </c>
      <c r="AZ75" s="6">
        <v>4</v>
      </c>
      <c r="BA75" s="6">
        <v>4</v>
      </c>
      <c r="BB75" s="6">
        <v>3</v>
      </c>
      <c r="BC75" s="6">
        <v>3</v>
      </c>
      <c r="BD75" s="6">
        <v>3</v>
      </c>
      <c r="BE75" s="6">
        <v>2</v>
      </c>
      <c r="BF75" s="6">
        <v>2</v>
      </c>
      <c r="BG75" s="6">
        <v>2</v>
      </c>
      <c r="BH75" s="6">
        <v>2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</row>
    <row r="76" spans="4:71" x14ac:dyDescent="0.25">
      <c r="E76" s="6">
        <f t="shared" si="22"/>
        <v>0</v>
      </c>
      <c r="F76" s="6">
        <f t="shared" si="23"/>
        <v>0</v>
      </c>
      <c r="G76" s="6">
        <f t="shared" si="24"/>
        <v>0</v>
      </c>
      <c r="H76" s="6">
        <f t="shared" si="25"/>
        <v>0</v>
      </c>
      <c r="I76" s="6">
        <f t="shared" si="26"/>
        <v>0</v>
      </c>
      <c r="J76" s="6">
        <f t="shared" si="27"/>
        <v>0</v>
      </c>
      <c r="K76" s="6">
        <f t="shared" si="28"/>
        <v>0</v>
      </c>
      <c r="L76" s="6">
        <f t="shared" si="29"/>
        <v>0</v>
      </c>
      <c r="M76" s="6">
        <f t="shared" si="30"/>
        <v>0</v>
      </c>
      <c r="N76" s="6">
        <f t="shared" si="31"/>
        <v>0</v>
      </c>
      <c r="O76" s="6">
        <f t="shared" si="32"/>
        <v>0</v>
      </c>
      <c r="P76" s="6">
        <f t="shared" si="33"/>
        <v>0</v>
      </c>
      <c r="Q76" s="6">
        <f t="shared" si="34"/>
        <v>0</v>
      </c>
      <c r="R76" s="6">
        <f t="shared" si="35"/>
        <v>0</v>
      </c>
      <c r="S76" s="6">
        <f t="shared" si="36"/>
        <v>0</v>
      </c>
      <c r="T76" s="6">
        <f t="shared" si="37"/>
        <v>0</v>
      </c>
      <c r="U76" s="6">
        <f t="shared" si="38"/>
        <v>0</v>
      </c>
      <c r="V76" s="6">
        <f t="shared" si="39"/>
        <v>0</v>
      </c>
      <c r="W76" s="6">
        <f t="shared" si="40"/>
        <v>0</v>
      </c>
      <c r="X76" s="6">
        <f t="shared" si="41"/>
        <v>0</v>
      </c>
      <c r="Y76" s="6">
        <f t="shared" si="42"/>
        <v>0</v>
      </c>
      <c r="AA76" s="6" t="str">
        <f>IF(最佳化斷筋點!C76="","",最佳化斷筋點!C76)</f>
        <v/>
      </c>
      <c r="AB76" s="6" t="str">
        <f>IF(最佳化斷筋點!D76="","",最佳化斷筋點!D76)</f>
        <v/>
      </c>
      <c r="AC76" s="6" t="str">
        <f>IF(最佳化斷筋點!E76="","",最佳化斷筋點!E76)</f>
        <v/>
      </c>
      <c r="AD76" s="6" t="str">
        <f>IF(最佳化斷筋點!F76="","",最佳化斷筋點!F76)</f>
        <v/>
      </c>
      <c r="AE76" s="6" t="str">
        <f>IF(最佳化斷筋點!G76="","",最佳化斷筋點!G76)</f>
        <v/>
      </c>
      <c r="AF76" s="6" t="str">
        <f>IF(最佳化斷筋點!H76="","",最佳化斷筋點!H76)</f>
        <v/>
      </c>
      <c r="AG76" s="6" t="str">
        <f>IF(最佳化斷筋點!I76="","",最佳化斷筋點!I76)</f>
        <v/>
      </c>
      <c r="AH76" s="6" t="str">
        <f>IF(最佳化斷筋點!J76="","",最佳化斷筋點!J76)</f>
        <v/>
      </c>
      <c r="AI76" s="6" t="str">
        <f>IF(最佳化斷筋點!K76="","",最佳化斷筋點!K76)</f>
        <v/>
      </c>
      <c r="AJ76" s="6" t="str">
        <f>IF(最佳化斷筋點!L76="","",最佳化斷筋點!L76)</f>
        <v/>
      </c>
      <c r="AK76" s="6" t="str">
        <f>IF(最佳化斷筋點!M76="","",最佳化斷筋點!M76)</f>
        <v/>
      </c>
      <c r="AL76" s="6" t="str">
        <f>IF(最佳化斷筋點!N76="","",最佳化斷筋點!N76)</f>
        <v/>
      </c>
      <c r="AM76" s="6" t="str">
        <f>IF(最佳化斷筋點!O76="","",最佳化斷筋點!O76)</f>
        <v/>
      </c>
      <c r="AN76" s="6" t="str">
        <f>IF(最佳化斷筋點!P76="","",最佳化斷筋點!P76)</f>
        <v/>
      </c>
      <c r="AO76" s="6" t="str">
        <f>IF(最佳化斷筋點!Q76="","",最佳化斷筋點!Q76)</f>
        <v/>
      </c>
      <c r="AP76" s="6" t="str">
        <f>IF(最佳化斷筋點!R76="","",最佳化斷筋點!R76)</f>
        <v/>
      </c>
      <c r="AQ76" s="6" t="str">
        <f>IF(最佳化斷筋點!S76="","",最佳化斷筋點!S76)</f>
        <v/>
      </c>
      <c r="AR76" s="6" t="str">
        <f>IF(最佳化斷筋點!T76="","",最佳化斷筋點!T76)</f>
        <v/>
      </c>
      <c r="AS76" s="6" t="str">
        <f>IF(最佳化斷筋點!U76="","",最佳化斷筋點!U76)</f>
        <v/>
      </c>
      <c r="AT76" s="6" t="str">
        <f>IF(最佳化斷筋點!V76="","",最佳化斷筋點!V76)</f>
        <v/>
      </c>
      <c r="AU76" s="6" t="str">
        <f>IF(最佳化斷筋點!W76="","",最佳化斷筋點!W76)</f>
        <v/>
      </c>
      <c r="AV76" s="6" t="str">
        <f>IF(最佳化斷筋點!X76="","",最佳化斷筋點!X76)</f>
        <v/>
      </c>
    </row>
    <row r="77" spans="4:71" x14ac:dyDescent="0.25">
      <c r="D77" s="6" t="s">
        <v>51</v>
      </c>
      <c r="E77" s="6">
        <f t="shared" si="22"/>
        <v>0</v>
      </c>
      <c r="F77" s="6">
        <f t="shared" si="23"/>
        <v>0</v>
      </c>
      <c r="G77" s="6">
        <f t="shared" si="24"/>
        <v>0</v>
      </c>
      <c r="H77" s="6">
        <f t="shared" si="25"/>
        <v>0</v>
      </c>
      <c r="I77" s="6">
        <f t="shared" si="26"/>
        <v>0</v>
      </c>
      <c r="J77" s="6">
        <f t="shared" si="27"/>
        <v>0</v>
      </c>
      <c r="K77" s="6">
        <f t="shared" si="28"/>
        <v>0</v>
      </c>
      <c r="L77" s="6">
        <f t="shared" si="29"/>
        <v>0</v>
      </c>
      <c r="M77" s="6">
        <f t="shared" si="30"/>
        <v>0</v>
      </c>
      <c r="N77" s="6">
        <f t="shared" si="31"/>
        <v>0</v>
      </c>
      <c r="O77" s="6">
        <f t="shared" si="32"/>
        <v>0</v>
      </c>
      <c r="P77" s="6">
        <f t="shared" si="33"/>
        <v>0</v>
      </c>
      <c r="Q77" s="6">
        <f t="shared" si="34"/>
        <v>0</v>
      </c>
      <c r="R77" s="6">
        <f t="shared" si="35"/>
        <v>0</v>
      </c>
      <c r="S77" s="6">
        <f t="shared" si="36"/>
        <v>0</v>
      </c>
      <c r="T77" s="6">
        <f t="shared" si="37"/>
        <v>0</v>
      </c>
      <c r="U77" s="6">
        <f t="shared" si="38"/>
        <v>0</v>
      </c>
      <c r="V77" s="6">
        <f t="shared" si="39"/>
        <v>0</v>
      </c>
      <c r="W77" s="6">
        <f t="shared" si="40"/>
        <v>0</v>
      </c>
      <c r="X77" s="6">
        <f t="shared" si="41"/>
        <v>0</v>
      </c>
      <c r="Y77" s="6">
        <f t="shared" si="42"/>
        <v>0</v>
      </c>
      <c r="AA77" s="6" t="str">
        <f>IF(最佳化斷筋點!C77="","",最佳化斷筋點!C77)</f>
        <v>下層</v>
      </c>
      <c r="AB77" s="6">
        <f>IF(最佳化斷筋點!D77="","",最佳化斷筋點!D77)</f>
        <v>3</v>
      </c>
      <c r="AC77" s="6">
        <f>IF(最佳化斷筋點!E77="","",最佳化斷筋點!E77)</f>
        <v>3</v>
      </c>
      <c r="AD77" s="6">
        <f>IF(最佳化斷筋點!F77="","",最佳化斷筋點!F77)</f>
        <v>3</v>
      </c>
      <c r="AE77" s="6">
        <f>IF(最佳化斷筋點!G77="","",最佳化斷筋點!G77)</f>
        <v>3</v>
      </c>
      <c r="AF77" s="6">
        <f>IF(最佳化斷筋點!H77="","",最佳化斷筋點!H77)</f>
        <v>2</v>
      </c>
      <c r="AG77" s="6">
        <f>IF(最佳化斷筋點!I77="","",最佳化斷筋點!I77)</f>
        <v>3</v>
      </c>
      <c r="AH77" s="6">
        <f>IF(最佳化斷筋點!J77="","",最佳化斷筋點!J77)</f>
        <v>3</v>
      </c>
      <c r="AI77" s="6">
        <f>IF(最佳化斷筋點!K77="","",最佳化斷筋點!K77)</f>
        <v>3</v>
      </c>
      <c r="AJ77" s="6">
        <f>IF(最佳化斷筋點!L77="","",最佳化斷筋點!L77)</f>
        <v>3</v>
      </c>
      <c r="AK77" s="6">
        <f>IF(最佳化斷筋點!M77="","",最佳化斷筋點!M77)</f>
        <v>3</v>
      </c>
      <c r="AL77" s="6">
        <f>IF(最佳化斷筋點!N77="","",最佳化斷筋點!N77)</f>
        <v>3</v>
      </c>
      <c r="AM77" s="6">
        <f>IF(最佳化斷筋點!O77="","",最佳化斷筋點!O77)</f>
        <v>3</v>
      </c>
      <c r="AN77" s="6">
        <f>IF(最佳化斷筋點!P77="","",最佳化斷筋點!P77)</f>
        <v>3</v>
      </c>
      <c r="AO77" s="6">
        <f>IF(最佳化斷筋點!Q77="","",最佳化斷筋點!Q77)</f>
        <v>3</v>
      </c>
      <c r="AP77" s="6">
        <f>IF(最佳化斷筋點!R77="","",最佳化斷筋點!R77)</f>
        <v>3</v>
      </c>
      <c r="AQ77" s="6">
        <f>IF(最佳化斷筋點!S77="","",最佳化斷筋點!S77)</f>
        <v>3</v>
      </c>
      <c r="AR77" s="6">
        <f>IF(最佳化斷筋點!T77="","",最佳化斷筋點!T77)</f>
        <v>2</v>
      </c>
      <c r="AS77" s="6">
        <f>IF(最佳化斷筋點!U77="","",最佳化斷筋點!U77)</f>
        <v>3</v>
      </c>
      <c r="AT77" s="6">
        <f>IF(最佳化斷筋點!V77="","",最佳化斷筋點!V77)</f>
        <v>3</v>
      </c>
      <c r="AU77" s="6">
        <f>IF(最佳化斷筋點!W77="","",最佳化斷筋點!W77)</f>
        <v>3</v>
      </c>
      <c r="AV77" s="6">
        <f>IF(最佳化斷筋點!X77="","",最佳化斷筋點!X77)</f>
        <v>3</v>
      </c>
      <c r="AX77" s="6" t="s">
        <v>51</v>
      </c>
      <c r="AY77" s="6">
        <v>3</v>
      </c>
      <c r="AZ77" s="6">
        <v>3</v>
      </c>
      <c r="BA77" s="6">
        <v>3</v>
      </c>
      <c r="BB77" s="6">
        <v>3</v>
      </c>
      <c r="BC77" s="6">
        <v>2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2</v>
      </c>
      <c r="BP77" s="6">
        <v>3</v>
      </c>
      <c r="BQ77" s="6">
        <v>3</v>
      </c>
      <c r="BR77" s="6">
        <v>3</v>
      </c>
      <c r="BS77" s="6">
        <v>3</v>
      </c>
    </row>
    <row r="78" spans="4:71" x14ac:dyDescent="0.25">
      <c r="E78" s="6">
        <f t="shared" si="22"/>
        <v>0</v>
      </c>
      <c r="F78" s="6">
        <f t="shared" si="23"/>
        <v>0</v>
      </c>
      <c r="G78" s="6">
        <f t="shared" si="24"/>
        <v>0</v>
      </c>
      <c r="H78" s="6">
        <f t="shared" si="25"/>
        <v>0</v>
      </c>
      <c r="I78" s="6">
        <f t="shared" si="26"/>
        <v>0</v>
      </c>
      <c r="J78" s="6">
        <f t="shared" si="27"/>
        <v>0</v>
      </c>
      <c r="K78" s="6">
        <f t="shared" si="28"/>
        <v>0</v>
      </c>
      <c r="L78" s="6">
        <f t="shared" si="29"/>
        <v>0</v>
      </c>
      <c r="M78" s="6">
        <f t="shared" si="30"/>
        <v>0</v>
      </c>
      <c r="N78" s="6">
        <f t="shared" si="31"/>
        <v>0</v>
      </c>
      <c r="O78" s="6">
        <f t="shared" si="32"/>
        <v>0</v>
      </c>
      <c r="P78" s="6">
        <f t="shared" si="33"/>
        <v>0</v>
      </c>
      <c r="Q78" s="6">
        <f t="shared" si="34"/>
        <v>0</v>
      </c>
      <c r="R78" s="6">
        <f t="shared" si="35"/>
        <v>0</v>
      </c>
      <c r="S78" s="6">
        <f t="shared" si="36"/>
        <v>0</v>
      </c>
      <c r="T78" s="6">
        <f t="shared" si="37"/>
        <v>0</v>
      </c>
      <c r="U78" s="6">
        <f t="shared" si="38"/>
        <v>0</v>
      </c>
      <c r="V78" s="6">
        <f t="shared" si="39"/>
        <v>0</v>
      </c>
      <c r="W78" s="6">
        <f t="shared" si="40"/>
        <v>0</v>
      </c>
      <c r="X78" s="6">
        <f t="shared" si="41"/>
        <v>0</v>
      </c>
      <c r="Y78" s="6">
        <f t="shared" si="42"/>
        <v>0</v>
      </c>
      <c r="AA78" s="6" t="str">
        <f>IF(最佳化斷筋點!C78="","",最佳化斷筋點!C78)</f>
        <v/>
      </c>
      <c r="AB78" s="6" t="str">
        <f>IF(最佳化斷筋點!D78="","",最佳化斷筋點!D78)</f>
        <v/>
      </c>
      <c r="AC78" s="6" t="str">
        <f>IF(最佳化斷筋點!E78="","",最佳化斷筋點!E78)</f>
        <v/>
      </c>
      <c r="AD78" s="6" t="str">
        <f>IF(最佳化斷筋點!F78="","",最佳化斷筋點!F78)</f>
        <v/>
      </c>
      <c r="AE78" s="6" t="str">
        <f>IF(最佳化斷筋點!G78="","",最佳化斷筋點!G78)</f>
        <v/>
      </c>
      <c r="AF78" s="6" t="str">
        <f>IF(最佳化斷筋點!H78="","",最佳化斷筋點!H78)</f>
        <v/>
      </c>
      <c r="AG78" s="6" t="str">
        <f>IF(最佳化斷筋點!I78="","",最佳化斷筋點!I78)</f>
        <v/>
      </c>
      <c r="AH78" s="6" t="str">
        <f>IF(最佳化斷筋點!J78="","",最佳化斷筋點!J78)</f>
        <v/>
      </c>
      <c r="AI78" s="6" t="str">
        <f>IF(最佳化斷筋點!K78="","",最佳化斷筋點!K78)</f>
        <v/>
      </c>
      <c r="AJ78" s="6" t="str">
        <f>IF(最佳化斷筋點!L78="","",最佳化斷筋點!L78)</f>
        <v/>
      </c>
      <c r="AK78" s="6" t="str">
        <f>IF(最佳化斷筋點!M78="","",最佳化斷筋點!M78)</f>
        <v/>
      </c>
      <c r="AL78" s="6" t="str">
        <f>IF(最佳化斷筋點!N78="","",最佳化斷筋點!N78)</f>
        <v/>
      </c>
      <c r="AM78" s="6" t="str">
        <f>IF(最佳化斷筋點!O78="","",最佳化斷筋點!O78)</f>
        <v/>
      </c>
      <c r="AN78" s="6" t="str">
        <f>IF(最佳化斷筋點!P78="","",最佳化斷筋點!P78)</f>
        <v/>
      </c>
      <c r="AO78" s="6" t="str">
        <f>IF(最佳化斷筋點!Q78="","",最佳化斷筋點!Q78)</f>
        <v/>
      </c>
      <c r="AP78" s="6" t="str">
        <f>IF(最佳化斷筋點!R78="","",最佳化斷筋點!R78)</f>
        <v/>
      </c>
      <c r="AQ78" s="6" t="str">
        <f>IF(最佳化斷筋點!S78="","",最佳化斷筋點!S78)</f>
        <v/>
      </c>
      <c r="AR78" s="6" t="str">
        <f>IF(最佳化斷筋點!T78="","",最佳化斷筋點!T78)</f>
        <v/>
      </c>
      <c r="AS78" s="6" t="str">
        <f>IF(最佳化斷筋點!U78="","",最佳化斷筋點!U78)</f>
        <v/>
      </c>
      <c r="AT78" s="6" t="str">
        <f>IF(最佳化斷筋點!V78="","",最佳化斷筋點!V78)</f>
        <v/>
      </c>
      <c r="AU78" s="6" t="str">
        <f>IF(最佳化斷筋點!W78="","",最佳化斷筋點!W78)</f>
        <v/>
      </c>
      <c r="AV78" s="6" t="str">
        <f>IF(最佳化斷筋點!X78="","",最佳化斷筋點!X78)</f>
        <v/>
      </c>
    </row>
    <row r="79" spans="4:71" x14ac:dyDescent="0.25">
      <c r="D79" s="6" t="s">
        <v>50</v>
      </c>
      <c r="E79" s="6">
        <f t="shared" si="22"/>
        <v>0</v>
      </c>
      <c r="F79" s="6">
        <f t="shared" si="23"/>
        <v>0</v>
      </c>
      <c r="G79" s="6">
        <f t="shared" si="24"/>
        <v>0</v>
      </c>
      <c r="H79" s="6">
        <f t="shared" si="25"/>
        <v>0</v>
      </c>
      <c r="I79" s="6">
        <f t="shared" si="26"/>
        <v>0</v>
      </c>
      <c r="J79" s="6">
        <f t="shared" si="27"/>
        <v>0</v>
      </c>
      <c r="K79" s="6">
        <f t="shared" si="28"/>
        <v>0</v>
      </c>
      <c r="L79" s="6">
        <f t="shared" si="29"/>
        <v>0</v>
      </c>
      <c r="M79" s="6">
        <f t="shared" si="30"/>
        <v>0</v>
      </c>
      <c r="N79" s="6">
        <f t="shared" si="31"/>
        <v>0</v>
      </c>
      <c r="O79" s="6">
        <f t="shared" si="32"/>
        <v>0</v>
      </c>
      <c r="P79" s="6">
        <f t="shared" si="33"/>
        <v>0</v>
      </c>
      <c r="Q79" s="6">
        <f t="shared" si="34"/>
        <v>0</v>
      </c>
      <c r="R79" s="6">
        <f t="shared" si="35"/>
        <v>0</v>
      </c>
      <c r="S79" s="6">
        <f t="shared" si="36"/>
        <v>0</v>
      </c>
      <c r="T79" s="6">
        <f t="shared" si="37"/>
        <v>0</v>
      </c>
      <c r="U79" s="6">
        <f t="shared" si="38"/>
        <v>0</v>
      </c>
      <c r="V79" s="6">
        <f t="shared" si="39"/>
        <v>0</v>
      </c>
      <c r="W79" s="6">
        <f t="shared" si="40"/>
        <v>0</v>
      </c>
      <c r="X79" s="6">
        <f t="shared" si="41"/>
        <v>0</v>
      </c>
      <c r="Y79" s="6">
        <f t="shared" si="42"/>
        <v>0</v>
      </c>
      <c r="AA79" s="6" t="str">
        <f>IF(最佳化斷筋點!C79="","",最佳化斷筋點!C79)</f>
        <v>上層</v>
      </c>
      <c r="AB79" s="6">
        <f>IF(最佳化斷筋點!D79="","",最佳化斷筋點!D79)</f>
        <v>4</v>
      </c>
      <c r="AC79" s="6">
        <f>IF(最佳化斷筋點!E79="","",最佳化斷筋點!E79)</f>
        <v>4</v>
      </c>
      <c r="AD79" s="6">
        <f>IF(最佳化斷筋點!F79="","",最佳化斷筋點!F79)</f>
        <v>4</v>
      </c>
      <c r="AE79" s="6">
        <f>IF(最佳化斷筋點!G79="","",最佳化斷筋點!G79)</f>
        <v>3</v>
      </c>
      <c r="AF79" s="6">
        <f>IF(最佳化斷筋點!H79="","",最佳化斷筋點!H79)</f>
        <v>3</v>
      </c>
      <c r="AG79" s="6">
        <f>IF(最佳化斷筋點!I79="","",最佳化斷筋點!I79)</f>
        <v>3</v>
      </c>
      <c r="AH79" s="6">
        <f>IF(最佳化斷筋點!J79="","",最佳化斷筋點!J79)</f>
        <v>2</v>
      </c>
      <c r="AI79" s="6">
        <f>IF(最佳化斷筋點!K79="","",最佳化斷筋點!K79)</f>
        <v>2</v>
      </c>
      <c r="AJ79" s="6">
        <f>IF(最佳化斷筋點!L79="","",最佳化斷筋點!L79)</f>
        <v>2</v>
      </c>
      <c r="AK79" s="6">
        <f>IF(最佳化斷筋點!M79="","",最佳化斷筋點!M79)</f>
        <v>2</v>
      </c>
      <c r="AL79" s="6">
        <f>IF(最佳化斷筋點!N79="","",最佳化斷筋點!N79)</f>
        <v>2</v>
      </c>
      <c r="AM79" s="6">
        <f>IF(最佳化斷筋點!O79="","",最佳化斷筋點!O79)</f>
        <v>2</v>
      </c>
      <c r="AN79" s="6">
        <f>IF(最佳化斷筋點!P79="","",最佳化斷筋點!P79)</f>
        <v>2</v>
      </c>
      <c r="AO79" s="6">
        <f>IF(最佳化斷筋點!Q79="","",最佳化斷筋點!Q79)</f>
        <v>2</v>
      </c>
      <c r="AP79" s="6">
        <f>IF(最佳化斷筋點!R79="","",最佳化斷筋點!R79)</f>
        <v>2</v>
      </c>
      <c r="AQ79" s="6">
        <f>IF(最佳化斷筋點!S79="","",最佳化斷筋點!S79)</f>
        <v>2</v>
      </c>
      <c r="AR79" s="6">
        <f>IF(最佳化斷筋點!T79="","",最佳化斷筋點!T79)</f>
        <v>3</v>
      </c>
      <c r="AS79" s="6">
        <f>IF(最佳化斷筋點!U79="","",最佳化斷筋點!U79)</f>
        <v>3</v>
      </c>
      <c r="AT79" s="6">
        <f>IF(最佳化斷筋點!V79="","",最佳化斷筋點!V79)</f>
        <v>4</v>
      </c>
      <c r="AU79" s="6">
        <f>IF(最佳化斷筋點!W79="","",最佳化斷筋點!W79)</f>
        <v>4</v>
      </c>
      <c r="AV79" s="6">
        <f>IF(最佳化斷筋點!X79="","",最佳化斷筋點!X79)</f>
        <v>4</v>
      </c>
      <c r="AX79" s="6" t="s">
        <v>50</v>
      </c>
      <c r="AY79" s="6">
        <v>4</v>
      </c>
      <c r="AZ79" s="6">
        <v>4</v>
      </c>
      <c r="BA79" s="6">
        <v>4</v>
      </c>
      <c r="BB79" s="6">
        <v>3</v>
      </c>
      <c r="BC79" s="6">
        <v>3</v>
      </c>
      <c r="BD79" s="6">
        <v>3</v>
      </c>
      <c r="BE79" s="6">
        <v>2</v>
      </c>
      <c r="BF79" s="6">
        <v>2</v>
      </c>
      <c r="BG79" s="6">
        <v>2</v>
      </c>
      <c r="BH79" s="6">
        <v>2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</row>
    <row r="80" spans="4:71" x14ac:dyDescent="0.25">
      <c r="E80" s="6">
        <f t="shared" si="22"/>
        <v>0</v>
      </c>
      <c r="F80" s="6">
        <f t="shared" si="23"/>
        <v>0</v>
      </c>
      <c r="G80" s="6">
        <f t="shared" si="24"/>
        <v>0</v>
      </c>
      <c r="H80" s="6">
        <f t="shared" si="25"/>
        <v>0</v>
      </c>
      <c r="I80" s="6">
        <f t="shared" si="26"/>
        <v>0</v>
      </c>
      <c r="J80" s="6">
        <f t="shared" si="27"/>
        <v>0</v>
      </c>
      <c r="K80" s="6">
        <f t="shared" si="28"/>
        <v>0</v>
      </c>
      <c r="L80" s="6">
        <f t="shared" si="29"/>
        <v>0</v>
      </c>
      <c r="M80" s="6">
        <f t="shared" si="30"/>
        <v>0</v>
      </c>
      <c r="N80" s="6">
        <f t="shared" si="31"/>
        <v>0</v>
      </c>
      <c r="O80" s="6">
        <f t="shared" si="32"/>
        <v>0</v>
      </c>
      <c r="P80" s="6">
        <f t="shared" si="33"/>
        <v>0</v>
      </c>
      <c r="Q80" s="6">
        <f t="shared" si="34"/>
        <v>0</v>
      </c>
      <c r="R80" s="6">
        <f t="shared" si="35"/>
        <v>0</v>
      </c>
      <c r="S80" s="6">
        <f t="shared" si="36"/>
        <v>0</v>
      </c>
      <c r="T80" s="6">
        <f t="shared" si="37"/>
        <v>0</v>
      </c>
      <c r="U80" s="6">
        <f t="shared" si="38"/>
        <v>0</v>
      </c>
      <c r="V80" s="6">
        <f t="shared" si="39"/>
        <v>0</v>
      </c>
      <c r="W80" s="6">
        <f t="shared" si="40"/>
        <v>0</v>
      </c>
      <c r="X80" s="6">
        <f t="shared" si="41"/>
        <v>0</v>
      </c>
      <c r="Y80" s="6">
        <f t="shared" si="42"/>
        <v>0</v>
      </c>
      <c r="AA80" s="6" t="str">
        <f>IF(最佳化斷筋點!C80="","",最佳化斷筋點!C80)</f>
        <v/>
      </c>
      <c r="AB80" s="6" t="str">
        <f>IF(最佳化斷筋點!D80="","",最佳化斷筋點!D80)</f>
        <v/>
      </c>
      <c r="AC80" s="6" t="str">
        <f>IF(最佳化斷筋點!E80="","",最佳化斷筋點!E80)</f>
        <v/>
      </c>
      <c r="AD80" s="6" t="str">
        <f>IF(最佳化斷筋點!F80="","",最佳化斷筋點!F80)</f>
        <v/>
      </c>
      <c r="AE80" s="6" t="str">
        <f>IF(最佳化斷筋點!G80="","",最佳化斷筋點!G80)</f>
        <v/>
      </c>
      <c r="AF80" s="6" t="str">
        <f>IF(最佳化斷筋點!H80="","",最佳化斷筋點!H80)</f>
        <v/>
      </c>
      <c r="AG80" s="6" t="str">
        <f>IF(最佳化斷筋點!I80="","",最佳化斷筋點!I80)</f>
        <v/>
      </c>
      <c r="AH80" s="6" t="str">
        <f>IF(最佳化斷筋點!J80="","",最佳化斷筋點!J80)</f>
        <v/>
      </c>
      <c r="AI80" s="6" t="str">
        <f>IF(最佳化斷筋點!K80="","",最佳化斷筋點!K80)</f>
        <v/>
      </c>
      <c r="AJ80" s="6" t="str">
        <f>IF(最佳化斷筋點!L80="","",最佳化斷筋點!L80)</f>
        <v/>
      </c>
      <c r="AK80" s="6" t="str">
        <f>IF(最佳化斷筋點!M80="","",最佳化斷筋點!M80)</f>
        <v/>
      </c>
      <c r="AL80" s="6" t="str">
        <f>IF(最佳化斷筋點!N80="","",最佳化斷筋點!N80)</f>
        <v/>
      </c>
      <c r="AM80" s="6" t="str">
        <f>IF(最佳化斷筋點!O80="","",最佳化斷筋點!O80)</f>
        <v/>
      </c>
      <c r="AN80" s="6" t="str">
        <f>IF(最佳化斷筋點!P80="","",最佳化斷筋點!P80)</f>
        <v/>
      </c>
      <c r="AO80" s="6" t="str">
        <f>IF(最佳化斷筋點!Q80="","",最佳化斷筋點!Q80)</f>
        <v/>
      </c>
      <c r="AP80" s="6" t="str">
        <f>IF(最佳化斷筋點!R80="","",最佳化斷筋點!R80)</f>
        <v/>
      </c>
      <c r="AQ80" s="6" t="str">
        <f>IF(最佳化斷筋點!S80="","",最佳化斷筋點!S80)</f>
        <v/>
      </c>
      <c r="AR80" s="6" t="str">
        <f>IF(最佳化斷筋點!T80="","",最佳化斷筋點!T80)</f>
        <v/>
      </c>
      <c r="AS80" s="6" t="str">
        <f>IF(最佳化斷筋點!U80="","",最佳化斷筋點!U80)</f>
        <v/>
      </c>
      <c r="AT80" s="6" t="str">
        <f>IF(最佳化斷筋點!V80="","",最佳化斷筋點!V80)</f>
        <v/>
      </c>
      <c r="AU80" s="6" t="str">
        <f>IF(最佳化斷筋點!W80="","",最佳化斷筋點!W80)</f>
        <v/>
      </c>
      <c r="AV80" s="6" t="str">
        <f>IF(最佳化斷筋點!X80="","",最佳化斷筋點!X80)</f>
        <v/>
      </c>
    </row>
    <row r="81" spans="4:71" x14ac:dyDescent="0.25">
      <c r="D81" s="6" t="s">
        <v>51</v>
      </c>
      <c r="E81" s="6">
        <f t="shared" si="22"/>
        <v>0</v>
      </c>
      <c r="F81" s="6">
        <f t="shared" si="23"/>
        <v>0</v>
      </c>
      <c r="G81" s="6">
        <f t="shared" si="24"/>
        <v>0</v>
      </c>
      <c r="H81" s="6">
        <f t="shared" si="25"/>
        <v>0</v>
      </c>
      <c r="I81" s="6">
        <f t="shared" si="26"/>
        <v>0</v>
      </c>
      <c r="J81" s="6">
        <f t="shared" si="27"/>
        <v>0</v>
      </c>
      <c r="K81" s="6">
        <f t="shared" si="28"/>
        <v>0</v>
      </c>
      <c r="L81" s="6">
        <f t="shared" si="29"/>
        <v>0</v>
      </c>
      <c r="M81" s="6">
        <f t="shared" si="30"/>
        <v>0</v>
      </c>
      <c r="N81" s="6">
        <f t="shared" si="31"/>
        <v>0</v>
      </c>
      <c r="O81" s="6">
        <f t="shared" si="32"/>
        <v>0</v>
      </c>
      <c r="P81" s="6">
        <f t="shared" si="33"/>
        <v>0</v>
      </c>
      <c r="Q81" s="6">
        <f t="shared" si="34"/>
        <v>0</v>
      </c>
      <c r="R81" s="6">
        <f t="shared" si="35"/>
        <v>0</v>
      </c>
      <c r="S81" s="6">
        <f t="shared" si="36"/>
        <v>0</v>
      </c>
      <c r="T81" s="6">
        <f t="shared" si="37"/>
        <v>0</v>
      </c>
      <c r="U81" s="6">
        <f t="shared" si="38"/>
        <v>0</v>
      </c>
      <c r="V81" s="6">
        <f t="shared" si="39"/>
        <v>0</v>
      </c>
      <c r="W81" s="6">
        <f t="shared" si="40"/>
        <v>0</v>
      </c>
      <c r="X81" s="6">
        <f t="shared" si="41"/>
        <v>0</v>
      </c>
      <c r="Y81" s="6">
        <f t="shared" si="42"/>
        <v>0</v>
      </c>
      <c r="AA81" s="6" t="str">
        <f>IF(最佳化斷筋點!C81="","",最佳化斷筋點!C81)</f>
        <v>下層</v>
      </c>
      <c r="AB81" s="6">
        <f>IF(最佳化斷筋點!D81="","",最佳化斷筋點!D81)</f>
        <v>3</v>
      </c>
      <c r="AC81" s="6">
        <f>IF(最佳化斷筋點!E81="","",最佳化斷筋點!E81)</f>
        <v>3</v>
      </c>
      <c r="AD81" s="6">
        <f>IF(最佳化斷筋點!F81="","",最佳化斷筋點!F81)</f>
        <v>3</v>
      </c>
      <c r="AE81" s="6">
        <f>IF(最佳化斷筋點!G81="","",最佳化斷筋點!G81)</f>
        <v>3</v>
      </c>
      <c r="AF81" s="6">
        <f>IF(最佳化斷筋點!H81="","",最佳化斷筋點!H81)</f>
        <v>2</v>
      </c>
      <c r="AG81" s="6">
        <f>IF(最佳化斷筋點!I81="","",最佳化斷筋點!I81)</f>
        <v>3</v>
      </c>
      <c r="AH81" s="6">
        <f>IF(最佳化斷筋點!J81="","",最佳化斷筋點!J81)</f>
        <v>3</v>
      </c>
      <c r="AI81" s="6">
        <f>IF(最佳化斷筋點!K81="","",最佳化斷筋點!K81)</f>
        <v>3</v>
      </c>
      <c r="AJ81" s="6">
        <f>IF(最佳化斷筋點!L81="","",最佳化斷筋點!L81)</f>
        <v>3</v>
      </c>
      <c r="AK81" s="6">
        <f>IF(最佳化斷筋點!M81="","",最佳化斷筋點!M81)</f>
        <v>3</v>
      </c>
      <c r="AL81" s="6">
        <f>IF(最佳化斷筋點!N81="","",最佳化斷筋點!N81)</f>
        <v>3</v>
      </c>
      <c r="AM81" s="6">
        <f>IF(最佳化斷筋點!O81="","",最佳化斷筋點!O81)</f>
        <v>3</v>
      </c>
      <c r="AN81" s="6">
        <f>IF(最佳化斷筋點!P81="","",最佳化斷筋點!P81)</f>
        <v>3</v>
      </c>
      <c r="AO81" s="6">
        <f>IF(最佳化斷筋點!Q81="","",最佳化斷筋點!Q81)</f>
        <v>3</v>
      </c>
      <c r="AP81" s="6">
        <f>IF(最佳化斷筋點!R81="","",最佳化斷筋點!R81)</f>
        <v>3</v>
      </c>
      <c r="AQ81" s="6">
        <f>IF(最佳化斷筋點!S81="","",最佳化斷筋點!S81)</f>
        <v>3</v>
      </c>
      <c r="AR81" s="6">
        <f>IF(最佳化斷筋點!T81="","",最佳化斷筋點!T81)</f>
        <v>2</v>
      </c>
      <c r="AS81" s="6">
        <f>IF(最佳化斷筋點!U81="","",最佳化斷筋點!U81)</f>
        <v>3</v>
      </c>
      <c r="AT81" s="6">
        <f>IF(最佳化斷筋點!V81="","",最佳化斷筋點!V81)</f>
        <v>3</v>
      </c>
      <c r="AU81" s="6">
        <f>IF(最佳化斷筋點!W81="","",最佳化斷筋點!W81)</f>
        <v>3</v>
      </c>
      <c r="AV81" s="6">
        <f>IF(最佳化斷筋點!X81="","",最佳化斷筋點!X81)</f>
        <v>3</v>
      </c>
      <c r="AX81" s="6" t="s">
        <v>51</v>
      </c>
      <c r="AY81" s="6">
        <v>3</v>
      </c>
      <c r="AZ81" s="6">
        <v>3</v>
      </c>
      <c r="BA81" s="6">
        <v>3</v>
      </c>
      <c r="BB81" s="6">
        <v>3</v>
      </c>
      <c r="BC81" s="6">
        <v>2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2</v>
      </c>
      <c r="BP81" s="6">
        <v>3</v>
      </c>
      <c r="BQ81" s="6">
        <v>3</v>
      </c>
      <c r="BR81" s="6">
        <v>3</v>
      </c>
      <c r="BS81" s="6">
        <v>3</v>
      </c>
    </row>
    <row r="82" spans="4:71" x14ac:dyDescent="0.25">
      <c r="E82" s="6">
        <f t="shared" si="22"/>
        <v>0</v>
      </c>
      <c r="F82" s="6">
        <f t="shared" si="23"/>
        <v>0</v>
      </c>
      <c r="G82" s="6">
        <f t="shared" si="24"/>
        <v>0</v>
      </c>
      <c r="H82" s="6">
        <f t="shared" si="25"/>
        <v>0</v>
      </c>
      <c r="I82" s="6">
        <f t="shared" si="26"/>
        <v>0</v>
      </c>
      <c r="J82" s="6">
        <f t="shared" si="27"/>
        <v>0</v>
      </c>
      <c r="K82" s="6">
        <f t="shared" si="28"/>
        <v>0</v>
      </c>
      <c r="L82" s="6">
        <f t="shared" si="29"/>
        <v>0</v>
      </c>
      <c r="M82" s="6">
        <f t="shared" si="30"/>
        <v>0</v>
      </c>
      <c r="N82" s="6">
        <f t="shared" si="31"/>
        <v>0</v>
      </c>
      <c r="O82" s="6">
        <f t="shared" si="32"/>
        <v>0</v>
      </c>
      <c r="P82" s="6">
        <f t="shared" si="33"/>
        <v>0</v>
      </c>
      <c r="Q82" s="6">
        <f t="shared" si="34"/>
        <v>0</v>
      </c>
      <c r="R82" s="6">
        <f t="shared" si="35"/>
        <v>0</v>
      </c>
      <c r="S82" s="6">
        <f t="shared" si="36"/>
        <v>0</v>
      </c>
      <c r="T82" s="6">
        <f t="shared" si="37"/>
        <v>0</v>
      </c>
      <c r="U82" s="6">
        <f t="shared" si="38"/>
        <v>0</v>
      </c>
      <c r="V82" s="6">
        <f t="shared" si="39"/>
        <v>0</v>
      </c>
      <c r="W82" s="6">
        <f t="shared" si="40"/>
        <v>0</v>
      </c>
      <c r="X82" s="6">
        <f t="shared" si="41"/>
        <v>0</v>
      </c>
      <c r="Y82" s="6">
        <f t="shared" si="42"/>
        <v>0</v>
      </c>
      <c r="AA82" s="6" t="str">
        <f>IF(最佳化斷筋點!C82="","",最佳化斷筋點!C82)</f>
        <v/>
      </c>
      <c r="AB82" s="6" t="str">
        <f>IF(最佳化斷筋點!D82="","",最佳化斷筋點!D82)</f>
        <v/>
      </c>
      <c r="AC82" s="6" t="str">
        <f>IF(最佳化斷筋點!E82="","",最佳化斷筋點!E82)</f>
        <v/>
      </c>
      <c r="AD82" s="6" t="str">
        <f>IF(最佳化斷筋點!F82="","",最佳化斷筋點!F82)</f>
        <v/>
      </c>
      <c r="AE82" s="6" t="str">
        <f>IF(最佳化斷筋點!G82="","",最佳化斷筋點!G82)</f>
        <v/>
      </c>
      <c r="AF82" s="6" t="str">
        <f>IF(最佳化斷筋點!H82="","",最佳化斷筋點!H82)</f>
        <v/>
      </c>
      <c r="AG82" s="6" t="str">
        <f>IF(最佳化斷筋點!I82="","",最佳化斷筋點!I82)</f>
        <v/>
      </c>
      <c r="AH82" s="6" t="str">
        <f>IF(最佳化斷筋點!J82="","",最佳化斷筋點!J82)</f>
        <v/>
      </c>
      <c r="AI82" s="6" t="str">
        <f>IF(最佳化斷筋點!K82="","",最佳化斷筋點!K82)</f>
        <v/>
      </c>
      <c r="AJ82" s="6" t="str">
        <f>IF(最佳化斷筋點!L82="","",最佳化斷筋點!L82)</f>
        <v/>
      </c>
      <c r="AK82" s="6" t="str">
        <f>IF(最佳化斷筋點!M82="","",最佳化斷筋點!M82)</f>
        <v/>
      </c>
      <c r="AL82" s="6" t="str">
        <f>IF(最佳化斷筋點!N82="","",最佳化斷筋點!N82)</f>
        <v/>
      </c>
      <c r="AM82" s="6" t="str">
        <f>IF(最佳化斷筋點!O82="","",最佳化斷筋點!O82)</f>
        <v/>
      </c>
      <c r="AN82" s="6" t="str">
        <f>IF(最佳化斷筋點!P82="","",最佳化斷筋點!P82)</f>
        <v/>
      </c>
      <c r="AO82" s="6" t="str">
        <f>IF(最佳化斷筋點!Q82="","",最佳化斷筋點!Q82)</f>
        <v/>
      </c>
      <c r="AP82" s="6" t="str">
        <f>IF(最佳化斷筋點!R82="","",最佳化斷筋點!R82)</f>
        <v/>
      </c>
      <c r="AQ82" s="6" t="str">
        <f>IF(最佳化斷筋點!S82="","",最佳化斷筋點!S82)</f>
        <v/>
      </c>
      <c r="AR82" s="6" t="str">
        <f>IF(最佳化斷筋點!T82="","",最佳化斷筋點!T82)</f>
        <v/>
      </c>
      <c r="AS82" s="6" t="str">
        <f>IF(最佳化斷筋點!U82="","",最佳化斷筋點!U82)</f>
        <v/>
      </c>
      <c r="AT82" s="6" t="str">
        <f>IF(最佳化斷筋點!V82="","",最佳化斷筋點!V82)</f>
        <v/>
      </c>
      <c r="AU82" s="6" t="str">
        <f>IF(最佳化斷筋點!W82="","",最佳化斷筋點!W82)</f>
        <v/>
      </c>
      <c r="AV82" s="6" t="str">
        <f>IF(最佳化斷筋點!X82="","",最佳化斷筋點!X82)</f>
        <v/>
      </c>
    </row>
    <row r="83" spans="4:71" x14ac:dyDescent="0.25">
      <c r="D83" s="6" t="s">
        <v>50</v>
      </c>
      <c r="E83" s="6">
        <f t="shared" si="22"/>
        <v>0</v>
      </c>
      <c r="F83" s="6">
        <f t="shared" si="23"/>
        <v>0</v>
      </c>
      <c r="G83" s="6">
        <f t="shared" si="24"/>
        <v>0</v>
      </c>
      <c r="H83" s="6">
        <f t="shared" si="25"/>
        <v>0</v>
      </c>
      <c r="I83" s="6">
        <f t="shared" si="26"/>
        <v>0</v>
      </c>
      <c r="J83" s="6">
        <f t="shared" si="27"/>
        <v>0</v>
      </c>
      <c r="K83" s="6">
        <f t="shared" si="28"/>
        <v>0</v>
      </c>
      <c r="L83" s="6">
        <f t="shared" si="29"/>
        <v>0</v>
      </c>
      <c r="M83" s="6">
        <f t="shared" si="30"/>
        <v>0</v>
      </c>
      <c r="N83" s="6">
        <f t="shared" si="31"/>
        <v>0</v>
      </c>
      <c r="O83" s="6">
        <f t="shared" si="32"/>
        <v>0</v>
      </c>
      <c r="P83" s="6">
        <f t="shared" si="33"/>
        <v>0</v>
      </c>
      <c r="Q83" s="6">
        <f t="shared" si="34"/>
        <v>0</v>
      </c>
      <c r="R83" s="6">
        <f t="shared" si="35"/>
        <v>0</v>
      </c>
      <c r="S83" s="6">
        <f t="shared" si="36"/>
        <v>0</v>
      </c>
      <c r="T83" s="6">
        <f t="shared" si="37"/>
        <v>0</v>
      </c>
      <c r="U83" s="6">
        <f t="shared" si="38"/>
        <v>0</v>
      </c>
      <c r="V83" s="6">
        <f t="shared" si="39"/>
        <v>0</v>
      </c>
      <c r="W83" s="6">
        <f t="shared" si="40"/>
        <v>0</v>
      </c>
      <c r="X83" s="6">
        <f t="shared" si="41"/>
        <v>0</v>
      </c>
      <c r="Y83" s="6">
        <f t="shared" si="42"/>
        <v>0</v>
      </c>
      <c r="AA83" s="6" t="str">
        <f>IF(最佳化斷筋點!C83="","",最佳化斷筋點!C83)</f>
        <v>上層</v>
      </c>
      <c r="AB83" s="6">
        <f>IF(最佳化斷筋點!D83="","",最佳化斷筋點!D83)</f>
        <v>4</v>
      </c>
      <c r="AC83" s="6">
        <f>IF(最佳化斷筋點!E83="","",最佳化斷筋點!E83)</f>
        <v>4</v>
      </c>
      <c r="AD83" s="6">
        <f>IF(最佳化斷筋點!F83="","",最佳化斷筋點!F83)</f>
        <v>4</v>
      </c>
      <c r="AE83" s="6">
        <f>IF(最佳化斷筋點!G83="","",最佳化斷筋點!G83)</f>
        <v>3</v>
      </c>
      <c r="AF83" s="6">
        <f>IF(最佳化斷筋點!H83="","",最佳化斷筋點!H83)</f>
        <v>3</v>
      </c>
      <c r="AG83" s="6">
        <f>IF(最佳化斷筋點!I83="","",最佳化斷筋點!I83)</f>
        <v>3</v>
      </c>
      <c r="AH83" s="6">
        <f>IF(最佳化斷筋點!J83="","",最佳化斷筋點!J83)</f>
        <v>2</v>
      </c>
      <c r="AI83" s="6">
        <f>IF(最佳化斷筋點!K83="","",最佳化斷筋點!K83)</f>
        <v>2</v>
      </c>
      <c r="AJ83" s="6">
        <f>IF(最佳化斷筋點!L83="","",最佳化斷筋點!L83)</f>
        <v>2</v>
      </c>
      <c r="AK83" s="6">
        <f>IF(最佳化斷筋點!M83="","",最佳化斷筋點!M83)</f>
        <v>2</v>
      </c>
      <c r="AL83" s="6">
        <f>IF(最佳化斷筋點!N83="","",最佳化斷筋點!N83)</f>
        <v>2</v>
      </c>
      <c r="AM83" s="6">
        <f>IF(最佳化斷筋點!O83="","",最佳化斷筋點!O83)</f>
        <v>2</v>
      </c>
      <c r="AN83" s="6">
        <f>IF(最佳化斷筋點!P83="","",最佳化斷筋點!P83)</f>
        <v>2</v>
      </c>
      <c r="AO83" s="6">
        <f>IF(最佳化斷筋點!Q83="","",最佳化斷筋點!Q83)</f>
        <v>2</v>
      </c>
      <c r="AP83" s="6">
        <f>IF(最佳化斷筋點!R83="","",最佳化斷筋點!R83)</f>
        <v>2</v>
      </c>
      <c r="AQ83" s="6">
        <f>IF(最佳化斷筋點!S83="","",最佳化斷筋點!S83)</f>
        <v>2</v>
      </c>
      <c r="AR83" s="6">
        <f>IF(最佳化斷筋點!T83="","",最佳化斷筋點!T83)</f>
        <v>3</v>
      </c>
      <c r="AS83" s="6">
        <f>IF(最佳化斷筋點!U83="","",最佳化斷筋點!U83)</f>
        <v>3</v>
      </c>
      <c r="AT83" s="6">
        <f>IF(最佳化斷筋點!V83="","",最佳化斷筋點!V83)</f>
        <v>4</v>
      </c>
      <c r="AU83" s="6">
        <f>IF(最佳化斷筋點!W83="","",最佳化斷筋點!W83)</f>
        <v>4</v>
      </c>
      <c r="AV83" s="6">
        <f>IF(最佳化斷筋點!X83="","",最佳化斷筋點!X83)</f>
        <v>4</v>
      </c>
      <c r="AX83" s="6" t="s">
        <v>50</v>
      </c>
      <c r="AY83" s="6">
        <v>4</v>
      </c>
      <c r="AZ83" s="6">
        <v>4</v>
      </c>
      <c r="BA83" s="6">
        <v>4</v>
      </c>
      <c r="BB83" s="6">
        <v>3</v>
      </c>
      <c r="BC83" s="6">
        <v>3</v>
      </c>
      <c r="BD83" s="6">
        <v>3</v>
      </c>
      <c r="BE83" s="6">
        <v>2</v>
      </c>
      <c r="BF83" s="6">
        <v>2</v>
      </c>
      <c r="BG83" s="6">
        <v>2</v>
      </c>
      <c r="BH83" s="6">
        <v>2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</row>
    <row r="84" spans="4:71" x14ac:dyDescent="0.25">
      <c r="E84" s="6">
        <f t="shared" si="22"/>
        <v>0</v>
      </c>
      <c r="F84" s="6">
        <f t="shared" si="23"/>
        <v>0</v>
      </c>
      <c r="G84" s="6">
        <f t="shared" si="24"/>
        <v>0</v>
      </c>
      <c r="H84" s="6">
        <f t="shared" si="25"/>
        <v>0</v>
      </c>
      <c r="I84" s="6">
        <f t="shared" si="26"/>
        <v>0</v>
      </c>
      <c r="J84" s="6">
        <f t="shared" si="27"/>
        <v>0</v>
      </c>
      <c r="K84" s="6">
        <f t="shared" si="28"/>
        <v>0</v>
      </c>
      <c r="L84" s="6">
        <f t="shared" si="29"/>
        <v>0</v>
      </c>
      <c r="M84" s="6">
        <f t="shared" si="30"/>
        <v>0</v>
      </c>
      <c r="N84" s="6">
        <f t="shared" si="31"/>
        <v>0</v>
      </c>
      <c r="O84" s="6">
        <f t="shared" si="32"/>
        <v>0</v>
      </c>
      <c r="P84" s="6">
        <f t="shared" si="33"/>
        <v>0</v>
      </c>
      <c r="Q84" s="6">
        <f t="shared" si="34"/>
        <v>0</v>
      </c>
      <c r="R84" s="6">
        <f t="shared" si="35"/>
        <v>0</v>
      </c>
      <c r="S84" s="6">
        <f t="shared" si="36"/>
        <v>0</v>
      </c>
      <c r="T84" s="6">
        <f t="shared" si="37"/>
        <v>0</v>
      </c>
      <c r="U84" s="6">
        <f t="shared" si="38"/>
        <v>0</v>
      </c>
      <c r="V84" s="6">
        <f t="shared" si="39"/>
        <v>0</v>
      </c>
      <c r="W84" s="6">
        <f t="shared" si="40"/>
        <v>0</v>
      </c>
      <c r="X84" s="6">
        <f t="shared" si="41"/>
        <v>0</v>
      </c>
      <c r="Y84" s="6">
        <f t="shared" si="42"/>
        <v>0</v>
      </c>
      <c r="AA84" s="6" t="str">
        <f>IF(最佳化斷筋點!C84="","",最佳化斷筋點!C84)</f>
        <v/>
      </c>
      <c r="AB84" s="6" t="str">
        <f>IF(最佳化斷筋點!D84="","",最佳化斷筋點!D84)</f>
        <v/>
      </c>
      <c r="AC84" s="6" t="str">
        <f>IF(最佳化斷筋點!E84="","",最佳化斷筋點!E84)</f>
        <v/>
      </c>
      <c r="AD84" s="6" t="str">
        <f>IF(最佳化斷筋點!F84="","",最佳化斷筋點!F84)</f>
        <v/>
      </c>
      <c r="AE84" s="6" t="str">
        <f>IF(最佳化斷筋點!G84="","",最佳化斷筋點!G84)</f>
        <v/>
      </c>
      <c r="AF84" s="6" t="str">
        <f>IF(最佳化斷筋點!H84="","",最佳化斷筋點!H84)</f>
        <v/>
      </c>
      <c r="AG84" s="6" t="str">
        <f>IF(最佳化斷筋點!I84="","",最佳化斷筋點!I84)</f>
        <v/>
      </c>
      <c r="AH84" s="6" t="str">
        <f>IF(最佳化斷筋點!J84="","",最佳化斷筋點!J84)</f>
        <v/>
      </c>
      <c r="AI84" s="6" t="str">
        <f>IF(最佳化斷筋點!K84="","",最佳化斷筋點!K84)</f>
        <v/>
      </c>
      <c r="AJ84" s="6" t="str">
        <f>IF(最佳化斷筋點!L84="","",最佳化斷筋點!L84)</f>
        <v/>
      </c>
      <c r="AK84" s="6" t="str">
        <f>IF(最佳化斷筋點!M84="","",最佳化斷筋點!M84)</f>
        <v/>
      </c>
      <c r="AL84" s="6" t="str">
        <f>IF(最佳化斷筋點!N84="","",最佳化斷筋點!N84)</f>
        <v/>
      </c>
      <c r="AM84" s="6" t="str">
        <f>IF(最佳化斷筋點!O84="","",最佳化斷筋點!O84)</f>
        <v/>
      </c>
      <c r="AN84" s="6" t="str">
        <f>IF(最佳化斷筋點!P84="","",最佳化斷筋點!P84)</f>
        <v/>
      </c>
      <c r="AO84" s="6" t="str">
        <f>IF(最佳化斷筋點!Q84="","",最佳化斷筋點!Q84)</f>
        <v/>
      </c>
      <c r="AP84" s="6" t="str">
        <f>IF(最佳化斷筋點!R84="","",最佳化斷筋點!R84)</f>
        <v/>
      </c>
      <c r="AQ84" s="6" t="str">
        <f>IF(最佳化斷筋點!S84="","",最佳化斷筋點!S84)</f>
        <v/>
      </c>
      <c r="AR84" s="6" t="str">
        <f>IF(最佳化斷筋點!T84="","",最佳化斷筋點!T84)</f>
        <v/>
      </c>
      <c r="AS84" s="6" t="str">
        <f>IF(最佳化斷筋點!U84="","",最佳化斷筋點!U84)</f>
        <v/>
      </c>
      <c r="AT84" s="6" t="str">
        <f>IF(最佳化斷筋點!V84="","",最佳化斷筋點!V84)</f>
        <v/>
      </c>
      <c r="AU84" s="6" t="str">
        <f>IF(最佳化斷筋點!W84="","",最佳化斷筋點!W84)</f>
        <v/>
      </c>
      <c r="AV84" s="6" t="str">
        <f>IF(最佳化斷筋點!X84="","",最佳化斷筋點!X84)</f>
        <v/>
      </c>
    </row>
    <row r="85" spans="4:71" x14ac:dyDescent="0.25">
      <c r="D85" s="6" t="s">
        <v>51</v>
      </c>
      <c r="E85" s="6">
        <f t="shared" si="22"/>
        <v>0</v>
      </c>
      <c r="F85" s="6">
        <f t="shared" si="23"/>
        <v>0</v>
      </c>
      <c r="G85" s="6">
        <f t="shared" si="24"/>
        <v>0</v>
      </c>
      <c r="H85" s="6">
        <f t="shared" si="25"/>
        <v>0</v>
      </c>
      <c r="I85" s="6">
        <f t="shared" si="26"/>
        <v>0</v>
      </c>
      <c r="J85" s="6">
        <f t="shared" si="27"/>
        <v>0</v>
      </c>
      <c r="K85" s="6">
        <f t="shared" si="28"/>
        <v>0</v>
      </c>
      <c r="L85" s="6">
        <f t="shared" si="29"/>
        <v>0</v>
      </c>
      <c r="M85" s="6">
        <f t="shared" si="30"/>
        <v>0</v>
      </c>
      <c r="N85" s="6">
        <f t="shared" si="31"/>
        <v>0</v>
      </c>
      <c r="O85" s="6">
        <f t="shared" si="32"/>
        <v>0</v>
      </c>
      <c r="P85" s="6">
        <f t="shared" si="33"/>
        <v>0</v>
      </c>
      <c r="Q85" s="6">
        <f t="shared" si="34"/>
        <v>0</v>
      </c>
      <c r="R85" s="6">
        <f t="shared" si="35"/>
        <v>0</v>
      </c>
      <c r="S85" s="6">
        <f t="shared" si="36"/>
        <v>0</v>
      </c>
      <c r="T85" s="6">
        <f t="shared" si="37"/>
        <v>0</v>
      </c>
      <c r="U85" s="6">
        <f t="shared" si="38"/>
        <v>0</v>
      </c>
      <c r="V85" s="6">
        <f t="shared" si="39"/>
        <v>0</v>
      </c>
      <c r="W85" s="6">
        <f t="shared" si="40"/>
        <v>0</v>
      </c>
      <c r="X85" s="6">
        <f t="shared" si="41"/>
        <v>0</v>
      </c>
      <c r="Y85" s="6">
        <f t="shared" si="42"/>
        <v>0</v>
      </c>
      <c r="AA85" s="6" t="str">
        <f>IF(最佳化斷筋點!C85="","",最佳化斷筋點!C85)</f>
        <v>下層</v>
      </c>
      <c r="AB85" s="6">
        <f>IF(最佳化斷筋點!D85="","",最佳化斷筋點!D85)</f>
        <v>3</v>
      </c>
      <c r="AC85" s="6">
        <f>IF(最佳化斷筋點!E85="","",最佳化斷筋點!E85)</f>
        <v>3</v>
      </c>
      <c r="AD85" s="6">
        <f>IF(最佳化斷筋點!F85="","",最佳化斷筋點!F85)</f>
        <v>3</v>
      </c>
      <c r="AE85" s="6">
        <f>IF(最佳化斷筋點!G85="","",最佳化斷筋點!G85)</f>
        <v>3</v>
      </c>
      <c r="AF85" s="6">
        <f>IF(最佳化斷筋點!H85="","",最佳化斷筋點!H85)</f>
        <v>2</v>
      </c>
      <c r="AG85" s="6">
        <f>IF(最佳化斷筋點!I85="","",最佳化斷筋點!I85)</f>
        <v>3</v>
      </c>
      <c r="AH85" s="6">
        <f>IF(最佳化斷筋點!J85="","",最佳化斷筋點!J85)</f>
        <v>3</v>
      </c>
      <c r="AI85" s="6">
        <f>IF(最佳化斷筋點!K85="","",最佳化斷筋點!K85)</f>
        <v>3</v>
      </c>
      <c r="AJ85" s="6">
        <f>IF(最佳化斷筋點!L85="","",最佳化斷筋點!L85)</f>
        <v>3</v>
      </c>
      <c r="AK85" s="6">
        <f>IF(最佳化斷筋點!M85="","",最佳化斷筋點!M85)</f>
        <v>3</v>
      </c>
      <c r="AL85" s="6">
        <f>IF(最佳化斷筋點!N85="","",最佳化斷筋點!N85)</f>
        <v>3</v>
      </c>
      <c r="AM85" s="6">
        <f>IF(最佳化斷筋點!O85="","",最佳化斷筋點!O85)</f>
        <v>3</v>
      </c>
      <c r="AN85" s="6">
        <f>IF(最佳化斷筋點!P85="","",最佳化斷筋點!P85)</f>
        <v>3</v>
      </c>
      <c r="AO85" s="6">
        <f>IF(最佳化斷筋點!Q85="","",最佳化斷筋點!Q85)</f>
        <v>3</v>
      </c>
      <c r="AP85" s="6">
        <f>IF(最佳化斷筋點!R85="","",最佳化斷筋點!R85)</f>
        <v>3</v>
      </c>
      <c r="AQ85" s="6">
        <f>IF(最佳化斷筋點!S85="","",最佳化斷筋點!S85)</f>
        <v>3</v>
      </c>
      <c r="AR85" s="6">
        <f>IF(最佳化斷筋點!T85="","",最佳化斷筋點!T85)</f>
        <v>2</v>
      </c>
      <c r="AS85" s="6">
        <f>IF(最佳化斷筋點!U85="","",最佳化斷筋點!U85)</f>
        <v>3</v>
      </c>
      <c r="AT85" s="6">
        <f>IF(最佳化斷筋點!V85="","",最佳化斷筋點!V85)</f>
        <v>3</v>
      </c>
      <c r="AU85" s="6">
        <f>IF(最佳化斷筋點!W85="","",最佳化斷筋點!W85)</f>
        <v>3</v>
      </c>
      <c r="AV85" s="6">
        <f>IF(最佳化斷筋點!X85="","",最佳化斷筋點!X85)</f>
        <v>3</v>
      </c>
      <c r="AX85" s="6" t="s">
        <v>51</v>
      </c>
      <c r="AY85" s="6">
        <v>3</v>
      </c>
      <c r="AZ85" s="6">
        <v>3</v>
      </c>
      <c r="BA85" s="6">
        <v>3</v>
      </c>
      <c r="BB85" s="6">
        <v>3</v>
      </c>
      <c r="BC85" s="6">
        <v>2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2</v>
      </c>
      <c r="BP85" s="6">
        <v>3</v>
      </c>
      <c r="BQ85" s="6">
        <v>3</v>
      </c>
      <c r="BR85" s="6">
        <v>3</v>
      </c>
      <c r="BS85" s="6">
        <v>3</v>
      </c>
    </row>
    <row r="86" spans="4:71" x14ac:dyDescent="0.25">
      <c r="E86" s="6">
        <f t="shared" si="22"/>
        <v>0</v>
      </c>
      <c r="F86" s="6">
        <f t="shared" si="23"/>
        <v>0</v>
      </c>
      <c r="G86" s="6">
        <f t="shared" si="24"/>
        <v>0</v>
      </c>
      <c r="H86" s="6">
        <f t="shared" si="25"/>
        <v>0</v>
      </c>
      <c r="I86" s="6">
        <f t="shared" si="26"/>
        <v>0</v>
      </c>
      <c r="J86" s="6">
        <f t="shared" si="27"/>
        <v>0</v>
      </c>
      <c r="K86" s="6">
        <f t="shared" si="28"/>
        <v>0</v>
      </c>
      <c r="L86" s="6">
        <f t="shared" si="29"/>
        <v>0</v>
      </c>
      <c r="M86" s="6">
        <f t="shared" si="30"/>
        <v>0</v>
      </c>
      <c r="N86" s="6">
        <f t="shared" si="31"/>
        <v>0</v>
      </c>
      <c r="O86" s="6">
        <f t="shared" si="32"/>
        <v>0</v>
      </c>
      <c r="P86" s="6">
        <f t="shared" si="33"/>
        <v>0</v>
      </c>
      <c r="Q86" s="6">
        <f t="shared" si="34"/>
        <v>0</v>
      </c>
      <c r="R86" s="6">
        <f t="shared" si="35"/>
        <v>0</v>
      </c>
      <c r="S86" s="6">
        <f t="shared" si="36"/>
        <v>0</v>
      </c>
      <c r="T86" s="6">
        <f t="shared" si="37"/>
        <v>0</v>
      </c>
      <c r="U86" s="6">
        <f t="shared" si="38"/>
        <v>0</v>
      </c>
      <c r="V86" s="6">
        <f t="shared" si="39"/>
        <v>0</v>
      </c>
      <c r="W86" s="6">
        <f t="shared" si="40"/>
        <v>0</v>
      </c>
      <c r="X86" s="6">
        <f t="shared" si="41"/>
        <v>0</v>
      </c>
      <c r="Y86" s="6">
        <f t="shared" si="42"/>
        <v>0</v>
      </c>
      <c r="AA86" s="6" t="str">
        <f>IF(最佳化斷筋點!C86="","",最佳化斷筋點!C86)</f>
        <v/>
      </c>
      <c r="AB86" s="6" t="str">
        <f>IF(最佳化斷筋點!D86="","",最佳化斷筋點!D86)</f>
        <v/>
      </c>
      <c r="AC86" s="6" t="str">
        <f>IF(最佳化斷筋點!E86="","",最佳化斷筋點!E86)</f>
        <v/>
      </c>
      <c r="AD86" s="6" t="str">
        <f>IF(最佳化斷筋點!F86="","",最佳化斷筋點!F86)</f>
        <v/>
      </c>
      <c r="AE86" s="6" t="str">
        <f>IF(最佳化斷筋點!G86="","",最佳化斷筋點!G86)</f>
        <v/>
      </c>
      <c r="AF86" s="6" t="str">
        <f>IF(最佳化斷筋點!H86="","",最佳化斷筋點!H86)</f>
        <v/>
      </c>
      <c r="AG86" s="6" t="str">
        <f>IF(最佳化斷筋點!I86="","",最佳化斷筋點!I86)</f>
        <v/>
      </c>
      <c r="AH86" s="6" t="str">
        <f>IF(最佳化斷筋點!J86="","",最佳化斷筋點!J86)</f>
        <v/>
      </c>
      <c r="AI86" s="6" t="str">
        <f>IF(最佳化斷筋點!K86="","",最佳化斷筋點!K86)</f>
        <v/>
      </c>
      <c r="AJ86" s="6" t="str">
        <f>IF(最佳化斷筋點!L86="","",最佳化斷筋點!L86)</f>
        <v/>
      </c>
      <c r="AK86" s="6" t="str">
        <f>IF(最佳化斷筋點!M86="","",最佳化斷筋點!M86)</f>
        <v/>
      </c>
      <c r="AL86" s="6" t="str">
        <f>IF(最佳化斷筋點!N86="","",最佳化斷筋點!N86)</f>
        <v/>
      </c>
      <c r="AM86" s="6" t="str">
        <f>IF(最佳化斷筋點!O86="","",最佳化斷筋點!O86)</f>
        <v/>
      </c>
      <c r="AN86" s="6" t="str">
        <f>IF(最佳化斷筋點!P86="","",最佳化斷筋點!P86)</f>
        <v/>
      </c>
      <c r="AO86" s="6" t="str">
        <f>IF(最佳化斷筋點!Q86="","",最佳化斷筋點!Q86)</f>
        <v/>
      </c>
      <c r="AP86" s="6" t="str">
        <f>IF(最佳化斷筋點!R86="","",最佳化斷筋點!R86)</f>
        <v/>
      </c>
      <c r="AQ86" s="6" t="str">
        <f>IF(最佳化斷筋點!S86="","",最佳化斷筋點!S86)</f>
        <v/>
      </c>
      <c r="AR86" s="6" t="str">
        <f>IF(最佳化斷筋點!T86="","",最佳化斷筋點!T86)</f>
        <v/>
      </c>
      <c r="AS86" s="6" t="str">
        <f>IF(最佳化斷筋點!U86="","",最佳化斷筋點!U86)</f>
        <v/>
      </c>
      <c r="AT86" s="6" t="str">
        <f>IF(最佳化斷筋點!V86="","",最佳化斷筋點!V86)</f>
        <v/>
      </c>
      <c r="AU86" s="6" t="str">
        <f>IF(最佳化斷筋點!W86="","",最佳化斷筋點!W86)</f>
        <v/>
      </c>
      <c r="AV86" s="6" t="str">
        <f>IF(最佳化斷筋點!X86="","",最佳化斷筋點!X86)</f>
        <v/>
      </c>
    </row>
    <row r="87" spans="4:71" x14ac:dyDescent="0.25">
      <c r="D87" s="6" t="s">
        <v>50</v>
      </c>
      <c r="E87" s="6">
        <f t="shared" si="22"/>
        <v>0</v>
      </c>
      <c r="F87" s="6">
        <f t="shared" si="23"/>
        <v>0</v>
      </c>
      <c r="G87" s="6">
        <f t="shared" si="24"/>
        <v>0</v>
      </c>
      <c r="H87" s="6">
        <f t="shared" si="25"/>
        <v>0</v>
      </c>
      <c r="I87" s="6">
        <f t="shared" si="26"/>
        <v>0</v>
      </c>
      <c r="J87" s="6">
        <f t="shared" si="27"/>
        <v>0</v>
      </c>
      <c r="K87" s="6">
        <f t="shared" si="28"/>
        <v>0</v>
      </c>
      <c r="L87" s="6">
        <f t="shared" si="29"/>
        <v>0</v>
      </c>
      <c r="M87" s="6">
        <f t="shared" si="30"/>
        <v>0</v>
      </c>
      <c r="N87" s="6">
        <f t="shared" si="31"/>
        <v>0</v>
      </c>
      <c r="O87" s="6">
        <f t="shared" si="32"/>
        <v>0</v>
      </c>
      <c r="P87" s="6">
        <f t="shared" si="33"/>
        <v>0</v>
      </c>
      <c r="Q87" s="6">
        <f t="shared" si="34"/>
        <v>0</v>
      </c>
      <c r="R87" s="6">
        <f t="shared" si="35"/>
        <v>0</v>
      </c>
      <c r="S87" s="6">
        <f t="shared" si="36"/>
        <v>0</v>
      </c>
      <c r="T87" s="6">
        <f t="shared" si="37"/>
        <v>0</v>
      </c>
      <c r="U87" s="6">
        <f t="shared" si="38"/>
        <v>0</v>
      </c>
      <c r="V87" s="6">
        <f t="shared" si="39"/>
        <v>0</v>
      </c>
      <c r="W87" s="6">
        <f t="shared" si="40"/>
        <v>0</v>
      </c>
      <c r="X87" s="6">
        <f t="shared" si="41"/>
        <v>0</v>
      </c>
      <c r="Y87" s="6">
        <f t="shared" si="42"/>
        <v>0</v>
      </c>
      <c r="AA87" s="6" t="str">
        <f>IF(最佳化斷筋點!C87="","",最佳化斷筋點!C87)</f>
        <v>上層</v>
      </c>
      <c r="AB87" s="6">
        <f>IF(最佳化斷筋點!D87="","",最佳化斷筋點!D87)</f>
        <v>4</v>
      </c>
      <c r="AC87" s="6">
        <f>IF(最佳化斷筋點!E87="","",最佳化斷筋點!E87)</f>
        <v>4</v>
      </c>
      <c r="AD87" s="6">
        <f>IF(最佳化斷筋點!F87="","",最佳化斷筋點!F87)</f>
        <v>4</v>
      </c>
      <c r="AE87" s="6">
        <f>IF(最佳化斷筋點!G87="","",最佳化斷筋點!G87)</f>
        <v>3</v>
      </c>
      <c r="AF87" s="6">
        <f>IF(最佳化斷筋點!H87="","",最佳化斷筋點!H87)</f>
        <v>3</v>
      </c>
      <c r="AG87" s="6">
        <f>IF(最佳化斷筋點!I87="","",最佳化斷筋點!I87)</f>
        <v>3</v>
      </c>
      <c r="AH87" s="6">
        <f>IF(最佳化斷筋點!J87="","",最佳化斷筋點!J87)</f>
        <v>2</v>
      </c>
      <c r="AI87" s="6">
        <f>IF(最佳化斷筋點!K87="","",最佳化斷筋點!K87)</f>
        <v>2</v>
      </c>
      <c r="AJ87" s="6">
        <f>IF(最佳化斷筋點!L87="","",最佳化斷筋點!L87)</f>
        <v>2</v>
      </c>
      <c r="AK87" s="6">
        <f>IF(最佳化斷筋點!M87="","",最佳化斷筋點!M87)</f>
        <v>2</v>
      </c>
      <c r="AL87" s="6">
        <f>IF(最佳化斷筋點!N87="","",最佳化斷筋點!N87)</f>
        <v>2</v>
      </c>
      <c r="AM87" s="6">
        <f>IF(最佳化斷筋點!O87="","",最佳化斷筋點!O87)</f>
        <v>2</v>
      </c>
      <c r="AN87" s="6">
        <f>IF(最佳化斷筋點!P87="","",最佳化斷筋點!P87)</f>
        <v>2</v>
      </c>
      <c r="AO87" s="6">
        <f>IF(最佳化斷筋點!Q87="","",最佳化斷筋點!Q87)</f>
        <v>2</v>
      </c>
      <c r="AP87" s="6">
        <f>IF(最佳化斷筋點!R87="","",最佳化斷筋點!R87)</f>
        <v>2</v>
      </c>
      <c r="AQ87" s="6">
        <f>IF(最佳化斷筋點!S87="","",最佳化斷筋點!S87)</f>
        <v>2</v>
      </c>
      <c r="AR87" s="6">
        <f>IF(最佳化斷筋點!T87="","",最佳化斷筋點!T87)</f>
        <v>3</v>
      </c>
      <c r="AS87" s="6">
        <f>IF(最佳化斷筋點!U87="","",最佳化斷筋點!U87)</f>
        <v>3</v>
      </c>
      <c r="AT87" s="6">
        <f>IF(最佳化斷筋點!V87="","",最佳化斷筋點!V87)</f>
        <v>4</v>
      </c>
      <c r="AU87" s="6">
        <f>IF(最佳化斷筋點!W87="","",最佳化斷筋點!W87)</f>
        <v>4</v>
      </c>
      <c r="AV87" s="6">
        <f>IF(最佳化斷筋點!X87="","",最佳化斷筋點!X87)</f>
        <v>4</v>
      </c>
      <c r="AX87" s="6" t="s">
        <v>50</v>
      </c>
      <c r="AY87" s="6">
        <v>4</v>
      </c>
      <c r="AZ87" s="6">
        <v>4</v>
      </c>
      <c r="BA87" s="6">
        <v>4</v>
      </c>
      <c r="BB87" s="6">
        <v>3</v>
      </c>
      <c r="BC87" s="6">
        <v>3</v>
      </c>
      <c r="BD87" s="6">
        <v>3</v>
      </c>
      <c r="BE87" s="6">
        <v>2</v>
      </c>
      <c r="BF87" s="6">
        <v>2</v>
      </c>
      <c r="BG87" s="6">
        <v>2</v>
      </c>
      <c r="BH87" s="6">
        <v>2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</row>
    <row r="88" spans="4:71" x14ac:dyDescent="0.25">
      <c r="E88" s="6">
        <f t="shared" si="22"/>
        <v>0</v>
      </c>
      <c r="F88" s="6">
        <f t="shared" si="23"/>
        <v>0</v>
      </c>
      <c r="G88" s="6">
        <f t="shared" si="24"/>
        <v>0</v>
      </c>
      <c r="H88" s="6">
        <f t="shared" si="25"/>
        <v>0</v>
      </c>
      <c r="I88" s="6">
        <f t="shared" si="26"/>
        <v>0</v>
      </c>
      <c r="J88" s="6">
        <f t="shared" si="27"/>
        <v>0</v>
      </c>
      <c r="K88" s="6">
        <f t="shared" si="28"/>
        <v>0</v>
      </c>
      <c r="L88" s="6">
        <f t="shared" si="29"/>
        <v>0</v>
      </c>
      <c r="M88" s="6">
        <f t="shared" si="30"/>
        <v>0</v>
      </c>
      <c r="N88" s="6">
        <f t="shared" si="31"/>
        <v>0</v>
      </c>
      <c r="O88" s="6">
        <f t="shared" si="32"/>
        <v>0</v>
      </c>
      <c r="P88" s="6">
        <f t="shared" si="33"/>
        <v>0</v>
      </c>
      <c r="Q88" s="6">
        <f t="shared" si="34"/>
        <v>0</v>
      </c>
      <c r="R88" s="6">
        <f t="shared" si="35"/>
        <v>0</v>
      </c>
      <c r="S88" s="6">
        <f t="shared" si="36"/>
        <v>0</v>
      </c>
      <c r="T88" s="6">
        <f t="shared" si="37"/>
        <v>0</v>
      </c>
      <c r="U88" s="6">
        <f t="shared" si="38"/>
        <v>0</v>
      </c>
      <c r="V88" s="6">
        <f t="shared" si="39"/>
        <v>0</v>
      </c>
      <c r="W88" s="6">
        <f t="shared" si="40"/>
        <v>0</v>
      </c>
      <c r="X88" s="6">
        <f t="shared" si="41"/>
        <v>0</v>
      </c>
      <c r="Y88" s="6">
        <f t="shared" si="42"/>
        <v>0</v>
      </c>
      <c r="AA88" s="6" t="str">
        <f>IF(最佳化斷筋點!C88="","",最佳化斷筋點!C88)</f>
        <v/>
      </c>
      <c r="AB88" s="6" t="str">
        <f>IF(最佳化斷筋點!D88="","",最佳化斷筋點!D88)</f>
        <v/>
      </c>
      <c r="AC88" s="6" t="str">
        <f>IF(最佳化斷筋點!E88="","",最佳化斷筋點!E88)</f>
        <v/>
      </c>
      <c r="AD88" s="6" t="str">
        <f>IF(最佳化斷筋點!F88="","",最佳化斷筋點!F88)</f>
        <v/>
      </c>
      <c r="AE88" s="6" t="str">
        <f>IF(最佳化斷筋點!G88="","",最佳化斷筋點!G88)</f>
        <v/>
      </c>
      <c r="AF88" s="6" t="str">
        <f>IF(最佳化斷筋點!H88="","",最佳化斷筋點!H88)</f>
        <v/>
      </c>
      <c r="AG88" s="6" t="str">
        <f>IF(最佳化斷筋點!I88="","",最佳化斷筋點!I88)</f>
        <v/>
      </c>
      <c r="AH88" s="6" t="str">
        <f>IF(最佳化斷筋點!J88="","",最佳化斷筋點!J88)</f>
        <v/>
      </c>
      <c r="AI88" s="6" t="str">
        <f>IF(最佳化斷筋點!K88="","",最佳化斷筋點!K88)</f>
        <v/>
      </c>
      <c r="AJ88" s="6" t="str">
        <f>IF(最佳化斷筋點!L88="","",最佳化斷筋點!L88)</f>
        <v/>
      </c>
      <c r="AK88" s="6" t="str">
        <f>IF(最佳化斷筋點!M88="","",最佳化斷筋點!M88)</f>
        <v/>
      </c>
      <c r="AL88" s="6" t="str">
        <f>IF(最佳化斷筋點!N88="","",最佳化斷筋點!N88)</f>
        <v/>
      </c>
      <c r="AM88" s="6" t="str">
        <f>IF(最佳化斷筋點!O88="","",最佳化斷筋點!O88)</f>
        <v/>
      </c>
      <c r="AN88" s="6" t="str">
        <f>IF(最佳化斷筋點!P88="","",最佳化斷筋點!P88)</f>
        <v/>
      </c>
      <c r="AO88" s="6" t="str">
        <f>IF(最佳化斷筋點!Q88="","",最佳化斷筋點!Q88)</f>
        <v/>
      </c>
      <c r="AP88" s="6" t="str">
        <f>IF(最佳化斷筋點!R88="","",最佳化斷筋點!R88)</f>
        <v/>
      </c>
      <c r="AQ88" s="6" t="str">
        <f>IF(最佳化斷筋點!S88="","",最佳化斷筋點!S88)</f>
        <v/>
      </c>
      <c r="AR88" s="6" t="str">
        <f>IF(最佳化斷筋點!T88="","",最佳化斷筋點!T88)</f>
        <v/>
      </c>
      <c r="AS88" s="6" t="str">
        <f>IF(最佳化斷筋點!U88="","",最佳化斷筋點!U88)</f>
        <v/>
      </c>
      <c r="AT88" s="6" t="str">
        <f>IF(最佳化斷筋點!V88="","",最佳化斷筋點!V88)</f>
        <v/>
      </c>
      <c r="AU88" s="6" t="str">
        <f>IF(最佳化斷筋點!W88="","",最佳化斷筋點!W88)</f>
        <v/>
      </c>
      <c r="AV88" s="6" t="str">
        <f>IF(最佳化斷筋點!X88="","",最佳化斷筋點!X88)</f>
        <v/>
      </c>
    </row>
    <row r="89" spans="4:71" x14ac:dyDescent="0.25">
      <c r="D89" s="6" t="s">
        <v>51</v>
      </c>
      <c r="E89" s="6">
        <f t="shared" si="22"/>
        <v>0</v>
      </c>
      <c r="F89" s="6">
        <f t="shared" si="23"/>
        <v>0</v>
      </c>
      <c r="G89" s="6">
        <f t="shared" si="24"/>
        <v>0</v>
      </c>
      <c r="H89" s="6">
        <f t="shared" si="25"/>
        <v>0</v>
      </c>
      <c r="I89" s="6">
        <f t="shared" si="26"/>
        <v>0</v>
      </c>
      <c r="J89" s="6">
        <f t="shared" si="27"/>
        <v>0</v>
      </c>
      <c r="K89" s="6">
        <f t="shared" si="28"/>
        <v>0</v>
      </c>
      <c r="L89" s="6">
        <f t="shared" si="29"/>
        <v>0</v>
      </c>
      <c r="M89" s="6">
        <f t="shared" si="30"/>
        <v>0</v>
      </c>
      <c r="N89" s="6">
        <f t="shared" si="31"/>
        <v>0</v>
      </c>
      <c r="O89" s="6">
        <f t="shared" si="32"/>
        <v>0</v>
      </c>
      <c r="P89" s="6">
        <f t="shared" si="33"/>
        <v>0</v>
      </c>
      <c r="Q89" s="6">
        <f t="shared" si="34"/>
        <v>0</v>
      </c>
      <c r="R89" s="6">
        <f t="shared" si="35"/>
        <v>0</v>
      </c>
      <c r="S89" s="6">
        <f t="shared" si="36"/>
        <v>0</v>
      </c>
      <c r="T89" s="6">
        <f t="shared" si="37"/>
        <v>0</v>
      </c>
      <c r="U89" s="6">
        <f t="shared" si="38"/>
        <v>0</v>
      </c>
      <c r="V89" s="6">
        <f t="shared" si="39"/>
        <v>0</v>
      </c>
      <c r="W89" s="6">
        <f t="shared" si="40"/>
        <v>0</v>
      </c>
      <c r="X89" s="6">
        <f t="shared" si="41"/>
        <v>0</v>
      </c>
      <c r="Y89" s="6">
        <f t="shared" si="42"/>
        <v>0</v>
      </c>
      <c r="AA89" s="6" t="str">
        <f>IF(最佳化斷筋點!C89="","",最佳化斷筋點!C89)</f>
        <v>下層</v>
      </c>
      <c r="AB89" s="6">
        <f>IF(最佳化斷筋點!D89="","",最佳化斷筋點!D89)</f>
        <v>3</v>
      </c>
      <c r="AC89" s="6">
        <f>IF(最佳化斷筋點!E89="","",最佳化斷筋點!E89)</f>
        <v>3</v>
      </c>
      <c r="AD89" s="6">
        <f>IF(最佳化斷筋點!F89="","",最佳化斷筋點!F89)</f>
        <v>3</v>
      </c>
      <c r="AE89" s="6">
        <f>IF(最佳化斷筋點!G89="","",最佳化斷筋點!G89)</f>
        <v>3</v>
      </c>
      <c r="AF89" s="6">
        <f>IF(最佳化斷筋點!H89="","",最佳化斷筋點!H89)</f>
        <v>2</v>
      </c>
      <c r="AG89" s="6">
        <f>IF(最佳化斷筋點!I89="","",最佳化斷筋點!I89)</f>
        <v>3</v>
      </c>
      <c r="AH89" s="6">
        <f>IF(最佳化斷筋點!J89="","",最佳化斷筋點!J89)</f>
        <v>3</v>
      </c>
      <c r="AI89" s="6">
        <f>IF(最佳化斷筋點!K89="","",最佳化斷筋點!K89)</f>
        <v>3</v>
      </c>
      <c r="AJ89" s="6">
        <f>IF(最佳化斷筋點!L89="","",最佳化斷筋點!L89)</f>
        <v>3</v>
      </c>
      <c r="AK89" s="6">
        <f>IF(最佳化斷筋點!M89="","",最佳化斷筋點!M89)</f>
        <v>3</v>
      </c>
      <c r="AL89" s="6">
        <f>IF(最佳化斷筋點!N89="","",最佳化斷筋點!N89)</f>
        <v>3</v>
      </c>
      <c r="AM89" s="6">
        <f>IF(最佳化斷筋點!O89="","",最佳化斷筋點!O89)</f>
        <v>3</v>
      </c>
      <c r="AN89" s="6">
        <f>IF(最佳化斷筋點!P89="","",最佳化斷筋點!P89)</f>
        <v>3</v>
      </c>
      <c r="AO89" s="6">
        <f>IF(最佳化斷筋點!Q89="","",最佳化斷筋點!Q89)</f>
        <v>3</v>
      </c>
      <c r="AP89" s="6">
        <f>IF(最佳化斷筋點!R89="","",最佳化斷筋點!R89)</f>
        <v>3</v>
      </c>
      <c r="AQ89" s="6">
        <f>IF(最佳化斷筋點!S89="","",最佳化斷筋點!S89)</f>
        <v>3</v>
      </c>
      <c r="AR89" s="6">
        <f>IF(最佳化斷筋點!T89="","",最佳化斷筋點!T89)</f>
        <v>2</v>
      </c>
      <c r="AS89" s="6">
        <f>IF(最佳化斷筋點!U89="","",最佳化斷筋點!U89)</f>
        <v>3</v>
      </c>
      <c r="AT89" s="6">
        <f>IF(最佳化斷筋點!V89="","",最佳化斷筋點!V89)</f>
        <v>3</v>
      </c>
      <c r="AU89" s="6">
        <f>IF(最佳化斷筋點!W89="","",最佳化斷筋點!W89)</f>
        <v>3</v>
      </c>
      <c r="AV89" s="6">
        <f>IF(最佳化斷筋點!X89="","",最佳化斷筋點!X89)</f>
        <v>3</v>
      </c>
      <c r="AX89" s="6" t="s">
        <v>51</v>
      </c>
      <c r="AY89" s="6">
        <v>3</v>
      </c>
      <c r="AZ89" s="6">
        <v>3</v>
      </c>
      <c r="BA89" s="6">
        <v>3</v>
      </c>
      <c r="BB89" s="6">
        <v>3</v>
      </c>
      <c r="BC89" s="6">
        <v>2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2</v>
      </c>
      <c r="BP89" s="6">
        <v>3</v>
      </c>
      <c r="BQ89" s="6">
        <v>3</v>
      </c>
      <c r="BR89" s="6">
        <v>3</v>
      </c>
      <c r="BS89" s="6">
        <v>3</v>
      </c>
    </row>
    <row r="90" spans="4:71" x14ac:dyDescent="0.25">
      <c r="E90" s="6">
        <f t="shared" si="22"/>
        <v>0</v>
      </c>
      <c r="F90" s="6">
        <f t="shared" si="23"/>
        <v>0</v>
      </c>
      <c r="G90" s="6">
        <f t="shared" si="24"/>
        <v>0</v>
      </c>
      <c r="H90" s="6">
        <f t="shared" si="25"/>
        <v>0</v>
      </c>
      <c r="I90" s="6">
        <f t="shared" si="26"/>
        <v>0</v>
      </c>
      <c r="J90" s="6">
        <f t="shared" si="27"/>
        <v>0</v>
      </c>
      <c r="K90" s="6">
        <f t="shared" si="28"/>
        <v>0</v>
      </c>
      <c r="L90" s="6">
        <f t="shared" si="29"/>
        <v>0</v>
      </c>
      <c r="M90" s="6">
        <f t="shared" si="30"/>
        <v>0</v>
      </c>
      <c r="N90" s="6">
        <f t="shared" si="31"/>
        <v>0</v>
      </c>
      <c r="O90" s="6">
        <f t="shared" si="32"/>
        <v>0</v>
      </c>
      <c r="P90" s="6">
        <f t="shared" si="33"/>
        <v>0</v>
      </c>
      <c r="Q90" s="6">
        <f t="shared" si="34"/>
        <v>0</v>
      </c>
      <c r="R90" s="6">
        <f t="shared" si="35"/>
        <v>0</v>
      </c>
      <c r="S90" s="6">
        <f t="shared" si="36"/>
        <v>0</v>
      </c>
      <c r="T90" s="6">
        <f t="shared" si="37"/>
        <v>0</v>
      </c>
      <c r="U90" s="6">
        <f t="shared" si="38"/>
        <v>0</v>
      </c>
      <c r="V90" s="6">
        <f t="shared" si="39"/>
        <v>0</v>
      </c>
      <c r="W90" s="6">
        <f t="shared" si="40"/>
        <v>0</v>
      </c>
      <c r="X90" s="6">
        <f t="shared" si="41"/>
        <v>0</v>
      </c>
      <c r="Y90" s="6">
        <f t="shared" si="42"/>
        <v>0</v>
      </c>
      <c r="AA90" s="6" t="str">
        <f>IF(最佳化斷筋點!C90="","",最佳化斷筋點!C90)</f>
        <v/>
      </c>
      <c r="AB90" s="6" t="str">
        <f>IF(最佳化斷筋點!D90="","",最佳化斷筋點!D90)</f>
        <v/>
      </c>
      <c r="AC90" s="6" t="str">
        <f>IF(最佳化斷筋點!E90="","",最佳化斷筋點!E90)</f>
        <v/>
      </c>
      <c r="AD90" s="6" t="str">
        <f>IF(最佳化斷筋點!F90="","",最佳化斷筋點!F90)</f>
        <v/>
      </c>
      <c r="AE90" s="6" t="str">
        <f>IF(最佳化斷筋點!G90="","",最佳化斷筋點!G90)</f>
        <v/>
      </c>
      <c r="AF90" s="6" t="str">
        <f>IF(最佳化斷筋點!H90="","",最佳化斷筋點!H90)</f>
        <v/>
      </c>
      <c r="AG90" s="6" t="str">
        <f>IF(最佳化斷筋點!I90="","",最佳化斷筋點!I90)</f>
        <v/>
      </c>
      <c r="AH90" s="6" t="str">
        <f>IF(最佳化斷筋點!J90="","",最佳化斷筋點!J90)</f>
        <v/>
      </c>
      <c r="AI90" s="6" t="str">
        <f>IF(最佳化斷筋點!K90="","",最佳化斷筋點!K90)</f>
        <v/>
      </c>
      <c r="AJ90" s="6" t="str">
        <f>IF(最佳化斷筋點!L90="","",最佳化斷筋點!L90)</f>
        <v/>
      </c>
      <c r="AK90" s="6" t="str">
        <f>IF(最佳化斷筋點!M90="","",最佳化斷筋點!M90)</f>
        <v/>
      </c>
      <c r="AL90" s="6" t="str">
        <f>IF(最佳化斷筋點!N90="","",最佳化斷筋點!N90)</f>
        <v/>
      </c>
      <c r="AM90" s="6" t="str">
        <f>IF(最佳化斷筋點!O90="","",最佳化斷筋點!O90)</f>
        <v/>
      </c>
      <c r="AN90" s="6" t="str">
        <f>IF(最佳化斷筋點!P90="","",最佳化斷筋點!P90)</f>
        <v/>
      </c>
      <c r="AO90" s="6" t="str">
        <f>IF(最佳化斷筋點!Q90="","",最佳化斷筋點!Q90)</f>
        <v/>
      </c>
      <c r="AP90" s="6" t="str">
        <f>IF(最佳化斷筋點!R90="","",最佳化斷筋點!R90)</f>
        <v/>
      </c>
      <c r="AQ90" s="6" t="str">
        <f>IF(最佳化斷筋點!S90="","",最佳化斷筋點!S90)</f>
        <v/>
      </c>
      <c r="AR90" s="6" t="str">
        <f>IF(最佳化斷筋點!T90="","",最佳化斷筋點!T90)</f>
        <v/>
      </c>
      <c r="AS90" s="6" t="str">
        <f>IF(最佳化斷筋點!U90="","",最佳化斷筋點!U90)</f>
        <v/>
      </c>
      <c r="AT90" s="6" t="str">
        <f>IF(最佳化斷筋點!V90="","",最佳化斷筋點!V90)</f>
        <v/>
      </c>
      <c r="AU90" s="6" t="str">
        <f>IF(最佳化斷筋點!W90="","",最佳化斷筋點!W90)</f>
        <v/>
      </c>
      <c r="AV90" s="6" t="str">
        <f>IF(最佳化斷筋點!X90="","",最佳化斷筋點!X90)</f>
        <v/>
      </c>
    </row>
    <row r="91" spans="4:71" x14ac:dyDescent="0.25">
      <c r="D91" s="6" t="s">
        <v>50</v>
      </c>
      <c r="E91" s="6">
        <f t="shared" si="22"/>
        <v>0</v>
      </c>
      <c r="F91" s="6">
        <f t="shared" si="23"/>
        <v>0</v>
      </c>
      <c r="G91" s="6">
        <f t="shared" si="24"/>
        <v>0</v>
      </c>
      <c r="H91" s="6">
        <f t="shared" si="25"/>
        <v>0</v>
      </c>
      <c r="I91" s="6">
        <f t="shared" si="26"/>
        <v>0</v>
      </c>
      <c r="J91" s="6">
        <f t="shared" si="27"/>
        <v>0</v>
      </c>
      <c r="K91" s="6">
        <f t="shared" si="28"/>
        <v>0</v>
      </c>
      <c r="L91" s="6">
        <f t="shared" si="29"/>
        <v>0</v>
      </c>
      <c r="M91" s="6">
        <f t="shared" si="30"/>
        <v>0</v>
      </c>
      <c r="N91" s="6">
        <f t="shared" si="31"/>
        <v>0</v>
      </c>
      <c r="O91" s="6">
        <f t="shared" si="32"/>
        <v>0</v>
      </c>
      <c r="P91" s="6">
        <f t="shared" si="33"/>
        <v>0</v>
      </c>
      <c r="Q91" s="6">
        <f t="shared" si="34"/>
        <v>0</v>
      </c>
      <c r="R91" s="6">
        <f t="shared" si="35"/>
        <v>0</v>
      </c>
      <c r="S91" s="6">
        <f t="shared" si="36"/>
        <v>0</v>
      </c>
      <c r="T91" s="6">
        <f t="shared" si="37"/>
        <v>0</v>
      </c>
      <c r="U91" s="6">
        <f t="shared" si="38"/>
        <v>0</v>
      </c>
      <c r="V91" s="6">
        <f t="shared" si="39"/>
        <v>0</v>
      </c>
      <c r="W91" s="6">
        <f t="shared" si="40"/>
        <v>0</v>
      </c>
      <c r="X91" s="6">
        <f t="shared" si="41"/>
        <v>0</v>
      </c>
      <c r="Y91" s="6">
        <f t="shared" si="42"/>
        <v>0</v>
      </c>
      <c r="AA91" s="6" t="str">
        <f>IF(最佳化斷筋點!C91="","",最佳化斷筋點!C91)</f>
        <v>上層</v>
      </c>
      <c r="AB91" s="6">
        <f>IF(最佳化斷筋點!D91="","",最佳化斷筋點!D91)</f>
        <v>4</v>
      </c>
      <c r="AC91" s="6">
        <f>IF(最佳化斷筋點!E91="","",最佳化斷筋點!E91)</f>
        <v>4</v>
      </c>
      <c r="AD91" s="6">
        <f>IF(最佳化斷筋點!F91="","",最佳化斷筋點!F91)</f>
        <v>4</v>
      </c>
      <c r="AE91" s="6">
        <f>IF(最佳化斷筋點!G91="","",最佳化斷筋點!G91)</f>
        <v>3</v>
      </c>
      <c r="AF91" s="6">
        <f>IF(最佳化斷筋點!H91="","",最佳化斷筋點!H91)</f>
        <v>3</v>
      </c>
      <c r="AG91" s="6">
        <f>IF(最佳化斷筋點!I91="","",最佳化斷筋點!I91)</f>
        <v>3</v>
      </c>
      <c r="AH91" s="6">
        <f>IF(最佳化斷筋點!J91="","",最佳化斷筋點!J91)</f>
        <v>2</v>
      </c>
      <c r="AI91" s="6">
        <f>IF(最佳化斷筋點!K91="","",最佳化斷筋點!K91)</f>
        <v>2</v>
      </c>
      <c r="AJ91" s="6">
        <f>IF(最佳化斷筋點!L91="","",最佳化斷筋點!L91)</f>
        <v>2</v>
      </c>
      <c r="AK91" s="6">
        <f>IF(最佳化斷筋點!M91="","",最佳化斷筋點!M91)</f>
        <v>2</v>
      </c>
      <c r="AL91" s="6">
        <f>IF(最佳化斷筋點!N91="","",最佳化斷筋點!N91)</f>
        <v>2</v>
      </c>
      <c r="AM91" s="6">
        <f>IF(最佳化斷筋點!O91="","",最佳化斷筋點!O91)</f>
        <v>2</v>
      </c>
      <c r="AN91" s="6">
        <f>IF(最佳化斷筋點!P91="","",最佳化斷筋點!P91)</f>
        <v>2</v>
      </c>
      <c r="AO91" s="6">
        <f>IF(最佳化斷筋點!Q91="","",最佳化斷筋點!Q91)</f>
        <v>2</v>
      </c>
      <c r="AP91" s="6">
        <f>IF(最佳化斷筋點!R91="","",最佳化斷筋點!R91)</f>
        <v>2</v>
      </c>
      <c r="AQ91" s="6">
        <f>IF(最佳化斷筋點!S91="","",最佳化斷筋點!S91)</f>
        <v>2</v>
      </c>
      <c r="AR91" s="6">
        <f>IF(最佳化斷筋點!T91="","",最佳化斷筋點!T91)</f>
        <v>3</v>
      </c>
      <c r="AS91" s="6">
        <f>IF(最佳化斷筋點!U91="","",最佳化斷筋點!U91)</f>
        <v>3</v>
      </c>
      <c r="AT91" s="6">
        <f>IF(最佳化斷筋點!V91="","",最佳化斷筋點!V91)</f>
        <v>4</v>
      </c>
      <c r="AU91" s="6">
        <f>IF(最佳化斷筋點!W91="","",最佳化斷筋點!W91)</f>
        <v>4</v>
      </c>
      <c r="AV91" s="6">
        <f>IF(最佳化斷筋點!X91="","",最佳化斷筋點!X91)</f>
        <v>4</v>
      </c>
      <c r="AX91" s="6" t="s">
        <v>50</v>
      </c>
      <c r="AY91" s="6">
        <v>4</v>
      </c>
      <c r="AZ91" s="6">
        <v>4</v>
      </c>
      <c r="BA91" s="6">
        <v>4</v>
      </c>
      <c r="BB91" s="6">
        <v>3</v>
      </c>
      <c r="BC91" s="6">
        <v>3</v>
      </c>
      <c r="BD91" s="6">
        <v>3</v>
      </c>
      <c r="BE91" s="6">
        <v>2</v>
      </c>
      <c r="BF91" s="6">
        <v>2</v>
      </c>
      <c r="BG91" s="6">
        <v>2</v>
      </c>
      <c r="BH91" s="6">
        <v>2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</row>
    <row r="92" spans="4:71" x14ac:dyDescent="0.25">
      <c r="E92" s="6">
        <f t="shared" si="22"/>
        <v>0</v>
      </c>
      <c r="F92" s="6">
        <f t="shared" si="23"/>
        <v>0</v>
      </c>
      <c r="G92" s="6">
        <f t="shared" si="24"/>
        <v>0</v>
      </c>
      <c r="H92" s="6">
        <f t="shared" si="25"/>
        <v>0</v>
      </c>
      <c r="I92" s="6">
        <f t="shared" si="26"/>
        <v>0</v>
      </c>
      <c r="J92" s="6">
        <f t="shared" si="27"/>
        <v>0</v>
      </c>
      <c r="K92" s="6">
        <f t="shared" si="28"/>
        <v>0</v>
      </c>
      <c r="L92" s="6">
        <f t="shared" si="29"/>
        <v>0</v>
      </c>
      <c r="M92" s="6">
        <f t="shared" si="30"/>
        <v>0</v>
      </c>
      <c r="N92" s="6">
        <f t="shared" si="31"/>
        <v>0</v>
      </c>
      <c r="O92" s="6">
        <f t="shared" si="32"/>
        <v>0</v>
      </c>
      <c r="P92" s="6">
        <f t="shared" si="33"/>
        <v>0</v>
      </c>
      <c r="Q92" s="6">
        <f t="shared" si="34"/>
        <v>0</v>
      </c>
      <c r="R92" s="6">
        <f t="shared" si="35"/>
        <v>0</v>
      </c>
      <c r="S92" s="6">
        <f t="shared" si="36"/>
        <v>0</v>
      </c>
      <c r="T92" s="6">
        <f t="shared" si="37"/>
        <v>0</v>
      </c>
      <c r="U92" s="6">
        <f t="shared" si="38"/>
        <v>0</v>
      </c>
      <c r="V92" s="6">
        <f t="shared" si="39"/>
        <v>0</v>
      </c>
      <c r="W92" s="6">
        <f t="shared" si="40"/>
        <v>0</v>
      </c>
      <c r="X92" s="6">
        <f t="shared" si="41"/>
        <v>0</v>
      </c>
      <c r="Y92" s="6">
        <f t="shared" si="42"/>
        <v>0</v>
      </c>
      <c r="AA92" s="6" t="str">
        <f>IF(最佳化斷筋點!C92="","",最佳化斷筋點!C92)</f>
        <v/>
      </c>
      <c r="AB92" s="6" t="str">
        <f>IF(最佳化斷筋點!D92="","",最佳化斷筋點!D92)</f>
        <v/>
      </c>
      <c r="AC92" s="6" t="str">
        <f>IF(最佳化斷筋點!E92="","",最佳化斷筋點!E92)</f>
        <v/>
      </c>
      <c r="AD92" s="6" t="str">
        <f>IF(最佳化斷筋點!F92="","",最佳化斷筋點!F92)</f>
        <v/>
      </c>
      <c r="AE92" s="6" t="str">
        <f>IF(最佳化斷筋點!G92="","",最佳化斷筋點!G92)</f>
        <v/>
      </c>
      <c r="AF92" s="6" t="str">
        <f>IF(最佳化斷筋點!H92="","",最佳化斷筋點!H92)</f>
        <v/>
      </c>
      <c r="AG92" s="6" t="str">
        <f>IF(最佳化斷筋點!I92="","",最佳化斷筋點!I92)</f>
        <v/>
      </c>
      <c r="AH92" s="6" t="str">
        <f>IF(最佳化斷筋點!J92="","",最佳化斷筋點!J92)</f>
        <v/>
      </c>
      <c r="AI92" s="6" t="str">
        <f>IF(最佳化斷筋點!K92="","",最佳化斷筋點!K92)</f>
        <v/>
      </c>
      <c r="AJ92" s="6" t="str">
        <f>IF(最佳化斷筋點!L92="","",最佳化斷筋點!L92)</f>
        <v/>
      </c>
      <c r="AK92" s="6" t="str">
        <f>IF(最佳化斷筋點!M92="","",最佳化斷筋點!M92)</f>
        <v/>
      </c>
      <c r="AL92" s="6" t="str">
        <f>IF(最佳化斷筋點!N92="","",最佳化斷筋點!N92)</f>
        <v/>
      </c>
      <c r="AM92" s="6" t="str">
        <f>IF(最佳化斷筋點!O92="","",最佳化斷筋點!O92)</f>
        <v/>
      </c>
      <c r="AN92" s="6" t="str">
        <f>IF(最佳化斷筋點!P92="","",最佳化斷筋點!P92)</f>
        <v/>
      </c>
      <c r="AO92" s="6" t="str">
        <f>IF(最佳化斷筋點!Q92="","",最佳化斷筋點!Q92)</f>
        <v/>
      </c>
      <c r="AP92" s="6" t="str">
        <f>IF(最佳化斷筋點!R92="","",最佳化斷筋點!R92)</f>
        <v/>
      </c>
      <c r="AQ92" s="6" t="str">
        <f>IF(最佳化斷筋點!S92="","",最佳化斷筋點!S92)</f>
        <v/>
      </c>
      <c r="AR92" s="6" t="str">
        <f>IF(最佳化斷筋點!T92="","",最佳化斷筋點!T92)</f>
        <v/>
      </c>
      <c r="AS92" s="6" t="str">
        <f>IF(最佳化斷筋點!U92="","",最佳化斷筋點!U92)</f>
        <v/>
      </c>
      <c r="AT92" s="6" t="str">
        <f>IF(最佳化斷筋點!V92="","",最佳化斷筋點!V92)</f>
        <v/>
      </c>
      <c r="AU92" s="6" t="str">
        <f>IF(最佳化斷筋點!W92="","",最佳化斷筋點!W92)</f>
        <v/>
      </c>
      <c r="AV92" s="6" t="str">
        <f>IF(最佳化斷筋點!X92="","",最佳化斷筋點!X92)</f>
        <v/>
      </c>
    </row>
    <row r="93" spans="4:71" x14ac:dyDescent="0.25">
      <c r="D93" s="6" t="s">
        <v>51</v>
      </c>
      <c r="E93" s="6">
        <f t="shared" si="22"/>
        <v>0</v>
      </c>
      <c r="F93" s="6">
        <f t="shared" si="23"/>
        <v>0</v>
      </c>
      <c r="G93" s="6">
        <f t="shared" si="24"/>
        <v>0</v>
      </c>
      <c r="H93" s="6">
        <f t="shared" si="25"/>
        <v>0</v>
      </c>
      <c r="I93" s="6">
        <f t="shared" si="26"/>
        <v>0</v>
      </c>
      <c r="J93" s="6">
        <f t="shared" si="27"/>
        <v>0</v>
      </c>
      <c r="K93" s="6">
        <f t="shared" si="28"/>
        <v>0</v>
      </c>
      <c r="L93" s="6">
        <f t="shared" si="29"/>
        <v>0</v>
      </c>
      <c r="M93" s="6">
        <f t="shared" si="30"/>
        <v>0</v>
      </c>
      <c r="N93" s="6">
        <f t="shared" si="31"/>
        <v>0</v>
      </c>
      <c r="O93" s="6">
        <f t="shared" si="32"/>
        <v>0</v>
      </c>
      <c r="P93" s="6">
        <f t="shared" si="33"/>
        <v>0</v>
      </c>
      <c r="Q93" s="6">
        <f t="shared" si="34"/>
        <v>0</v>
      </c>
      <c r="R93" s="6">
        <f t="shared" si="35"/>
        <v>0</v>
      </c>
      <c r="S93" s="6">
        <f t="shared" si="36"/>
        <v>0</v>
      </c>
      <c r="T93" s="6">
        <f t="shared" si="37"/>
        <v>0</v>
      </c>
      <c r="U93" s="6">
        <f t="shared" si="38"/>
        <v>0</v>
      </c>
      <c r="V93" s="6">
        <f t="shared" si="39"/>
        <v>0</v>
      </c>
      <c r="W93" s="6">
        <f t="shared" si="40"/>
        <v>0</v>
      </c>
      <c r="X93" s="6">
        <f t="shared" si="41"/>
        <v>0</v>
      </c>
      <c r="Y93" s="6">
        <f t="shared" si="42"/>
        <v>0</v>
      </c>
      <c r="AA93" s="6" t="str">
        <f>IF(最佳化斷筋點!C93="","",最佳化斷筋點!C93)</f>
        <v>下層</v>
      </c>
      <c r="AB93" s="6">
        <f>IF(最佳化斷筋點!D93="","",最佳化斷筋點!D93)</f>
        <v>3</v>
      </c>
      <c r="AC93" s="6">
        <f>IF(最佳化斷筋點!E93="","",最佳化斷筋點!E93)</f>
        <v>3</v>
      </c>
      <c r="AD93" s="6">
        <f>IF(最佳化斷筋點!F93="","",最佳化斷筋點!F93)</f>
        <v>3</v>
      </c>
      <c r="AE93" s="6">
        <f>IF(最佳化斷筋點!G93="","",最佳化斷筋點!G93)</f>
        <v>3</v>
      </c>
      <c r="AF93" s="6">
        <f>IF(最佳化斷筋點!H93="","",最佳化斷筋點!H93)</f>
        <v>2</v>
      </c>
      <c r="AG93" s="6">
        <f>IF(最佳化斷筋點!I93="","",最佳化斷筋點!I93)</f>
        <v>3</v>
      </c>
      <c r="AH93" s="6">
        <f>IF(最佳化斷筋點!J93="","",最佳化斷筋點!J93)</f>
        <v>3</v>
      </c>
      <c r="AI93" s="6">
        <f>IF(最佳化斷筋點!K93="","",最佳化斷筋點!K93)</f>
        <v>3</v>
      </c>
      <c r="AJ93" s="6">
        <f>IF(最佳化斷筋點!L93="","",最佳化斷筋點!L93)</f>
        <v>3</v>
      </c>
      <c r="AK93" s="6">
        <f>IF(最佳化斷筋點!M93="","",最佳化斷筋點!M93)</f>
        <v>3</v>
      </c>
      <c r="AL93" s="6">
        <f>IF(最佳化斷筋點!N93="","",最佳化斷筋點!N93)</f>
        <v>3</v>
      </c>
      <c r="AM93" s="6">
        <f>IF(最佳化斷筋點!O93="","",最佳化斷筋點!O93)</f>
        <v>3</v>
      </c>
      <c r="AN93" s="6">
        <f>IF(最佳化斷筋點!P93="","",最佳化斷筋點!P93)</f>
        <v>3</v>
      </c>
      <c r="AO93" s="6">
        <f>IF(最佳化斷筋點!Q93="","",最佳化斷筋點!Q93)</f>
        <v>3</v>
      </c>
      <c r="AP93" s="6">
        <f>IF(最佳化斷筋點!R93="","",最佳化斷筋點!R93)</f>
        <v>3</v>
      </c>
      <c r="AQ93" s="6">
        <f>IF(最佳化斷筋點!S93="","",最佳化斷筋點!S93)</f>
        <v>3</v>
      </c>
      <c r="AR93" s="6">
        <f>IF(最佳化斷筋點!T93="","",最佳化斷筋點!T93)</f>
        <v>2</v>
      </c>
      <c r="AS93" s="6">
        <f>IF(最佳化斷筋點!U93="","",最佳化斷筋點!U93)</f>
        <v>3</v>
      </c>
      <c r="AT93" s="6">
        <f>IF(最佳化斷筋點!V93="","",最佳化斷筋點!V93)</f>
        <v>3</v>
      </c>
      <c r="AU93" s="6">
        <f>IF(最佳化斷筋點!W93="","",最佳化斷筋點!W93)</f>
        <v>3</v>
      </c>
      <c r="AV93" s="6">
        <f>IF(最佳化斷筋點!X93="","",最佳化斷筋點!X93)</f>
        <v>3</v>
      </c>
      <c r="AX93" s="6" t="s">
        <v>51</v>
      </c>
      <c r="AY93" s="6">
        <v>3</v>
      </c>
      <c r="AZ93" s="6">
        <v>3</v>
      </c>
      <c r="BA93" s="6">
        <v>3</v>
      </c>
      <c r="BB93" s="6">
        <v>3</v>
      </c>
      <c r="BC93" s="6">
        <v>2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2</v>
      </c>
      <c r="BP93" s="6">
        <v>3</v>
      </c>
      <c r="BQ93" s="6">
        <v>3</v>
      </c>
      <c r="BR93" s="6">
        <v>3</v>
      </c>
      <c r="BS93" s="6">
        <v>3</v>
      </c>
    </row>
    <row r="94" spans="4:71" x14ac:dyDescent="0.25">
      <c r="E94" s="6">
        <f t="shared" si="22"/>
        <v>0</v>
      </c>
      <c r="F94" s="6">
        <f t="shared" si="23"/>
        <v>0</v>
      </c>
      <c r="G94" s="6">
        <f t="shared" si="24"/>
        <v>0</v>
      </c>
      <c r="H94" s="6">
        <f t="shared" si="25"/>
        <v>0</v>
      </c>
      <c r="I94" s="6">
        <f t="shared" si="26"/>
        <v>0</v>
      </c>
      <c r="J94" s="6">
        <f t="shared" si="27"/>
        <v>0</v>
      </c>
      <c r="K94" s="6">
        <f t="shared" si="28"/>
        <v>0</v>
      </c>
      <c r="L94" s="6">
        <f t="shared" si="29"/>
        <v>0</v>
      </c>
      <c r="M94" s="6">
        <f t="shared" si="30"/>
        <v>0</v>
      </c>
      <c r="N94" s="6">
        <f t="shared" si="31"/>
        <v>0</v>
      </c>
      <c r="O94" s="6">
        <f t="shared" si="32"/>
        <v>0</v>
      </c>
      <c r="P94" s="6">
        <f t="shared" si="33"/>
        <v>0</v>
      </c>
      <c r="Q94" s="6">
        <f t="shared" si="34"/>
        <v>0</v>
      </c>
      <c r="R94" s="6">
        <f t="shared" si="35"/>
        <v>0</v>
      </c>
      <c r="S94" s="6">
        <f t="shared" si="36"/>
        <v>0</v>
      </c>
      <c r="T94" s="6">
        <f t="shared" si="37"/>
        <v>0</v>
      </c>
      <c r="U94" s="6">
        <f t="shared" si="38"/>
        <v>0</v>
      </c>
      <c r="V94" s="6">
        <f t="shared" si="39"/>
        <v>0</v>
      </c>
      <c r="W94" s="6">
        <f t="shared" si="40"/>
        <v>0</v>
      </c>
      <c r="X94" s="6">
        <f t="shared" si="41"/>
        <v>0</v>
      </c>
      <c r="Y94" s="6">
        <f t="shared" si="42"/>
        <v>0</v>
      </c>
      <c r="AA94" s="6" t="str">
        <f>IF(最佳化斷筋點!C94="","",最佳化斷筋點!C94)</f>
        <v/>
      </c>
      <c r="AB94" s="6" t="str">
        <f>IF(最佳化斷筋點!D94="","",最佳化斷筋點!D94)</f>
        <v/>
      </c>
      <c r="AC94" s="6" t="str">
        <f>IF(最佳化斷筋點!E94="","",最佳化斷筋點!E94)</f>
        <v/>
      </c>
      <c r="AD94" s="6" t="str">
        <f>IF(最佳化斷筋點!F94="","",最佳化斷筋點!F94)</f>
        <v/>
      </c>
      <c r="AE94" s="6" t="str">
        <f>IF(最佳化斷筋點!G94="","",最佳化斷筋點!G94)</f>
        <v/>
      </c>
      <c r="AF94" s="6" t="str">
        <f>IF(最佳化斷筋點!H94="","",最佳化斷筋點!H94)</f>
        <v/>
      </c>
      <c r="AG94" s="6" t="str">
        <f>IF(最佳化斷筋點!I94="","",最佳化斷筋點!I94)</f>
        <v/>
      </c>
      <c r="AH94" s="6" t="str">
        <f>IF(最佳化斷筋點!J94="","",最佳化斷筋點!J94)</f>
        <v/>
      </c>
      <c r="AI94" s="6" t="str">
        <f>IF(最佳化斷筋點!K94="","",最佳化斷筋點!K94)</f>
        <v/>
      </c>
      <c r="AJ94" s="6" t="str">
        <f>IF(最佳化斷筋點!L94="","",最佳化斷筋點!L94)</f>
        <v/>
      </c>
      <c r="AK94" s="6" t="str">
        <f>IF(最佳化斷筋點!M94="","",最佳化斷筋點!M94)</f>
        <v/>
      </c>
      <c r="AL94" s="6" t="str">
        <f>IF(最佳化斷筋點!N94="","",最佳化斷筋點!N94)</f>
        <v/>
      </c>
      <c r="AM94" s="6" t="str">
        <f>IF(最佳化斷筋點!O94="","",最佳化斷筋點!O94)</f>
        <v/>
      </c>
      <c r="AN94" s="6" t="str">
        <f>IF(最佳化斷筋點!P94="","",最佳化斷筋點!P94)</f>
        <v/>
      </c>
      <c r="AO94" s="6" t="str">
        <f>IF(最佳化斷筋點!Q94="","",最佳化斷筋點!Q94)</f>
        <v/>
      </c>
      <c r="AP94" s="6" t="str">
        <f>IF(最佳化斷筋點!R94="","",最佳化斷筋點!R94)</f>
        <v/>
      </c>
      <c r="AQ94" s="6" t="str">
        <f>IF(最佳化斷筋點!S94="","",最佳化斷筋點!S94)</f>
        <v/>
      </c>
      <c r="AR94" s="6" t="str">
        <f>IF(最佳化斷筋點!T94="","",最佳化斷筋點!T94)</f>
        <v/>
      </c>
      <c r="AS94" s="6" t="str">
        <f>IF(最佳化斷筋點!U94="","",最佳化斷筋點!U94)</f>
        <v/>
      </c>
      <c r="AT94" s="6" t="str">
        <f>IF(最佳化斷筋點!V94="","",最佳化斷筋點!V94)</f>
        <v/>
      </c>
      <c r="AU94" s="6" t="str">
        <f>IF(最佳化斷筋點!W94="","",最佳化斷筋點!W94)</f>
        <v/>
      </c>
      <c r="AV94" s="6" t="str">
        <f>IF(最佳化斷筋點!X94="","",最佳化斷筋點!X94)</f>
        <v/>
      </c>
    </row>
    <row r="95" spans="4:71" x14ac:dyDescent="0.25">
      <c r="D95" s="6" t="s">
        <v>50</v>
      </c>
      <c r="E95" s="6">
        <f t="shared" si="22"/>
        <v>0</v>
      </c>
      <c r="F95" s="6">
        <f t="shared" si="23"/>
        <v>0</v>
      </c>
      <c r="G95" s="6">
        <f t="shared" si="24"/>
        <v>0</v>
      </c>
      <c r="H95" s="6">
        <f t="shared" si="25"/>
        <v>0</v>
      </c>
      <c r="I95" s="6">
        <f t="shared" si="26"/>
        <v>0</v>
      </c>
      <c r="J95" s="6">
        <f t="shared" si="27"/>
        <v>0</v>
      </c>
      <c r="K95" s="6">
        <f t="shared" si="28"/>
        <v>0</v>
      </c>
      <c r="L95" s="6">
        <f t="shared" si="29"/>
        <v>0</v>
      </c>
      <c r="M95" s="6">
        <f t="shared" si="30"/>
        <v>0</v>
      </c>
      <c r="N95" s="6">
        <f t="shared" si="31"/>
        <v>0</v>
      </c>
      <c r="O95" s="6">
        <f t="shared" si="32"/>
        <v>0</v>
      </c>
      <c r="P95" s="6">
        <f t="shared" si="33"/>
        <v>0</v>
      </c>
      <c r="Q95" s="6">
        <f t="shared" si="34"/>
        <v>0</v>
      </c>
      <c r="R95" s="6">
        <f t="shared" si="35"/>
        <v>0</v>
      </c>
      <c r="S95" s="6">
        <f t="shared" si="36"/>
        <v>0</v>
      </c>
      <c r="T95" s="6">
        <f t="shared" si="37"/>
        <v>0</v>
      </c>
      <c r="U95" s="6">
        <f t="shared" si="38"/>
        <v>0</v>
      </c>
      <c r="V95" s="6">
        <f t="shared" si="39"/>
        <v>0</v>
      </c>
      <c r="W95" s="6">
        <f t="shared" si="40"/>
        <v>0</v>
      </c>
      <c r="X95" s="6">
        <f t="shared" si="41"/>
        <v>0</v>
      </c>
      <c r="Y95" s="6">
        <f t="shared" si="42"/>
        <v>0</v>
      </c>
      <c r="AA95" s="6" t="str">
        <f>IF(最佳化斷筋點!C95="","",最佳化斷筋點!C95)</f>
        <v>上層</v>
      </c>
      <c r="AB95" s="6">
        <f>IF(最佳化斷筋點!D95="","",最佳化斷筋點!D95)</f>
        <v>2</v>
      </c>
      <c r="AC95" s="6">
        <f>IF(最佳化斷筋點!E95="","",最佳化斷筋點!E95)</f>
        <v>2</v>
      </c>
      <c r="AD95" s="6">
        <f>IF(最佳化斷筋點!F95="","",最佳化斷筋點!F95)</f>
        <v>2</v>
      </c>
      <c r="AE95" s="6">
        <f>IF(最佳化斷筋點!G95="","",最佳化斷筋點!G95)</f>
        <v>2</v>
      </c>
      <c r="AF95" s="6">
        <f>IF(最佳化斷筋點!H95="","",最佳化斷筋點!H95)</f>
        <v>2</v>
      </c>
      <c r="AG95" s="6">
        <f>IF(最佳化斷筋點!I95="","",最佳化斷筋點!I95)</f>
        <v>2</v>
      </c>
      <c r="AH95" s="6">
        <f>IF(最佳化斷筋點!J95="","",最佳化斷筋點!J95)</f>
        <v>2</v>
      </c>
      <c r="AI95" s="6">
        <f>IF(最佳化斷筋點!K95="","",最佳化斷筋點!K95)</f>
        <v>2</v>
      </c>
      <c r="AJ95" s="6">
        <f>IF(最佳化斷筋點!L95="","",最佳化斷筋點!L95)</f>
        <v>2</v>
      </c>
      <c r="AK95" s="6">
        <f>IF(最佳化斷筋點!M95="","",最佳化斷筋點!M95)</f>
        <v>2</v>
      </c>
      <c r="AL95" s="6">
        <f>IF(最佳化斷筋點!N95="","",最佳化斷筋點!N95)</f>
        <v>2</v>
      </c>
      <c r="AM95" s="6">
        <f>IF(最佳化斷筋點!O95="","",最佳化斷筋點!O95)</f>
        <v>2</v>
      </c>
      <c r="AN95" s="6">
        <f>IF(最佳化斷筋點!P95="","",最佳化斷筋點!P95)</f>
        <v>2</v>
      </c>
      <c r="AO95" s="6">
        <f>IF(最佳化斷筋點!Q95="","",最佳化斷筋點!Q95)</f>
        <v>2</v>
      </c>
      <c r="AP95" s="6">
        <f>IF(最佳化斷筋點!R95="","",最佳化斷筋點!R95)</f>
        <v>2</v>
      </c>
      <c r="AQ95" s="6">
        <f>IF(最佳化斷筋點!S95="","",最佳化斷筋點!S95)</f>
        <v>2</v>
      </c>
      <c r="AR95" s="6">
        <f>IF(最佳化斷筋點!T95="","",最佳化斷筋點!T95)</f>
        <v>3</v>
      </c>
      <c r="AS95" s="6">
        <f>IF(最佳化斷筋點!U95="","",最佳化斷筋點!U95)</f>
        <v>3</v>
      </c>
      <c r="AT95" s="6">
        <f>IF(最佳化斷筋點!V95="","",最佳化斷筋點!V95)</f>
        <v>4</v>
      </c>
      <c r="AU95" s="6">
        <f>IF(最佳化斷筋點!W95="","",最佳化斷筋點!W95)</f>
        <v>4</v>
      </c>
      <c r="AV95" s="6">
        <f>IF(最佳化斷筋點!X95="","",最佳化斷筋點!X95)</f>
        <v>4</v>
      </c>
      <c r="AX95" s="6" t="s">
        <v>50</v>
      </c>
      <c r="AY95" s="6">
        <v>2</v>
      </c>
      <c r="AZ95" s="6">
        <v>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</row>
    <row r="96" spans="4:71" x14ac:dyDescent="0.25">
      <c r="E96" s="6">
        <f t="shared" si="22"/>
        <v>0</v>
      </c>
      <c r="F96" s="6">
        <f t="shared" si="23"/>
        <v>0</v>
      </c>
      <c r="G96" s="6">
        <f t="shared" si="24"/>
        <v>0</v>
      </c>
      <c r="H96" s="6">
        <f t="shared" si="25"/>
        <v>0</v>
      </c>
      <c r="I96" s="6">
        <f t="shared" si="26"/>
        <v>0</v>
      </c>
      <c r="J96" s="6">
        <f t="shared" si="27"/>
        <v>0</v>
      </c>
      <c r="K96" s="6">
        <f t="shared" si="28"/>
        <v>0</v>
      </c>
      <c r="L96" s="6">
        <f t="shared" si="29"/>
        <v>0</v>
      </c>
      <c r="M96" s="6">
        <f t="shared" si="30"/>
        <v>0</v>
      </c>
      <c r="N96" s="6">
        <f t="shared" si="31"/>
        <v>0</v>
      </c>
      <c r="O96" s="6">
        <f t="shared" si="32"/>
        <v>0</v>
      </c>
      <c r="P96" s="6">
        <f t="shared" si="33"/>
        <v>0</v>
      </c>
      <c r="Q96" s="6">
        <f t="shared" si="34"/>
        <v>0</v>
      </c>
      <c r="R96" s="6">
        <f t="shared" si="35"/>
        <v>0</v>
      </c>
      <c r="S96" s="6">
        <f t="shared" si="36"/>
        <v>0</v>
      </c>
      <c r="T96" s="6">
        <f t="shared" si="37"/>
        <v>0</v>
      </c>
      <c r="U96" s="6">
        <f t="shared" si="38"/>
        <v>0</v>
      </c>
      <c r="V96" s="6">
        <f t="shared" si="39"/>
        <v>0</v>
      </c>
      <c r="W96" s="6">
        <f t="shared" si="40"/>
        <v>0</v>
      </c>
      <c r="X96" s="6">
        <f t="shared" si="41"/>
        <v>0</v>
      </c>
      <c r="Y96" s="6">
        <f t="shared" si="42"/>
        <v>0</v>
      </c>
      <c r="AA96" s="6" t="str">
        <f>IF(最佳化斷筋點!C96="","",最佳化斷筋點!C96)</f>
        <v/>
      </c>
      <c r="AB96" s="6" t="str">
        <f>IF(最佳化斷筋點!D96="","",最佳化斷筋點!D96)</f>
        <v/>
      </c>
      <c r="AC96" s="6" t="str">
        <f>IF(最佳化斷筋點!E96="","",最佳化斷筋點!E96)</f>
        <v/>
      </c>
      <c r="AD96" s="6" t="str">
        <f>IF(最佳化斷筋點!F96="","",最佳化斷筋點!F96)</f>
        <v/>
      </c>
      <c r="AE96" s="6" t="str">
        <f>IF(最佳化斷筋點!G96="","",最佳化斷筋點!G96)</f>
        <v/>
      </c>
      <c r="AF96" s="6" t="str">
        <f>IF(最佳化斷筋點!H96="","",最佳化斷筋點!H96)</f>
        <v/>
      </c>
      <c r="AG96" s="6" t="str">
        <f>IF(最佳化斷筋點!I96="","",最佳化斷筋點!I96)</f>
        <v/>
      </c>
      <c r="AH96" s="6" t="str">
        <f>IF(最佳化斷筋點!J96="","",最佳化斷筋點!J96)</f>
        <v/>
      </c>
      <c r="AI96" s="6" t="str">
        <f>IF(最佳化斷筋點!K96="","",最佳化斷筋點!K96)</f>
        <v/>
      </c>
      <c r="AJ96" s="6" t="str">
        <f>IF(最佳化斷筋點!L96="","",最佳化斷筋點!L96)</f>
        <v/>
      </c>
      <c r="AK96" s="6" t="str">
        <f>IF(最佳化斷筋點!M96="","",最佳化斷筋點!M96)</f>
        <v/>
      </c>
      <c r="AL96" s="6" t="str">
        <f>IF(最佳化斷筋點!N96="","",最佳化斷筋點!N96)</f>
        <v/>
      </c>
      <c r="AM96" s="6" t="str">
        <f>IF(最佳化斷筋點!O96="","",最佳化斷筋點!O96)</f>
        <v/>
      </c>
      <c r="AN96" s="6" t="str">
        <f>IF(最佳化斷筋點!P96="","",最佳化斷筋點!P96)</f>
        <v/>
      </c>
      <c r="AO96" s="6" t="str">
        <f>IF(最佳化斷筋點!Q96="","",最佳化斷筋點!Q96)</f>
        <v/>
      </c>
      <c r="AP96" s="6" t="str">
        <f>IF(最佳化斷筋點!R96="","",最佳化斷筋點!R96)</f>
        <v/>
      </c>
      <c r="AQ96" s="6" t="str">
        <f>IF(最佳化斷筋點!S96="","",最佳化斷筋點!S96)</f>
        <v/>
      </c>
      <c r="AR96" s="6" t="str">
        <f>IF(最佳化斷筋點!T96="","",最佳化斷筋點!T96)</f>
        <v/>
      </c>
      <c r="AS96" s="6" t="str">
        <f>IF(最佳化斷筋點!U96="","",最佳化斷筋點!U96)</f>
        <v/>
      </c>
      <c r="AT96" s="6" t="str">
        <f>IF(最佳化斷筋點!V96="","",最佳化斷筋點!V96)</f>
        <v/>
      </c>
      <c r="AU96" s="6" t="str">
        <f>IF(最佳化斷筋點!W96="","",最佳化斷筋點!W96)</f>
        <v/>
      </c>
      <c r="AV96" s="6" t="str">
        <f>IF(最佳化斷筋點!X96="","",最佳化斷筋點!X96)</f>
        <v/>
      </c>
    </row>
    <row r="97" spans="4:71" x14ac:dyDescent="0.25">
      <c r="D97" s="6" t="s">
        <v>51</v>
      </c>
      <c r="E97" s="6">
        <f t="shared" si="22"/>
        <v>0</v>
      </c>
      <c r="F97" s="6">
        <f t="shared" si="23"/>
        <v>0</v>
      </c>
      <c r="G97" s="6">
        <f t="shared" si="24"/>
        <v>0</v>
      </c>
      <c r="H97" s="6">
        <f t="shared" si="25"/>
        <v>0</v>
      </c>
      <c r="I97" s="6">
        <f t="shared" si="26"/>
        <v>0</v>
      </c>
      <c r="J97" s="6">
        <f t="shared" si="27"/>
        <v>0</v>
      </c>
      <c r="K97" s="6">
        <f t="shared" si="28"/>
        <v>0</v>
      </c>
      <c r="L97" s="6">
        <f t="shared" si="29"/>
        <v>0</v>
      </c>
      <c r="M97" s="6">
        <f t="shared" si="30"/>
        <v>0</v>
      </c>
      <c r="N97" s="6">
        <f t="shared" si="31"/>
        <v>0</v>
      </c>
      <c r="O97" s="6">
        <f t="shared" si="32"/>
        <v>0</v>
      </c>
      <c r="P97" s="6">
        <f t="shared" si="33"/>
        <v>0</v>
      </c>
      <c r="Q97" s="6">
        <f t="shared" si="34"/>
        <v>0</v>
      </c>
      <c r="R97" s="6">
        <f t="shared" si="35"/>
        <v>0</v>
      </c>
      <c r="S97" s="6">
        <f t="shared" si="36"/>
        <v>0</v>
      </c>
      <c r="T97" s="6">
        <f t="shared" si="37"/>
        <v>0</v>
      </c>
      <c r="U97" s="6">
        <f t="shared" si="38"/>
        <v>0</v>
      </c>
      <c r="V97" s="6">
        <f t="shared" si="39"/>
        <v>0</v>
      </c>
      <c r="W97" s="6">
        <f t="shared" si="40"/>
        <v>0</v>
      </c>
      <c r="X97" s="6">
        <f t="shared" si="41"/>
        <v>0</v>
      </c>
      <c r="Y97" s="6">
        <f t="shared" si="42"/>
        <v>0</v>
      </c>
      <c r="AA97" s="6" t="str">
        <f>IF(最佳化斷筋點!C97="","",最佳化斷筋點!C97)</f>
        <v>下層</v>
      </c>
      <c r="AB97" s="6">
        <f>IF(最佳化斷筋點!D97="","",最佳化斷筋點!D97)</f>
        <v>4</v>
      </c>
      <c r="AC97" s="6">
        <f>IF(最佳化斷筋點!E97="","",最佳化斷筋點!E97)</f>
        <v>4</v>
      </c>
      <c r="AD97" s="6">
        <f>IF(最佳化斷筋點!F97="","",最佳化斷筋點!F97)</f>
        <v>4</v>
      </c>
      <c r="AE97" s="6">
        <f>IF(最佳化斷筋點!G97="","",最佳化斷筋點!G97)</f>
        <v>3</v>
      </c>
      <c r="AF97" s="6">
        <f>IF(最佳化斷筋點!H97="","",最佳化斷筋點!H97)</f>
        <v>4</v>
      </c>
      <c r="AG97" s="6">
        <f>IF(最佳化斷筋點!I97="","",最佳化斷筋點!I97)</f>
        <v>4</v>
      </c>
      <c r="AH97" s="6">
        <f>IF(最佳化斷筋點!J97="","",最佳化斷筋點!J97)</f>
        <v>5</v>
      </c>
      <c r="AI97" s="6">
        <f>IF(最佳化斷筋點!K97="","",最佳化斷筋點!K97)</f>
        <v>5</v>
      </c>
      <c r="AJ97" s="6">
        <f>IF(最佳化斷筋點!L97="","",最佳化斷筋點!L97)</f>
        <v>5</v>
      </c>
      <c r="AK97" s="6">
        <f>IF(最佳化斷筋點!M97="","",最佳化斷筋點!M97)</f>
        <v>5</v>
      </c>
      <c r="AL97" s="6">
        <f>IF(最佳化斷筋點!N97="","",最佳化斷筋點!N97)</f>
        <v>5</v>
      </c>
      <c r="AM97" s="6">
        <f>IF(最佳化斷筋點!O97="","",最佳化斷筋點!O97)</f>
        <v>5</v>
      </c>
      <c r="AN97" s="6">
        <f>IF(最佳化斷筋點!P97="","",最佳化斷筋點!P97)</f>
        <v>5</v>
      </c>
      <c r="AO97" s="6">
        <f>IF(最佳化斷筋點!Q97="","",最佳化斷筋點!Q97)</f>
        <v>5</v>
      </c>
      <c r="AP97" s="6">
        <f>IF(最佳化斷筋點!R97="","",最佳化斷筋點!R97)</f>
        <v>5</v>
      </c>
      <c r="AQ97" s="6">
        <f>IF(最佳化斷筋點!S97="","",最佳化斷筋點!S97)</f>
        <v>4</v>
      </c>
      <c r="AR97" s="6">
        <f>IF(最佳化斷筋點!T97="","",最佳化斷筋點!T97)</f>
        <v>4</v>
      </c>
      <c r="AS97" s="6">
        <f>IF(最佳化斷筋點!U97="","",最佳化斷筋點!U97)</f>
        <v>3</v>
      </c>
      <c r="AT97" s="6">
        <f>IF(最佳化斷筋點!V97="","",最佳化斷筋點!V97)</f>
        <v>3</v>
      </c>
      <c r="AU97" s="6">
        <f>IF(最佳化斷筋點!W97="","",最佳化斷筋點!W97)</f>
        <v>3</v>
      </c>
      <c r="AV97" s="6">
        <f>IF(最佳化斷筋點!X97="","",最佳化斷筋點!X97)</f>
        <v>3</v>
      </c>
      <c r="AX97" s="6" t="s">
        <v>51</v>
      </c>
      <c r="AY97" s="6">
        <v>4</v>
      </c>
      <c r="AZ97" s="6">
        <v>4</v>
      </c>
      <c r="BA97" s="6">
        <v>4</v>
      </c>
      <c r="BB97" s="6">
        <v>3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4</v>
      </c>
      <c r="BO97" s="6">
        <v>4</v>
      </c>
      <c r="BP97" s="6">
        <v>3</v>
      </c>
      <c r="BQ97" s="6">
        <v>3</v>
      </c>
      <c r="BR97" s="6">
        <v>3</v>
      </c>
      <c r="BS97" s="6">
        <v>3</v>
      </c>
    </row>
    <row r="98" spans="4:71" x14ac:dyDescent="0.25">
      <c r="E98" s="6">
        <f t="shared" si="22"/>
        <v>0</v>
      </c>
      <c r="F98" s="6">
        <f t="shared" si="23"/>
        <v>0</v>
      </c>
      <c r="G98" s="6">
        <f t="shared" si="24"/>
        <v>0</v>
      </c>
      <c r="H98" s="6">
        <f t="shared" si="25"/>
        <v>0</v>
      </c>
      <c r="I98" s="6">
        <f t="shared" si="26"/>
        <v>0</v>
      </c>
      <c r="J98" s="6">
        <f t="shared" si="27"/>
        <v>0</v>
      </c>
      <c r="K98" s="6">
        <f t="shared" si="28"/>
        <v>0</v>
      </c>
      <c r="L98" s="6">
        <f t="shared" si="29"/>
        <v>0</v>
      </c>
      <c r="M98" s="6">
        <f t="shared" si="30"/>
        <v>0</v>
      </c>
      <c r="N98" s="6">
        <f t="shared" si="31"/>
        <v>0</v>
      </c>
      <c r="O98" s="6">
        <f t="shared" si="32"/>
        <v>0</v>
      </c>
      <c r="P98" s="6">
        <f t="shared" si="33"/>
        <v>0</v>
      </c>
      <c r="Q98" s="6">
        <f t="shared" si="34"/>
        <v>0</v>
      </c>
      <c r="R98" s="6">
        <f t="shared" si="35"/>
        <v>0</v>
      </c>
      <c r="S98" s="6">
        <f t="shared" si="36"/>
        <v>0</v>
      </c>
      <c r="T98" s="6">
        <f t="shared" si="37"/>
        <v>0</v>
      </c>
      <c r="U98" s="6">
        <f t="shared" si="38"/>
        <v>0</v>
      </c>
      <c r="V98" s="6">
        <f t="shared" si="39"/>
        <v>0</v>
      </c>
      <c r="W98" s="6">
        <f t="shared" si="40"/>
        <v>0</v>
      </c>
      <c r="X98" s="6">
        <f t="shared" si="41"/>
        <v>0</v>
      </c>
      <c r="Y98" s="6">
        <f t="shared" si="42"/>
        <v>0</v>
      </c>
      <c r="AA98" s="6" t="str">
        <f>IF(最佳化斷筋點!C98="","",最佳化斷筋點!C98)</f>
        <v/>
      </c>
      <c r="AB98" s="6" t="str">
        <f>IF(最佳化斷筋點!D98="","",最佳化斷筋點!D98)</f>
        <v/>
      </c>
      <c r="AC98" s="6" t="str">
        <f>IF(最佳化斷筋點!E98="","",最佳化斷筋點!E98)</f>
        <v/>
      </c>
      <c r="AD98" s="6" t="str">
        <f>IF(最佳化斷筋點!F98="","",最佳化斷筋點!F98)</f>
        <v/>
      </c>
      <c r="AE98" s="6" t="str">
        <f>IF(最佳化斷筋點!G98="","",最佳化斷筋點!G98)</f>
        <v/>
      </c>
      <c r="AF98" s="6" t="str">
        <f>IF(最佳化斷筋點!H98="","",最佳化斷筋點!H98)</f>
        <v/>
      </c>
      <c r="AG98" s="6" t="str">
        <f>IF(最佳化斷筋點!I98="","",最佳化斷筋點!I98)</f>
        <v/>
      </c>
      <c r="AH98" s="6" t="str">
        <f>IF(最佳化斷筋點!J98="","",最佳化斷筋點!J98)</f>
        <v/>
      </c>
      <c r="AI98" s="6" t="str">
        <f>IF(最佳化斷筋點!K98="","",最佳化斷筋點!K98)</f>
        <v/>
      </c>
      <c r="AJ98" s="6" t="str">
        <f>IF(最佳化斷筋點!L98="","",最佳化斷筋點!L98)</f>
        <v/>
      </c>
      <c r="AK98" s="6" t="str">
        <f>IF(最佳化斷筋點!M98="","",最佳化斷筋點!M98)</f>
        <v/>
      </c>
      <c r="AL98" s="6" t="str">
        <f>IF(最佳化斷筋點!N98="","",最佳化斷筋點!N98)</f>
        <v/>
      </c>
      <c r="AM98" s="6" t="str">
        <f>IF(最佳化斷筋點!O98="","",最佳化斷筋點!O98)</f>
        <v/>
      </c>
      <c r="AN98" s="6" t="str">
        <f>IF(最佳化斷筋點!P98="","",最佳化斷筋點!P98)</f>
        <v/>
      </c>
      <c r="AO98" s="6" t="str">
        <f>IF(最佳化斷筋點!Q98="","",最佳化斷筋點!Q98)</f>
        <v/>
      </c>
      <c r="AP98" s="6" t="str">
        <f>IF(最佳化斷筋點!R98="","",最佳化斷筋點!R98)</f>
        <v/>
      </c>
      <c r="AQ98" s="6" t="str">
        <f>IF(最佳化斷筋點!S98="","",最佳化斷筋點!S98)</f>
        <v/>
      </c>
      <c r="AR98" s="6" t="str">
        <f>IF(最佳化斷筋點!T98="","",最佳化斷筋點!T98)</f>
        <v/>
      </c>
      <c r="AS98" s="6" t="str">
        <f>IF(最佳化斷筋點!U98="","",最佳化斷筋點!U98)</f>
        <v/>
      </c>
      <c r="AT98" s="6" t="str">
        <f>IF(最佳化斷筋點!V98="","",最佳化斷筋點!V98)</f>
        <v/>
      </c>
      <c r="AU98" s="6" t="str">
        <f>IF(最佳化斷筋點!W98="","",最佳化斷筋點!W98)</f>
        <v/>
      </c>
      <c r="AV98" s="6" t="str">
        <f>IF(最佳化斷筋點!X98="","",最佳化斷筋點!X98)</f>
        <v/>
      </c>
    </row>
    <row r="99" spans="4:71" x14ac:dyDescent="0.25">
      <c r="D99" s="6" t="s">
        <v>50</v>
      </c>
      <c r="E99" s="6">
        <f t="shared" si="22"/>
        <v>0</v>
      </c>
      <c r="F99" s="6">
        <f t="shared" si="23"/>
        <v>0</v>
      </c>
      <c r="G99" s="6">
        <f t="shared" si="24"/>
        <v>0</v>
      </c>
      <c r="H99" s="6">
        <f t="shared" si="25"/>
        <v>0</v>
      </c>
      <c r="I99" s="6">
        <f t="shared" si="26"/>
        <v>0</v>
      </c>
      <c r="J99" s="6">
        <f t="shared" si="27"/>
        <v>0</v>
      </c>
      <c r="K99" s="6">
        <f t="shared" si="28"/>
        <v>0</v>
      </c>
      <c r="L99" s="6">
        <f t="shared" si="29"/>
        <v>0</v>
      </c>
      <c r="M99" s="6">
        <f t="shared" si="30"/>
        <v>0</v>
      </c>
      <c r="N99" s="6">
        <f t="shared" si="31"/>
        <v>0</v>
      </c>
      <c r="O99" s="6">
        <f t="shared" si="32"/>
        <v>0</v>
      </c>
      <c r="P99" s="6">
        <f t="shared" si="33"/>
        <v>0</v>
      </c>
      <c r="Q99" s="6">
        <f t="shared" si="34"/>
        <v>0</v>
      </c>
      <c r="R99" s="6">
        <f t="shared" si="35"/>
        <v>0</v>
      </c>
      <c r="S99" s="6">
        <f t="shared" si="36"/>
        <v>0</v>
      </c>
      <c r="T99" s="6">
        <f t="shared" si="37"/>
        <v>0</v>
      </c>
      <c r="U99" s="6">
        <f t="shared" si="38"/>
        <v>0</v>
      </c>
      <c r="V99" s="6">
        <f t="shared" si="39"/>
        <v>0</v>
      </c>
      <c r="W99" s="6">
        <f t="shared" si="40"/>
        <v>0</v>
      </c>
      <c r="X99" s="6">
        <f t="shared" si="41"/>
        <v>0</v>
      </c>
      <c r="Y99" s="6">
        <f t="shared" si="42"/>
        <v>0</v>
      </c>
      <c r="AA99" s="6" t="str">
        <f>IF(最佳化斷筋點!C99="","",最佳化斷筋點!C99)</f>
        <v>上層</v>
      </c>
      <c r="AB99" s="6">
        <f>IF(最佳化斷筋點!D99="","",最佳化斷筋點!D99)</f>
        <v>2</v>
      </c>
      <c r="AC99" s="6">
        <f>IF(最佳化斷筋點!E99="","",最佳化斷筋點!E99)</f>
        <v>2</v>
      </c>
      <c r="AD99" s="6">
        <f>IF(最佳化斷筋點!F99="","",最佳化斷筋點!F99)</f>
        <v>2</v>
      </c>
      <c r="AE99" s="6">
        <f>IF(最佳化斷筋點!G99="","",最佳化斷筋點!G99)</f>
        <v>2</v>
      </c>
      <c r="AF99" s="6">
        <f>IF(最佳化斷筋點!H99="","",最佳化斷筋點!H99)</f>
        <v>2</v>
      </c>
      <c r="AG99" s="6">
        <f>IF(最佳化斷筋點!I99="","",最佳化斷筋點!I99)</f>
        <v>2</v>
      </c>
      <c r="AH99" s="6">
        <f>IF(最佳化斷筋點!J99="","",最佳化斷筋點!J99)</f>
        <v>2</v>
      </c>
      <c r="AI99" s="6">
        <f>IF(最佳化斷筋點!K99="","",最佳化斷筋點!K99)</f>
        <v>2</v>
      </c>
      <c r="AJ99" s="6">
        <f>IF(最佳化斷筋點!L99="","",最佳化斷筋點!L99)</f>
        <v>2</v>
      </c>
      <c r="AK99" s="6">
        <f>IF(最佳化斷筋點!M99="","",最佳化斷筋點!M99)</f>
        <v>2</v>
      </c>
      <c r="AL99" s="6">
        <f>IF(最佳化斷筋點!N99="","",最佳化斷筋點!N99)</f>
        <v>2</v>
      </c>
      <c r="AM99" s="6">
        <f>IF(最佳化斷筋點!O99="","",最佳化斷筋點!O99)</f>
        <v>2</v>
      </c>
      <c r="AN99" s="6">
        <f>IF(最佳化斷筋點!P99="","",最佳化斷筋點!P99)</f>
        <v>2</v>
      </c>
      <c r="AO99" s="6">
        <f>IF(最佳化斷筋點!Q99="","",最佳化斷筋點!Q99)</f>
        <v>2</v>
      </c>
      <c r="AP99" s="6">
        <f>IF(最佳化斷筋點!R99="","",最佳化斷筋點!R99)</f>
        <v>2</v>
      </c>
      <c r="AQ99" s="6">
        <f>IF(最佳化斷筋點!S99="","",最佳化斷筋點!S99)</f>
        <v>2</v>
      </c>
      <c r="AR99" s="6">
        <f>IF(最佳化斷筋點!T99="","",最佳化斷筋點!T99)</f>
        <v>3</v>
      </c>
      <c r="AS99" s="6">
        <f>IF(最佳化斷筋點!U99="","",最佳化斷筋點!U99)</f>
        <v>3</v>
      </c>
      <c r="AT99" s="6">
        <f>IF(最佳化斷筋點!V99="","",最佳化斷筋點!V99)</f>
        <v>4</v>
      </c>
      <c r="AU99" s="6">
        <f>IF(最佳化斷筋點!W99="","",最佳化斷筋點!W99)</f>
        <v>4</v>
      </c>
      <c r="AV99" s="6">
        <f>IF(最佳化斷筋點!X99="","",最佳化斷筋點!X99)</f>
        <v>4</v>
      </c>
      <c r="AX99" s="6" t="s">
        <v>50</v>
      </c>
      <c r="AY99" s="6">
        <v>2</v>
      </c>
      <c r="AZ99" s="6">
        <v>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</row>
    <row r="100" spans="4:71" x14ac:dyDescent="0.25">
      <c r="E100" s="6">
        <f t="shared" si="22"/>
        <v>0</v>
      </c>
      <c r="F100" s="6">
        <f t="shared" si="23"/>
        <v>0</v>
      </c>
      <c r="G100" s="6">
        <f t="shared" si="24"/>
        <v>0</v>
      </c>
      <c r="H100" s="6">
        <f t="shared" si="25"/>
        <v>0</v>
      </c>
      <c r="I100" s="6">
        <f t="shared" si="26"/>
        <v>0</v>
      </c>
      <c r="J100" s="6">
        <f t="shared" si="27"/>
        <v>0</v>
      </c>
      <c r="K100" s="6">
        <f t="shared" si="28"/>
        <v>0</v>
      </c>
      <c r="L100" s="6">
        <f t="shared" si="29"/>
        <v>0</v>
      </c>
      <c r="M100" s="6">
        <f t="shared" si="30"/>
        <v>0</v>
      </c>
      <c r="N100" s="6">
        <f t="shared" si="31"/>
        <v>0</v>
      </c>
      <c r="O100" s="6">
        <f t="shared" si="32"/>
        <v>0</v>
      </c>
      <c r="P100" s="6">
        <f t="shared" si="33"/>
        <v>0</v>
      </c>
      <c r="Q100" s="6">
        <f t="shared" si="34"/>
        <v>0</v>
      </c>
      <c r="R100" s="6">
        <f t="shared" si="35"/>
        <v>0</v>
      </c>
      <c r="S100" s="6">
        <f t="shared" si="36"/>
        <v>0</v>
      </c>
      <c r="T100" s="6">
        <f t="shared" si="37"/>
        <v>0</v>
      </c>
      <c r="U100" s="6">
        <f t="shared" si="38"/>
        <v>0</v>
      </c>
      <c r="V100" s="6">
        <f t="shared" si="39"/>
        <v>0</v>
      </c>
      <c r="W100" s="6">
        <f t="shared" si="40"/>
        <v>0</v>
      </c>
      <c r="X100" s="6">
        <f t="shared" si="41"/>
        <v>0</v>
      </c>
      <c r="Y100" s="6">
        <f t="shared" si="42"/>
        <v>0</v>
      </c>
      <c r="AA100" s="6" t="str">
        <f>IF(最佳化斷筋點!C100="","",最佳化斷筋點!C100)</f>
        <v/>
      </c>
      <c r="AB100" s="6" t="str">
        <f>IF(最佳化斷筋點!D100="","",最佳化斷筋點!D100)</f>
        <v/>
      </c>
      <c r="AC100" s="6" t="str">
        <f>IF(最佳化斷筋點!E100="","",最佳化斷筋點!E100)</f>
        <v/>
      </c>
      <c r="AD100" s="6" t="str">
        <f>IF(最佳化斷筋點!F100="","",最佳化斷筋點!F100)</f>
        <v/>
      </c>
      <c r="AE100" s="6" t="str">
        <f>IF(最佳化斷筋點!G100="","",最佳化斷筋點!G100)</f>
        <v/>
      </c>
      <c r="AF100" s="6" t="str">
        <f>IF(最佳化斷筋點!H100="","",最佳化斷筋點!H100)</f>
        <v/>
      </c>
      <c r="AG100" s="6" t="str">
        <f>IF(最佳化斷筋點!I100="","",最佳化斷筋點!I100)</f>
        <v/>
      </c>
      <c r="AH100" s="6" t="str">
        <f>IF(最佳化斷筋點!J100="","",最佳化斷筋點!J100)</f>
        <v/>
      </c>
      <c r="AI100" s="6" t="str">
        <f>IF(最佳化斷筋點!K100="","",最佳化斷筋點!K100)</f>
        <v/>
      </c>
      <c r="AJ100" s="6" t="str">
        <f>IF(最佳化斷筋點!L100="","",最佳化斷筋點!L100)</f>
        <v/>
      </c>
      <c r="AK100" s="6" t="str">
        <f>IF(最佳化斷筋點!M100="","",最佳化斷筋點!M100)</f>
        <v/>
      </c>
      <c r="AL100" s="6" t="str">
        <f>IF(最佳化斷筋點!N100="","",最佳化斷筋點!N100)</f>
        <v/>
      </c>
      <c r="AM100" s="6" t="str">
        <f>IF(最佳化斷筋點!O100="","",最佳化斷筋點!O100)</f>
        <v/>
      </c>
      <c r="AN100" s="6" t="str">
        <f>IF(最佳化斷筋點!P100="","",最佳化斷筋點!P100)</f>
        <v/>
      </c>
      <c r="AO100" s="6" t="str">
        <f>IF(最佳化斷筋點!Q100="","",最佳化斷筋點!Q100)</f>
        <v/>
      </c>
      <c r="AP100" s="6" t="str">
        <f>IF(最佳化斷筋點!R100="","",最佳化斷筋點!R100)</f>
        <v/>
      </c>
      <c r="AQ100" s="6" t="str">
        <f>IF(最佳化斷筋點!S100="","",最佳化斷筋點!S100)</f>
        <v/>
      </c>
      <c r="AR100" s="6" t="str">
        <f>IF(最佳化斷筋點!T100="","",最佳化斷筋點!T100)</f>
        <v/>
      </c>
      <c r="AS100" s="6" t="str">
        <f>IF(最佳化斷筋點!U100="","",最佳化斷筋點!U100)</f>
        <v/>
      </c>
      <c r="AT100" s="6" t="str">
        <f>IF(最佳化斷筋點!V100="","",最佳化斷筋點!V100)</f>
        <v/>
      </c>
      <c r="AU100" s="6" t="str">
        <f>IF(最佳化斷筋點!W100="","",最佳化斷筋點!W100)</f>
        <v/>
      </c>
      <c r="AV100" s="6" t="str">
        <f>IF(最佳化斷筋點!X100="","",最佳化斷筋點!X100)</f>
        <v/>
      </c>
    </row>
    <row r="101" spans="4:71" x14ac:dyDescent="0.25">
      <c r="D101" s="6" t="s">
        <v>51</v>
      </c>
      <c r="E101" s="6">
        <f t="shared" si="22"/>
        <v>0</v>
      </c>
      <c r="F101" s="6">
        <f t="shared" si="23"/>
        <v>0</v>
      </c>
      <c r="G101" s="6">
        <f t="shared" si="24"/>
        <v>0</v>
      </c>
      <c r="H101" s="6">
        <f t="shared" si="25"/>
        <v>0</v>
      </c>
      <c r="I101" s="6">
        <f t="shared" si="26"/>
        <v>0</v>
      </c>
      <c r="J101" s="6">
        <f t="shared" si="27"/>
        <v>0</v>
      </c>
      <c r="K101" s="6">
        <f t="shared" si="28"/>
        <v>0</v>
      </c>
      <c r="L101" s="6">
        <f t="shared" si="29"/>
        <v>0</v>
      </c>
      <c r="M101" s="6">
        <f t="shared" si="30"/>
        <v>0</v>
      </c>
      <c r="N101" s="6">
        <f t="shared" si="31"/>
        <v>0</v>
      </c>
      <c r="O101" s="6">
        <f t="shared" si="32"/>
        <v>0</v>
      </c>
      <c r="P101" s="6">
        <f t="shared" si="33"/>
        <v>0</v>
      </c>
      <c r="Q101" s="6">
        <f t="shared" si="34"/>
        <v>0</v>
      </c>
      <c r="R101" s="6">
        <f t="shared" si="35"/>
        <v>0</v>
      </c>
      <c r="S101" s="6">
        <f t="shared" si="36"/>
        <v>0</v>
      </c>
      <c r="T101" s="6">
        <f t="shared" si="37"/>
        <v>0</v>
      </c>
      <c r="U101" s="6">
        <f t="shared" si="38"/>
        <v>0</v>
      </c>
      <c r="V101" s="6">
        <f t="shared" si="39"/>
        <v>0</v>
      </c>
      <c r="W101" s="6">
        <f t="shared" si="40"/>
        <v>0</v>
      </c>
      <c r="X101" s="6">
        <f t="shared" si="41"/>
        <v>0</v>
      </c>
      <c r="Y101" s="6">
        <f t="shared" si="42"/>
        <v>0</v>
      </c>
      <c r="AA101" s="6" t="str">
        <f>IF(最佳化斷筋點!C101="","",最佳化斷筋點!C101)</f>
        <v>下層</v>
      </c>
      <c r="AB101" s="6">
        <f>IF(最佳化斷筋點!D101="","",最佳化斷筋點!D101)</f>
        <v>4</v>
      </c>
      <c r="AC101" s="6">
        <f>IF(最佳化斷筋點!E101="","",最佳化斷筋點!E101)</f>
        <v>4</v>
      </c>
      <c r="AD101" s="6">
        <f>IF(最佳化斷筋點!F101="","",最佳化斷筋點!F101)</f>
        <v>4</v>
      </c>
      <c r="AE101" s="6">
        <f>IF(最佳化斷筋點!G101="","",最佳化斷筋點!G101)</f>
        <v>3</v>
      </c>
      <c r="AF101" s="6">
        <f>IF(最佳化斷筋點!H101="","",最佳化斷筋點!H101)</f>
        <v>4</v>
      </c>
      <c r="AG101" s="6">
        <f>IF(最佳化斷筋點!I101="","",最佳化斷筋點!I101)</f>
        <v>4</v>
      </c>
      <c r="AH101" s="6">
        <f>IF(最佳化斷筋點!J101="","",最佳化斷筋點!J101)</f>
        <v>5</v>
      </c>
      <c r="AI101" s="6">
        <f>IF(最佳化斷筋點!K101="","",最佳化斷筋點!K101)</f>
        <v>5</v>
      </c>
      <c r="AJ101" s="6">
        <f>IF(最佳化斷筋點!L101="","",最佳化斷筋點!L101)</f>
        <v>5</v>
      </c>
      <c r="AK101" s="6">
        <f>IF(最佳化斷筋點!M101="","",最佳化斷筋點!M101)</f>
        <v>5</v>
      </c>
      <c r="AL101" s="6">
        <f>IF(最佳化斷筋點!N101="","",最佳化斷筋點!N101)</f>
        <v>5</v>
      </c>
      <c r="AM101" s="6">
        <f>IF(最佳化斷筋點!O101="","",最佳化斷筋點!O101)</f>
        <v>5</v>
      </c>
      <c r="AN101" s="6">
        <f>IF(最佳化斷筋點!P101="","",最佳化斷筋點!P101)</f>
        <v>5</v>
      </c>
      <c r="AO101" s="6">
        <f>IF(最佳化斷筋點!Q101="","",最佳化斷筋點!Q101)</f>
        <v>5</v>
      </c>
      <c r="AP101" s="6">
        <f>IF(最佳化斷筋點!R101="","",最佳化斷筋點!R101)</f>
        <v>5</v>
      </c>
      <c r="AQ101" s="6">
        <f>IF(最佳化斷筋點!S101="","",最佳化斷筋點!S101)</f>
        <v>4</v>
      </c>
      <c r="AR101" s="6">
        <f>IF(最佳化斷筋點!T101="","",最佳化斷筋點!T101)</f>
        <v>4</v>
      </c>
      <c r="AS101" s="6">
        <f>IF(最佳化斷筋點!U101="","",最佳化斷筋點!U101)</f>
        <v>3</v>
      </c>
      <c r="AT101" s="6">
        <f>IF(最佳化斷筋點!V101="","",最佳化斷筋點!V101)</f>
        <v>3</v>
      </c>
      <c r="AU101" s="6">
        <f>IF(最佳化斷筋點!W101="","",最佳化斷筋點!W101)</f>
        <v>3</v>
      </c>
      <c r="AV101" s="6">
        <f>IF(最佳化斷筋點!X101="","",最佳化斷筋點!X101)</f>
        <v>3</v>
      </c>
      <c r="AX101" s="6" t="s">
        <v>51</v>
      </c>
      <c r="AY101" s="6">
        <v>4</v>
      </c>
      <c r="AZ101" s="6">
        <v>4</v>
      </c>
      <c r="BA101" s="6">
        <v>4</v>
      </c>
      <c r="BB101" s="6">
        <v>3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4</v>
      </c>
      <c r="BO101" s="6">
        <v>4</v>
      </c>
      <c r="BP101" s="6">
        <v>3</v>
      </c>
      <c r="BQ101" s="6">
        <v>3</v>
      </c>
      <c r="BR101" s="6">
        <v>3</v>
      </c>
      <c r="BS101" s="6">
        <v>3</v>
      </c>
    </row>
    <row r="102" spans="4:71" x14ac:dyDescent="0.25">
      <c r="E102" s="6">
        <f t="shared" si="22"/>
        <v>0</v>
      </c>
      <c r="F102" s="6">
        <f t="shared" si="23"/>
        <v>0</v>
      </c>
      <c r="G102" s="6">
        <f t="shared" si="24"/>
        <v>0</v>
      </c>
      <c r="H102" s="6">
        <f t="shared" si="25"/>
        <v>0</v>
      </c>
      <c r="I102" s="6">
        <f t="shared" si="26"/>
        <v>0</v>
      </c>
      <c r="J102" s="6">
        <f t="shared" si="27"/>
        <v>0</v>
      </c>
      <c r="K102" s="6">
        <f t="shared" si="28"/>
        <v>0</v>
      </c>
      <c r="L102" s="6">
        <f t="shared" si="29"/>
        <v>0</v>
      </c>
      <c r="M102" s="6">
        <f t="shared" si="30"/>
        <v>0</v>
      </c>
      <c r="N102" s="6">
        <f t="shared" si="31"/>
        <v>0</v>
      </c>
      <c r="O102" s="6">
        <f t="shared" si="32"/>
        <v>0</v>
      </c>
      <c r="P102" s="6">
        <f t="shared" si="33"/>
        <v>0</v>
      </c>
      <c r="Q102" s="6">
        <f t="shared" si="34"/>
        <v>0</v>
      </c>
      <c r="R102" s="6">
        <f t="shared" si="35"/>
        <v>0</v>
      </c>
      <c r="S102" s="6">
        <f t="shared" si="36"/>
        <v>0</v>
      </c>
      <c r="T102" s="6">
        <f t="shared" si="37"/>
        <v>0</v>
      </c>
      <c r="U102" s="6">
        <f t="shared" si="38"/>
        <v>0</v>
      </c>
      <c r="V102" s="6">
        <f t="shared" si="39"/>
        <v>0</v>
      </c>
      <c r="W102" s="6">
        <f t="shared" si="40"/>
        <v>0</v>
      </c>
      <c r="X102" s="6">
        <f t="shared" si="41"/>
        <v>0</v>
      </c>
      <c r="Y102" s="6">
        <f t="shared" si="42"/>
        <v>0</v>
      </c>
      <c r="AA102" s="6" t="str">
        <f>IF(最佳化斷筋點!C102="","",最佳化斷筋點!C102)</f>
        <v/>
      </c>
      <c r="AB102" s="6" t="str">
        <f>IF(最佳化斷筋點!D102="","",最佳化斷筋點!D102)</f>
        <v/>
      </c>
      <c r="AC102" s="6" t="str">
        <f>IF(最佳化斷筋點!E102="","",最佳化斷筋點!E102)</f>
        <v/>
      </c>
      <c r="AD102" s="6" t="str">
        <f>IF(最佳化斷筋點!F102="","",最佳化斷筋點!F102)</f>
        <v/>
      </c>
      <c r="AE102" s="6" t="str">
        <f>IF(最佳化斷筋點!G102="","",最佳化斷筋點!G102)</f>
        <v/>
      </c>
      <c r="AF102" s="6" t="str">
        <f>IF(最佳化斷筋點!H102="","",最佳化斷筋點!H102)</f>
        <v/>
      </c>
      <c r="AG102" s="6" t="str">
        <f>IF(最佳化斷筋點!I102="","",最佳化斷筋點!I102)</f>
        <v/>
      </c>
      <c r="AH102" s="6" t="str">
        <f>IF(最佳化斷筋點!J102="","",最佳化斷筋點!J102)</f>
        <v/>
      </c>
      <c r="AI102" s="6" t="str">
        <f>IF(最佳化斷筋點!K102="","",最佳化斷筋點!K102)</f>
        <v/>
      </c>
      <c r="AJ102" s="6" t="str">
        <f>IF(最佳化斷筋點!L102="","",最佳化斷筋點!L102)</f>
        <v/>
      </c>
      <c r="AK102" s="6" t="str">
        <f>IF(最佳化斷筋點!M102="","",最佳化斷筋點!M102)</f>
        <v/>
      </c>
      <c r="AL102" s="6" t="str">
        <f>IF(最佳化斷筋點!N102="","",最佳化斷筋點!N102)</f>
        <v/>
      </c>
      <c r="AM102" s="6" t="str">
        <f>IF(最佳化斷筋點!O102="","",最佳化斷筋點!O102)</f>
        <v/>
      </c>
      <c r="AN102" s="6" t="str">
        <f>IF(最佳化斷筋點!P102="","",最佳化斷筋點!P102)</f>
        <v/>
      </c>
      <c r="AO102" s="6" t="str">
        <f>IF(最佳化斷筋點!Q102="","",最佳化斷筋點!Q102)</f>
        <v/>
      </c>
      <c r="AP102" s="6" t="str">
        <f>IF(最佳化斷筋點!R102="","",最佳化斷筋點!R102)</f>
        <v/>
      </c>
      <c r="AQ102" s="6" t="str">
        <f>IF(最佳化斷筋點!S102="","",最佳化斷筋點!S102)</f>
        <v/>
      </c>
      <c r="AR102" s="6" t="str">
        <f>IF(最佳化斷筋點!T102="","",最佳化斷筋點!T102)</f>
        <v/>
      </c>
      <c r="AS102" s="6" t="str">
        <f>IF(最佳化斷筋點!U102="","",最佳化斷筋點!U102)</f>
        <v/>
      </c>
      <c r="AT102" s="6" t="str">
        <f>IF(最佳化斷筋點!V102="","",最佳化斷筋點!V102)</f>
        <v/>
      </c>
      <c r="AU102" s="6" t="str">
        <f>IF(最佳化斷筋點!W102="","",最佳化斷筋點!W102)</f>
        <v/>
      </c>
      <c r="AV102" s="6" t="str">
        <f>IF(最佳化斷筋點!X102="","",最佳化斷筋點!X102)</f>
        <v/>
      </c>
    </row>
    <row r="103" spans="4:71" x14ac:dyDescent="0.25">
      <c r="D103" s="6" t="s">
        <v>50</v>
      </c>
      <c r="E103" s="6">
        <f t="shared" si="22"/>
        <v>0</v>
      </c>
      <c r="F103" s="6">
        <f t="shared" si="23"/>
        <v>0</v>
      </c>
      <c r="G103" s="6">
        <f t="shared" si="24"/>
        <v>0</v>
      </c>
      <c r="H103" s="6">
        <f t="shared" si="25"/>
        <v>0</v>
      </c>
      <c r="I103" s="6">
        <f t="shared" si="26"/>
        <v>0</v>
      </c>
      <c r="J103" s="6">
        <f t="shared" si="27"/>
        <v>0</v>
      </c>
      <c r="K103" s="6">
        <f t="shared" si="28"/>
        <v>0</v>
      </c>
      <c r="L103" s="6">
        <f t="shared" si="29"/>
        <v>0</v>
      </c>
      <c r="M103" s="6">
        <f t="shared" si="30"/>
        <v>0</v>
      </c>
      <c r="N103" s="6">
        <f t="shared" si="31"/>
        <v>0</v>
      </c>
      <c r="O103" s="6">
        <f t="shared" si="32"/>
        <v>0</v>
      </c>
      <c r="P103" s="6">
        <f t="shared" si="33"/>
        <v>0</v>
      </c>
      <c r="Q103" s="6">
        <f t="shared" si="34"/>
        <v>0</v>
      </c>
      <c r="R103" s="6">
        <f t="shared" si="35"/>
        <v>0</v>
      </c>
      <c r="S103" s="6">
        <f t="shared" si="36"/>
        <v>0</v>
      </c>
      <c r="T103" s="6">
        <f t="shared" si="37"/>
        <v>0</v>
      </c>
      <c r="U103" s="6">
        <f t="shared" si="38"/>
        <v>0</v>
      </c>
      <c r="V103" s="6">
        <f t="shared" si="39"/>
        <v>0</v>
      </c>
      <c r="W103" s="6">
        <f t="shared" si="40"/>
        <v>0</v>
      </c>
      <c r="X103" s="6">
        <f t="shared" si="41"/>
        <v>0</v>
      </c>
      <c r="Y103" s="6">
        <f t="shared" si="42"/>
        <v>0</v>
      </c>
      <c r="AA103" s="6" t="str">
        <f>IF(最佳化斷筋點!C103="","",最佳化斷筋點!C103)</f>
        <v>上層</v>
      </c>
      <c r="AB103" s="6">
        <f>IF(最佳化斷筋點!D103="","",最佳化斷筋點!D103)</f>
        <v>2</v>
      </c>
      <c r="AC103" s="6">
        <f>IF(最佳化斷筋點!E103="","",最佳化斷筋點!E103)</f>
        <v>2</v>
      </c>
      <c r="AD103" s="6">
        <f>IF(最佳化斷筋點!F103="","",最佳化斷筋點!F103)</f>
        <v>2</v>
      </c>
      <c r="AE103" s="6">
        <f>IF(最佳化斷筋點!G103="","",最佳化斷筋點!G103)</f>
        <v>2</v>
      </c>
      <c r="AF103" s="6">
        <f>IF(最佳化斷筋點!H103="","",最佳化斷筋點!H103)</f>
        <v>2</v>
      </c>
      <c r="AG103" s="6">
        <f>IF(最佳化斷筋點!I103="","",最佳化斷筋點!I103)</f>
        <v>2</v>
      </c>
      <c r="AH103" s="6">
        <f>IF(最佳化斷筋點!J103="","",最佳化斷筋點!J103)</f>
        <v>2</v>
      </c>
      <c r="AI103" s="6">
        <f>IF(最佳化斷筋點!K103="","",最佳化斷筋點!K103)</f>
        <v>2</v>
      </c>
      <c r="AJ103" s="6">
        <f>IF(最佳化斷筋點!L103="","",最佳化斷筋點!L103)</f>
        <v>2</v>
      </c>
      <c r="AK103" s="6">
        <f>IF(最佳化斷筋點!M103="","",最佳化斷筋點!M103)</f>
        <v>2</v>
      </c>
      <c r="AL103" s="6">
        <f>IF(最佳化斷筋點!N103="","",最佳化斷筋點!N103)</f>
        <v>2</v>
      </c>
      <c r="AM103" s="6">
        <f>IF(最佳化斷筋點!O103="","",最佳化斷筋點!O103)</f>
        <v>2</v>
      </c>
      <c r="AN103" s="6">
        <f>IF(最佳化斷筋點!P103="","",最佳化斷筋點!P103)</f>
        <v>2</v>
      </c>
      <c r="AO103" s="6">
        <f>IF(最佳化斷筋點!Q103="","",最佳化斷筋點!Q103)</f>
        <v>2</v>
      </c>
      <c r="AP103" s="6">
        <f>IF(最佳化斷筋點!R103="","",最佳化斷筋點!R103)</f>
        <v>2</v>
      </c>
      <c r="AQ103" s="6">
        <f>IF(最佳化斷筋點!S103="","",最佳化斷筋點!S103)</f>
        <v>2</v>
      </c>
      <c r="AR103" s="6">
        <f>IF(最佳化斷筋點!T103="","",最佳化斷筋點!T103)</f>
        <v>2</v>
      </c>
      <c r="AS103" s="6">
        <f>IF(最佳化斷筋點!U103="","",最佳化斷筋點!U103)</f>
        <v>2</v>
      </c>
      <c r="AT103" s="6">
        <f>IF(最佳化斷筋點!V103="","",最佳化斷筋點!V103)</f>
        <v>2</v>
      </c>
      <c r="AU103" s="6">
        <f>IF(最佳化斷筋點!W103="","",最佳化斷筋點!W103)</f>
        <v>2</v>
      </c>
      <c r="AV103" s="6">
        <f>IF(最佳化斷筋點!X103="","",最佳化斷筋點!X103)</f>
        <v>2</v>
      </c>
      <c r="AX103" s="6" t="s">
        <v>50</v>
      </c>
      <c r="AY103" s="6">
        <v>2</v>
      </c>
      <c r="AZ103" s="6">
        <v>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</row>
    <row r="104" spans="4:71" x14ac:dyDescent="0.25">
      <c r="E104" s="6">
        <f t="shared" si="22"/>
        <v>0</v>
      </c>
      <c r="F104" s="6">
        <f t="shared" si="23"/>
        <v>0</v>
      </c>
      <c r="G104" s="6">
        <f t="shared" si="24"/>
        <v>0</v>
      </c>
      <c r="H104" s="6">
        <f t="shared" si="25"/>
        <v>0</v>
      </c>
      <c r="I104" s="6">
        <f t="shared" si="26"/>
        <v>0</v>
      </c>
      <c r="J104" s="6">
        <f t="shared" si="27"/>
        <v>0</v>
      </c>
      <c r="K104" s="6">
        <f t="shared" si="28"/>
        <v>0</v>
      </c>
      <c r="L104" s="6">
        <f t="shared" si="29"/>
        <v>0</v>
      </c>
      <c r="M104" s="6">
        <f t="shared" si="30"/>
        <v>0</v>
      </c>
      <c r="N104" s="6">
        <f t="shared" si="31"/>
        <v>0</v>
      </c>
      <c r="O104" s="6">
        <f t="shared" si="32"/>
        <v>0</v>
      </c>
      <c r="P104" s="6">
        <f t="shared" si="33"/>
        <v>0</v>
      </c>
      <c r="Q104" s="6">
        <f t="shared" si="34"/>
        <v>0</v>
      </c>
      <c r="R104" s="6">
        <f t="shared" si="35"/>
        <v>0</v>
      </c>
      <c r="S104" s="6">
        <f t="shared" si="36"/>
        <v>0</v>
      </c>
      <c r="T104" s="6">
        <f t="shared" si="37"/>
        <v>0</v>
      </c>
      <c r="U104" s="6">
        <f t="shared" si="38"/>
        <v>0</v>
      </c>
      <c r="V104" s="6">
        <f t="shared" si="39"/>
        <v>0</v>
      </c>
      <c r="W104" s="6">
        <f t="shared" si="40"/>
        <v>0</v>
      </c>
      <c r="X104" s="6">
        <f t="shared" si="41"/>
        <v>0</v>
      </c>
      <c r="Y104" s="6">
        <f t="shared" si="42"/>
        <v>0</v>
      </c>
      <c r="AA104" s="6" t="str">
        <f>IF(最佳化斷筋點!C104="","",最佳化斷筋點!C104)</f>
        <v/>
      </c>
      <c r="AB104" s="6" t="str">
        <f>IF(最佳化斷筋點!D104="","",最佳化斷筋點!D104)</f>
        <v/>
      </c>
      <c r="AC104" s="6" t="str">
        <f>IF(最佳化斷筋點!E104="","",最佳化斷筋點!E104)</f>
        <v/>
      </c>
      <c r="AD104" s="6" t="str">
        <f>IF(最佳化斷筋點!F104="","",最佳化斷筋點!F104)</f>
        <v/>
      </c>
      <c r="AE104" s="6" t="str">
        <f>IF(最佳化斷筋點!G104="","",最佳化斷筋點!G104)</f>
        <v/>
      </c>
      <c r="AF104" s="6" t="str">
        <f>IF(最佳化斷筋點!H104="","",最佳化斷筋點!H104)</f>
        <v/>
      </c>
      <c r="AG104" s="6" t="str">
        <f>IF(最佳化斷筋點!I104="","",最佳化斷筋點!I104)</f>
        <v/>
      </c>
      <c r="AH104" s="6" t="str">
        <f>IF(最佳化斷筋點!J104="","",最佳化斷筋點!J104)</f>
        <v/>
      </c>
      <c r="AI104" s="6" t="str">
        <f>IF(最佳化斷筋點!K104="","",最佳化斷筋點!K104)</f>
        <v/>
      </c>
      <c r="AJ104" s="6" t="str">
        <f>IF(最佳化斷筋點!L104="","",最佳化斷筋點!L104)</f>
        <v/>
      </c>
      <c r="AK104" s="6" t="str">
        <f>IF(最佳化斷筋點!M104="","",最佳化斷筋點!M104)</f>
        <v/>
      </c>
      <c r="AL104" s="6" t="str">
        <f>IF(最佳化斷筋點!N104="","",最佳化斷筋點!N104)</f>
        <v/>
      </c>
      <c r="AM104" s="6" t="str">
        <f>IF(最佳化斷筋點!O104="","",最佳化斷筋點!O104)</f>
        <v/>
      </c>
      <c r="AN104" s="6" t="str">
        <f>IF(最佳化斷筋點!P104="","",最佳化斷筋點!P104)</f>
        <v/>
      </c>
      <c r="AO104" s="6" t="str">
        <f>IF(最佳化斷筋點!Q104="","",最佳化斷筋點!Q104)</f>
        <v/>
      </c>
      <c r="AP104" s="6" t="str">
        <f>IF(最佳化斷筋點!R104="","",最佳化斷筋點!R104)</f>
        <v/>
      </c>
      <c r="AQ104" s="6" t="str">
        <f>IF(最佳化斷筋點!S104="","",最佳化斷筋點!S104)</f>
        <v/>
      </c>
      <c r="AR104" s="6" t="str">
        <f>IF(最佳化斷筋點!T104="","",最佳化斷筋點!T104)</f>
        <v/>
      </c>
      <c r="AS104" s="6" t="str">
        <f>IF(最佳化斷筋點!U104="","",最佳化斷筋點!U104)</f>
        <v/>
      </c>
      <c r="AT104" s="6" t="str">
        <f>IF(最佳化斷筋點!V104="","",最佳化斷筋點!V104)</f>
        <v/>
      </c>
      <c r="AU104" s="6" t="str">
        <f>IF(最佳化斷筋點!W104="","",最佳化斷筋點!W104)</f>
        <v/>
      </c>
      <c r="AV104" s="6" t="str">
        <f>IF(最佳化斷筋點!X104="","",最佳化斷筋點!X104)</f>
        <v/>
      </c>
    </row>
    <row r="105" spans="4:71" x14ac:dyDescent="0.25">
      <c r="D105" s="6" t="s">
        <v>51</v>
      </c>
      <c r="E105" s="6">
        <f t="shared" si="22"/>
        <v>0</v>
      </c>
      <c r="F105" s="6">
        <f t="shared" si="23"/>
        <v>0</v>
      </c>
      <c r="G105" s="6">
        <f t="shared" si="24"/>
        <v>0</v>
      </c>
      <c r="H105" s="6">
        <f t="shared" si="25"/>
        <v>0</v>
      </c>
      <c r="I105" s="6">
        <f t="shared" si="26"/>
        <v>0</v>
      </c>
      <c r="J105" s="6">
        <f t="shared" si="27"/>
        <v>0</v>
      </c>
      <c r="K105" s="6">
        <f t="shared" si="28"/>
        <v>0</v>
      </c>
      <c r="L105" s="6">
        <f t="shared" si="29"/>
        <v>0</v>
      </c>
      <c r="M105" s="6">
        <f t="shared" si="30"/>
        <v>0</v>
      </c>
      <c r="N105" s="6">
        <f t="shared" si="31"/>
        <v>0</v>
      </c>
      <c r="O105" s="6">
        <f t="shared" si="32"/>
        <v>0</v>
      </c>
      <c r="P105" s="6">
        <f t="shared" si="33"/>
        <v>0</v>
      </c>
      <c r="Q105" s="6">
        <f t="shared" si="34"/>
        <v>0</v>
      </c>
      <c r="R105" s="6">
        <f t="shared" si="35"/>
        <v>0</v>
      </c>
      <c r="S105" s="6">
        <f t="shared" si="36"/>
        <v>0</v>
      </c>
      <c r="T105" s="6">
        <f t="shared" si="37"/>
        <v>0</v>
      </c>
      <c r="U105" s="6">
        <f t="shared" si="38"/>
        <v>0</v>
      </c>
      <c r="V105" s="6">
        <f t="shared" si="39"/>
        <v>0</v>
      </c>
      <c r="W105" s="6">
        <f t="shared" si="40"/>
        <v>0</v>
      </c>
      <c r="X105" s="6">
        <f t="shared" si="41"/>
        <v>0</v>
      </c>
      <c r="Y105" s="6">
        <f t="shared" si="42"/>
        <v>0</v>
      </c>
      <c r="AA105" s="6" t="str">
        <f>IF(最佳化斷筋點!C105="","",最佳化斷筋點!C105)</f>
        <v>下層</v>
      </c>
      <c r="AB105" s="6">
        <f>IF(最佳化斷筋點!D105="","",最佳化斷筋點!D105)</f>
        <v>6</v>
      </c>
      <c r="AC105" s="6">
        <f>IF(最佳化斷筋點!E105="","",最佳化斷筋點!E105)</f>
        <v>6</v>
      </c>
      <c r="AD105" s="6">
        <f>IF(最佳化斷筋點!F105="","",最佳化斷筋點!F105)</f>
        <v>5</v>
      </c>
      <c r="AE105" s="6">
        <f>IF(最佳化斷筋點!G105="","",最佳化斷筋點!G105)</f>
        <v>5</v>
      </c>
      <c r="AF105" s="6">
        <f>IF(最佳化斷筋點!H105="","",最佳化斷筋點!H105)</f>
        <v>5</v>
      </c>
      <c r="AG105" s="6">
        <f>IF(最佳化斷筋點!I105="","",最佳化斷筋點!I105)</f>
        <v>6</v>
      </c>
      <c r="AH105" s="6">
        <f>IF(最佳化斷筋點!J105="","",最佳化斷筋點!J105)</f>
        <v>6</v>
      </c>
      <c r="AI105" s="6">
        <f>IF(最佳化斷筋點!K105="","",最佳化斷筋點!K105)</f>
        <v>7</v>
      </c>
      <c r="AJ105" s="6">
        <f>IF(最佳化斷筋點!L105="","",最佳化斷筋點!L105)</f>
        <v>7</v>
      </c>
      <c r="AK105" s="6">
        <f>IF(最佳化斷筋點!M105="","",最佳化斷筋點!M105)</f>
        <v>7</v>
      </c>
      <c r="AL105" s="6">
        <f>IF(最佳化斷筋點!N105="","",最佳化斷筋點!N105)</f>
        <v>7</v>
      </c>
      <c r="AM105" s="6">
        <f>IF(最佳化斷筋點!O105="","",最佳化斷筋點!O105)</f>
        <v>7</v>
      </c>
      <c r="AN105" s="6">
        <f>IF(最佳化斷筋點!P105="","",最佳化斷筋點!P105)</f>
        <v>7</v>
      </c>
      <c r="AO105" s="6">
        <f>IF(最佳化斷筋點!Q105="","",最佳化斷筋點!Q105)</f>
        <v>7</v>
      </c>
      <c r="AP105" s="6">
        <f>IF(最佳化斷筋點!R105="","",最佳化斷筋點!R105)</f>
        <v>6</v>
      </c>
      <c r="AQ105" s="6">
        <f>IF(最佳化斷筋點!S105="","",最佳化斷筋點!S105)</f>
        <v>6</v>
      </c>
      <c r="AR105" s="6">
        <f>IF(最佳化斷筋點!T105="","",最佳化斷筋點!T105)</f>
        <v>5</v>
      </c>
      <c r="AS105" s="6">
        <f>IF(最佳化斷筋點!U105="","",最佳化斷筋點!U105)</f>
        <v>5</v>
      </c>
      <c r="AT105" s="6">
        <f>IF(最佳化斷筋點!V105="","",最佳化斷筋點!V105)</f>
        <v>5</v>
      </c>
      <c r="AU105" s="6">
        <f>IF(最佳化斷筋點!W105="","",最佳化斷筋點!W105)</f>
        <v>6</v>
      </c>
      <c r="AV105" s="6">
        <f>IF(最佳化斷筋點!X105="","",最佳化斷筋點!X105)</f>
        <v>6</v>
      </c>
      <c r="AX105" s="6" t="s">
        <v>51</v>
      </c>
      <c r="AY105" s="6">
        <v>6</v>
      </c>
      <c r="AZ105" s="6">
        <v>6</v>
      </c>
      <c r="BA105" s="6">
        <v>5</v>
      </c>
      <c r="BB105" s="6">
        <v>5</v>
      </c>
      <c r="BC105" s="6">
        <v>5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6</v>
      </c>
      <c r="BN105" s="6">
        <v>6</v>
      </c>
      <c r="BO105" s="6">
        <v>5</v>
      </c>
      <c r="BP105" s="6">
        <v>5</v>
      </c>
      <c r="BQ105" s="6">
        <v>5</v>
      </c>
      <c r="BR105" s="6">
        <v>6</v>
      </c>
      <c r="BS105" s="6">
        <v>6</v>
      </c>
    </row>
    <row r="106" spans="4:71" x14ac:dyDescent="0.25">
      <c r="E106" s="6">
        <f t="shared" si="22"/>
        <v>0</v>
      </c>
      <c r="F106" s="6">
        <f t="shared" si="23"/>
        <v>0</v>
      </c>
      <c r="G106" s="6">
        <f t="shared" si="24"/>
        <v>0</v>
      </c>
      <c r="H106" s="6">
        <f t="shared" si="25"/>
        <v>0</v>
      </c>
      <c r="I106" s="6">
        <f t="shared" si="26"/>
        <v>0</v>
      </c>
      <c r="J106" s="6">
        <f t="shared" si="27"/>
        <v>0</v>
      </c>
      <c r="K106" s="6">
        <f t="shared" si="28"/>
        <v>0</v>
      </c>
      <c r="L106" s="6">
        <f t="shared" si="29"/>
        <v>0</v>
      </c>
      <c r="M106" s="6">
        <f t="shared" si="30"/>
        <v>0</v>
      </c>
      <c r="N106" s="6">
        <f t="shared" si="31"/>
        <v>0</v>
      </c>
      <c r="O106" s="6">
        <f t="shared" si="32"/>
        <v>0</v>
      </c>
      <c r="P106" s="6">
        <f t="shared" si="33"/>
        <v>0</v>
      </c>
      <c r="Q106" s="6">
        <f t="shared" si="34"/>
        <v>0</v>
      </c>
      <c r="R106" s="6">
        <f t="shared" si="35"/>
        <v>0</v>
      </c>
      <c r="S106" s="6">
        <f t="shared" si="36"/>
        <v>0</v>
      </c>
      <c r="T106" s="6">
        <f t="shared" si="37"/>
        <v>0</v>
      </c>
      <c r="U106" s="6">
        <f t="shared" si="38"/>
        <v>0</v>
      </c>
      <c r="V106" s="6">
        <f t="shared" si="39"/>
        <v>0</v>
      </c>
      <c r="W106" s="6">
        <f t="shared" si="40"/>
        <v>0</v>
      </c>
      <c r="X106" s="6">
        <f t="shared" si="41"/>
        <v>0</v>
      </c>
      <c r="Y106" s="6">
        <f t="shared" si="42"/>
        <v>0</v>
      </c>
      <c r="AA106" s="6" t="str">
        <f>IF(最佳化斷筋點!C106="","",最佳化斷筋點!C106)</f>
        <v/>
      </c>
      <c r="AB106" s="6" t="str">
        <f>IF(最佳化斷筋點!D106="","",最佳化斷筋點!D106)</f>
        <v/>
      </c>
      <c r="AC106" s="6" t="str">
        <f>IF(最佳化斷筋點!E106="","",最佳化斷筋點!E106)</f>
        <v/>
      </c>
      <c r="AD106" s="6" t="str">
        <f>IF(最佳化斷筋點!F106="","",最佳化斷筋點!F106)</f>
        <v/>
      </c>
      <c r="AE106" s="6" t="str">
        <f>IF(最佳化斷筋點!G106="","",最佳化斷筋點!G106)</f>
        <v/>
      </c>
      <c r="AF106" s="6" t="str">
        <f>IF(最佳化斷筋點!H106="","",最佳化斷筋點!H106)</f>
        <v/>
      </c>
      <c r="AG106" s="6" t="str">
        <f>IF(最佳化斷筋點!I106="","",最佳化斷筋點!I106)</f>
        <v/>
      </c>
      <c r="AH106" s="6" t="str">
        <f>IF(最佳化斷筋點!J106="","",最佳化斷筋點!J106)</f>
        <v/>
      </c>
      <c r="AI106" s="6" t="str">
        <f>IF(最佳化斷筋點!K106="","",最佳化斷筋點!K106)</f>
        <v/>
      </c>
      <c r="AJ106" s="6" t="str">
        <f>IF(最佳化斷筋點!L106="","",最佳化斷筋點!L106)</f>
        <v/>
      </c>
      <c r="AK106" s="6" t="str">
        <f>IF(最佳化斷筋點!M106="","",最佳化斷筋點!M106)</f>
        <v/>
      </c>
      <c r="AL106" s="6" t="str">
        <f>IF(最佳化斷筋點!N106="","",最佳化斷筋點!N106)</f>
        <v/>
      </c>
      <c r="AM106" s="6" t="str">
        <f>IF(最佳化斷筋點!O106="","",最佳化斷筋點!O106)</f>
        <v/>
      </c>
      <c r="AN106" s="6" t="str">
        <f>IF(最佳化斷筋點!P106="","",最佳化斷筋點!P106)</f>
        <v/>
      </c>
      <c r="AO106" s="6" t="str">
        <f>IF(最佳化斷筋點!Q106="","",最佳化斷筋點!Q106)</f>
        <v/>
      </c>
      <c r="AP106" s="6" t="str">
        <f>IF(最佳化斷筋點!R106="","",最佳化斷筋點!R106)</f>
        <v/>
      </c>
      <c r="AQ106" s="6" t="str">
        <f>IF(最佳化斷筋點!S106="","",最佳化斷筋點!S106)</f>
        <v/>
      </c>
      <c r="AR106" s="6" t="str">
        <f>IF(最佳化斷筋點!T106="","",最佳化斷筋點!T106)</f>
        <v/>
      </c>
      <c r="AS106" s="6" t="str">
        <f>IF(最佳化斷筋點!U106="","",最佳化斷筋點!U106)</f>
        <v/>
      </c>
      <c r="AT106" s="6" t="str">
        <f>IF(最佳化斷筋點!V106="","",最佳化斷筋點!V106)</f>
        <v/>
      </c>
      <c r="AU106" s="6" t="str">
        <f>IF(最佳化斷筋點!W106="","",最佳化斷筋點!W106)</f>
        <v/>
      </c>
      <c r="AV106" s="6" t="str">
        <f>IF(最佳化斷筋點!X106="","",最佳化斷筋點!X106)</f>
        <v/>
      </c>
    </row>
    <row r="107" spans="4:71" x14ac:dyDescent="0.25">
      <c r="D107" s="6" t="s">
        <v>50</v>
      </c>
      <c r="E107" s="6">
        <f t="shared" si="22"/>
        <v>0</v>
      </c>
      <c r="F107" s="6">
        <f t="shared" si="23"/>
        <v>0</v>
      </c>
      <c r="G107" s="6">
        <f t="shared" si="24"/>
        <v>0</v>
      </c>
      <c r="H107" s="6">
        <f t="shared" si="25"/>
        <v>0</v>
      </c>
      <c r="I107" s="6">
        <f t="shared" si="26"/>
        <v>0</v>
      </c>
      <c r="J107" s="6">
        <f t="shared" si="27"/>
        <v>0</v>
      </c>
      <c r="K107" s="6">
        <f t="shared" si="28"/>
        <v>0</v>
      </c>
      <c r="L107" s="6">
        <f t="shared" si="29"/>
        <v>0</v>
      </c>
      <c r="M107" s="6">
        <f t="shared" si="30"/>
        <v>0</v>
      </c>
      <c r="N107" s="6">
        <f t="shared" si="31"/>
        <v>0</v>
      </c>
      <c r="O107" s="6">
        <f t="shared" si="32"/>
        <v>0</v>
      </c>
      <c r="P107" s="6">
        <f t="shared" si="33"/>
        <v>0</v>
      </c>
      <c r="Q107" s="6">
        <f t="shared" si="34"/>
        <v>0</v>
      </c>
      <c r="R107" s="6">
        <f t="shared" si="35"/>
        <v>0</v>
      </c>
      <c r="S107" s="6">
        <f t="shared" si="36"/>
        <v>0</v>
      </c>
      <c r="T107" s="6">
        <f t="shared" si="37"/>
        <v>0</v>
      </c>
      <c r="U107" s="6">
        <f t="shared" si="38"/>
        <v>0</v>
      </c>
      <c r="V107" s="6">
        <f t="shared" si="39"/>
        <v>0</v>
      </c>
      <c r="W107" s="6">
        <f t="shared" si="40"/>
        <v>0</v>
      </c>
      <c r="X107" s="6">
        <f t="shared" si="41"/>
        <v>0</v>
      </c>
      <c r="Y107" s="6">
        <f t="shared" si="42"/>
        <v>0</v>
      </c>
      <c r="AA107" s="6" t="str">
        <f>IF(最佳化斷筋點!C107="","",最佳化斷筋點!C107)</f>
        <v>上層</v>
      </c>
      <c r="AB107" s="6">
        <f>IF(最佳化斷筋點!D107="","",最佳化斷筋點!D107)</f>
        <v>2</v>
      </c>
      <c r="AC107" s="6">
        <f>IF(最佳化斷筋點!E107="","",最佳化斷筋點!E107)</f>
        <v>2</v>
      </c>
      <c r="AD107" s="6">
        <f>IF(最佳化斷筋點!F107="","",最佳化斷筋點!F107)</f>
        <v>2</v>
      </c>
      <c r="AE107" s="6">
        <f>IF(最佳化斷筋點!G107="","",最佳化斷筋點!G107)</f>
        <v>2</v>
      </c>
      <c r="AF107" s="6">
        <f>IF(最佳化斷筋點!H107="","",最佳化斷筋點!H107)</f>
        <v>2</v>
      </c>
      <c r="AG107" s="6">
        <f>IF(最佳化斷筋點!I107="","",最佳化斷筋點!I107)</f>
        <v>2</v>
      </c>
      <c r="AH107" s="6">
        <f>IF(最佳化斷筋點!J107="","",最佳化斷筋點!J107)</f>
        <v>2</v>
      </c>
      <c r="AI107" s="6">
        <f>IF(最佳化斷筋點!K107="","",最佳化斷筋點!K107)</f>
        <v>2</v>
      </c>
      <c r="AJ107" s="6">
        <f>IF(最佳化斷筋點!L107="","",最佳化斷筋點!L107)</f>
        <v>2</v>
      </c>
      <c r="AK107" s="6">
        <f>IF(最佳化斷筋點!M107="","",最佳化斷筋點!M107)</f>
        <v>2</v>
      </c>
      <c r="AL107" s="6">
        <f>IF(最佳化斷筋點!N107="","",最佳化斷筋點!N107)</f>
        <v>2</v>
      </c>
      <c r="AM107" s="6">
        <f>IF(最佳化斷筋點!O107="","",最佳化斷筋點!O107)</f>
        <v>2</v>
      </c>
      <c r="AN107" s="6">
        <f>IF(最佳化斷筋點!P107="","",最佳化斷筋點!P107)</f>
        <v>2</v>
      </c>
      <c r="AO107" s="6">
        <f>IF(最佳化斷筋點!Q107="","",最佳化斷筋點!Q107)</f>
        <v>2</v>
      </c>
      <c r="AP107" s="6">
        <f>IF(最佳化斷筋點!R107="","",最佳化斷筋點!R107)</f>
        <v>2</v>
      </c>
      <c r="AQ107" s="6">
        <f>IF(最佳化斷筋點!S107="","",最佳化斷筋點!S107)</f>
        <v>2</v>
      </c>
      <c r="AR107" s="6">
        <f>IF(最佳化斷筋點!T107="","",最佳化斷筋點!T107)</f>
        <v>2</v>
      </c>
      <c r="AS107" s="6">
        <f>IF(最佳化斷筋點!U107="","",最佳化斷筋點!U107)</f>
        <v>2</v>
      </c>
      <c r="AT107" s="6">
        <f>IF(最佳化斷筋點!V107="","",最佳化斷筋點!V107)</f>
        <v>2</v>
      </c>
      <c r="AU107" s="6">
        <f>IF(最佳化斷筋點!W107="","",最佳化斷筋點!W107)</f>
        <v>2</v>
      </c>
      <c r="AV107" s="6">
        <f>IF(最佳化斷筋點!X107="","",最佳化斷筋點!X107)</f>
        <v>2</v>
      </c>
      <c r="AX107" s="6" t="s">
        <v>50</v>
      </c>
      <c r="AY107" s="6">
        <v>2</v>
      </c>
      <c r="AZ107" s="6">
        <v>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</row>
    <row r="108" spans="4:71" x14ac:dyDescent="0.25">
      <c r="E108" s="6">
        <f t="shared" si="22"/>
        <v>0</v>
      </c>
      <c r="F108" s="6">
        <f t="shared" si="23"/>
        <v>0</v>
      </c>
      <c r="G108" s="6">
        <f t="shared" si="24"/>
        <v>0</v>
      </c>
      <c r="H108" s="6">
        <f t="shared" si="25"/>
        <v>0</v>
      </c>
      <c r="I108" s="6">
        <f t="shared" si="26"/>
        <v>0</v>
      </c>
      <c r="J108" s="6">
        <f t="shared" si="27"/>
        <v>0</v>
      </c>
      <c r="K108" s="6">
        <f t="shared" si="28"/>
        <v>0</v>
      </c>
      <c r="L108" s="6">
        <f t="shared" si="29"/>
        <v>0</v>
      </c>
      <c r="M108" s="6">
        <f t="shared" si="30"/>
        <v>0</v>
      </c>
      <c r="N108" s="6">
        <f t="shared" si="31"/>
        <v>0</v>
      </c>
      <c r="O108" s="6">
        <f t="shared" si="32"/>
        <v>0</v>
      </c>
      <c r="P108" s="6">
        <f t="shared" si="33"/>
        <v>0</v>
      </c>
      <c r="Q108" s="6">
        <f t="shared" si="34"/>
        <v>0</v>
      </c>
      <c r="R108" s="6">
        <f t="shared" si="35"/>
        <v>0</v>
      </c>
      <c r="S108" s="6">
        <f t="shared" si="36"/>
        <v>0</v>
      </c>
      <c r="T108" s="6">
        <f t="shared" si="37"/>
        <v>0</v>
      </c>
      <c r="U108" s="6">
        <f t="shared" si="38"/>
        <v>0</v>
      </c>
      <c r="V108" s="6">
        <f t="shared" si="39"/>
        <v>0</v>
      </c>
      <c r="W108" s="6">
        <f t="shared" si="40"/>
        <v>0</v>
      </c>
      <c r="X108" s="6">
        <f t="shared" si="41"/>
        <v>0</v>
      </c>
      <c r="Y108" s="6">
        <f t="shared" si="42"/>
        <v>0</v>
      </c>
      <c r="AA108" s="6" t="str">
        <f>IF(最佳化斷筋點!C108="","",最佳化斷筋點!C108)</f>
        <v/>
      </c>
      <c r="AB108" s="6" t="str">
        <f>IF(最佳化斷筋點!D108="","",最佳化斷筋點!D108)</f>
        <v/>
      </c>
      <c r="AC108" s="6" t="str">
        <f>IF(最佳化斷筋點!E108="","",最佳化斷筋點!E108)</f>
        <v/>
      </c>
      <c r="AD108" s="6" t="str">
        <f>IF(最佳化斷筋點!F108="","",最佳化斷筋點!F108)</f>
        <v/>
      </c>
      <c r="AE108" s="6" t="str">
        <f>IF(最佳化斷筋點!G108="","",最佳化斷筋點!G108)</f>
        <v/>
      </c>
      <c r="AF108" s="6" t="str">
        <f>IF(最佳化斷筋點!H108="","",最佳化斷筋點!H108)</f>
        <v/>
      </c>
      <c r="AG108" s="6" t="str">
        <f>IF(最佳化斷筋點!I108="","",最佳化斷筋點!I108)</f>
        <v/>
      </c>
      <c r="AH108" s="6" t="str">
        <f>IF(最佳化斷筋點!J108="","",最佳化斷筋點!J108)</f>
        <v/>
      </c>
      <c r="AI108" s="6" t="str">
        <f>IF(最佳化斷筋點!K108="","",最佳化斷筋點!K108)</f>
        <v/>
      </c>
      <c r="AJ108" s="6" t="str">
        <f>IF(最佳化斷筋點!L108="","",最佳化斷筋點!L108)</f>
        <v/>
      </c>
      <c r="AK108" s="6" t="str">
        <f>IF(最佳化斷筋點!M108="","",最佳化斷筋點!M108)</f>
        <v/>
      </c>
      <c r="AL108" s="6" t="str">
        <f>IF(最佳化斷筋點!N108="","",最佳化斷筋點!N108)</f>
        <v/>
      </c>
      <c r="AM108" s="6" t="str">
        <f>IF(最佳化斷筋點!O108="","",最佳化斷筋點!O108)</f>
        <v/>
      </c>
      <c r="AN108" s="6" t="str">
        <f>IF(最佳化斷筋點!P108="","",最佳化斷筋點!P108)</f>
        <v/>
      </c>
      <c r="AO108" s="6" t="str">
        <f>IF(最佳化斷筋點!Q108="","",最佳化斷筋點!Q108)</f>
        <v/>
      </c>
      <c r="AP108" s="6" t="str">
        <f>IF(最佳化斷筋點!R108="","",最佳化斷筋點!R108)</f>
        <v/>
      </c>
      <c r="AQ108" s="6" t="str">
        <f>IF(最佳化斷筋點!S108="","",最佳化斷筋點!S108)</f>
        <v/>
      </c>
      <c r="AR108" s="6" t="str">
        <f>IF(最佳化斷筋點!T108="","",最佳化斷筋點!T108)</f>
        <v/>
      </c>
      <c r="AS108" s="6" t="str">
        <f>IF(最佳化斷筋點!U108="","",最佳化斷筋點!U108)</f>
        <v/>
      </c>
      <c r="AT108" s="6" t="str">
        <f>IF(最佳化斷筋點!V108="","",最佳化斷筋點!V108)</f>
        <v/>
      </c>
      <c r="AU108" s="6" t="str">
        <f>IF(最佳化斷筋點!W108="","",最佳化斷筋點!W108)</f>
        <v/>
      </c>
      <c r="AV108" s="6" t="str">
        <f>IF(最佳化斷筋點!X108="","",最佳化斷筋點!X108)</f>
        <v/>
      </c>
    </row>
    <row r="109" spans="4:71" x14ac:dyDescent="0.25">
      <c r="D109" s="6" t="s">
        <v>51</v>
      </c>
      <c r="E109" s="6">
        <f t="shared" si="22"/>
        <v>0</v>
      </c>
      <c r="F109" s="6">
        <f t="shared" si="23"/>
        <v>0</v>
      </c>
      <c r="G109" s="6">
        <f t="shared" si="24"/>
        <v>0</v>
      </c>
      <c r="H109" s="6">
        <f t="shared" si="25"/>
        <v>0</v>
      </c>
      <c r="I109" s="6">
        <f t="shared" si="26"/>
        <v>0</v>
      </c>
      <c r="J109" s="6">
        <f t="shared" si="27"/>
        <v>0</v>
      </c>
      <c r="K109" s="6">
        <f t="shared" si="28"/>
        <v>0</v>
      </c>
      <c r="L109" s="6">
        <f t="shared" si="29"/>
        <v>0</v>
      </c>
      <c r="M109" s="6">
        <f t="shared" si="30"/>
        <v>0</v>
      </c>
      <c r="N109" s="6">
        <f t="shared" si="31"/>
        <v>0</v>
      </c>
      <c r="O109" s="6">
        <f t="shared" si="32"/>
        <v>0</v>
      </c>
      <c r="P109" s="6">
        <f t="shared" si="33"/>
        <v>0</v>
      </c>
      <c r="Q109" s="6">
        <f t="shared" si="34"/>
        <v>0</v>
      </c>
      <c r="R109" s="6">
        <f t="shared" si="35"/>
        <v>0</v>
      </c>
      <c r="S109" s="6">
        <f t="shared" si="36"/>
        <v>0</v>
      </c>
      <c r="T109" s="6">
        <f t="shared" si="37"/>
        <v>0</v>
      </c>
      <c r="U109" s="6">
        <f t="shared" si="38"/>
        <v>0</v>
      </c>
      <c r="V109" s="6">
        <f t="shared" si="39"/>
        <v>0</v>
      </c>
      <c r="W109" s="6">
        <f t="shared" si="40"/>
        <v>0</v>
      </c>
      <c r="X109" s="6">
        <f t="shared" si="41"/>
        <v>0</v>
      </c>
      <c r="Y109" s="6">
        <f t="shared" si="42"/>
        <v>0</v>
      </c>
      <c r="AA109" s="6" t="str">
        <f>IF(最佳化斷筋點!C109="","",最佳化斷筋點!C109)</f>
        <v>下層</v>
      </c>
      <c r="AB109" s="6">
        <f>IF(最佳化斷筋點!D109="","",最佳化斷筋點!D109)</f>
        <v>6</v>
      </c>
      <c r="AC109" s="6">
        <f>IF(最佳化斷筋點!E109="","",最佳化斷筋點!E109)</f>
        <v>6</v>
      </c>
      <c r="AD109" s="6">
        <f>IF(最佳化斷筋點!F109="","",最佳化斷筋點!F109)</f>
        <v>5</v>
      </c>
      <c r="AE109" s="6">
        <f>IF(最佳化斷筋點!G109="","",最佳化斷筋點!G109)</f>
        <v>5</v>
      </c>
      <c r="AF109" s="6">
        <f>IF(最佳化斷筋點!H109="","",最佳化斷筋點!H109)</f>
        <v>5</v>
      </c>
      <c r="AG109" s="6">
        <f>IF(最佳化斷筋點!I109="","",最佳化斷筋點!I109)</f>
        <v>6</v>
      </c>
      <c r="AH109" s="6">
        <f>IF(最佳化斷筋點!J109="","",最佳化斷筋點!J109)</f>
        <v>6</v>
      </c>
      <c r="AI109" s="6">
        <f>IF(最佳化斷筋點!K109="","",最佳化斷筋點!K109)</f>
        <v>7</v>
      </c>
      <c r="AJ109" s="6">
        <f>IF(最佳化斷筋點!L109="","",最佳化斷筋點!L109)</f>
        <v>7</v>
      </c>
      <c r="AK109" s="6">
        <f>IF(最佳化斷筋點!M109="","",最佳化斷筋點!M109)</f>
        <v>7</v>
      </c>
      <c r="AL109" s="6">
        <f>IF(最佳化斷筋點!N109="","",最佳化斷筋點!N109)</f>
        <v>7</v>
      </c>
      <c r="AM109" s="6">
        <f>IF(最佳化斷筋點!O109="","",最佳化斷筋點!O109)</f>
        <v>7</v>
      </c>
      <c r="AN109" s="6">
        <f>IF(最佳化斷筋點!P109="","",最佳化斷筋點!P109)</f>
        <v>7</v>
      </c>
      <c r="AO109" s="6">
        <f>IF(最佳化斷筋點!Q109="","",最佳化斷筋點!Q109)</f>
        <v>7</v>
      </c>
      <c r="AP109" s="6">
        <f>IF(最佳化斷筋點!R109="","",最佳化斷筋點!R109)</f>
        <v>6</v>
      </c>
      <c r="AQ109" s="6">
        <f>IF(最佳化斷筋點!S109="","",最佳化斷筋點!S109)</f>
        <v>6</v>
      </c>
      <c r="AR109" s="6">
        <f>IF(最佳化斷筋點!T109="","",最佳化斷筋點!T109)</f>
        <v>5</v>
      </c>
      <c r="AS109" s="6">
        <f>IF(最佳化斷筋點!U109="","",最佳化斷筋點!U109)</f>
        <v>5</v>
      </c>
      <c r="AT109" s="6">
        <f>IF(最佳化斷筋點!V109="","",最佳化斷筋點!V109)</f>
        <v>5</v>
      </c>
      <c r="AU109" s="6">
        <f>IF(最佳化斷筋點!W109="","",最佳化斷筋點!W109)</f>
        <v>6</v>
      </c>
      <c r="AV109" s="6">
        <f>IF(最佳化斷筋點!X109="","",最佳化斷筋點!X109)</f>
        <v>6</v>
      </c>
      <c r="AX109" s="6" t="s">
        <v>51</v>
      </c>
      <c r="AY109" s="6">
        <v>6</v>
      </c>
      <c r="AZ109" s="6">
        <v>6</v>
      </c>
      <c r="BA109" s="6">
        <v>5</v>
      </c>
      <c r="BB109" s="6">
        <v>5</v>
      </c>
      <c r="BC109" s="6">
        <v>5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6</v>
      </c>
      <c r="BN109" s="6">
        <v>6</v>
      </c>
      <c r="BO109" s="6">
        <v>5</v>
      </c>
      <c r="BP109" s="6">
        <v>5</v>
      </c>
      <c r="BQ109" s="6">
        <v>5</v>
      </c>
      <c r="BR109" s="6">
        <v>6</v>
      </c>
      <c r="BS109" s="6">
        <v>6</v>
      </c>
    </row>
    <row r="110" spans="4:71" x14ac:dyDescent="0.25">
      <c r="E110" s="6">
        <f t="shared" si="22"/>
        <v>0</v>
      </c>
      <c r="F110" s="6">
        <f t="shared" si="23"/>
        <v>0</v>
      </c>
      <c r="G110" s="6">
        <f t="shared" si="24"/>
        <v>0</v>
      </c>
      <c r="H110" s="6">
        <f t="shared" si="25"/>
        <v>0</v>
      </c>
      <c r="I110" s="6">
        <f t="shared" si="26"/>
        <v>0</v>
      </c>
      <c r="J110" s="6">
        <f t="shared" si="27"/>
        <v>0</v>
      </c>
      <c r="K110" s="6">
        <f t="shared" si="28"/>
        <v>0</v>
      </c>
      <c r="L110" s="6">
        <f t="shared" si="29"/>
        <v>0</v>
      </c>
      <c r="M110" s="6">
        <f t="shared" si="30"/>
        <v>0</v>
      </c>
      <c r="N110" s="6">
        <f t="shared" si="31"/>
        <v>0</v>
      </c>
      <c r="O110" s="6">
        <f t="shared" si="32"/>
        <v>0</v>
      </c>
      <c r="P110" s="6">
        <f t="shared" si="33"/>
        <v>0</v>
      </c>
      <c r="Q110" s="6">
        <f t="shared" si="34"/>
        <v>0</v>
      </c>
      <c r="R110" s="6">
        <f t="shared" si="35"/>
        <v>0</v>
      </c>
      <c r="S110" s="6">
        <f t="shared" si="36"/>
        <v>0</v>
      </c>
      <c r="T110" s="6">
        <f t="shared" si="37"/>
        <v>0</v>
      </c>
      <c r="U110" s="6">
        <f t="shared" si="38"/>
        <v>0</v>
      </c>
      <c r="V110" s="6">
        <f t="shared" si="39"/>
        <v>0</v>
      </c>
      <c r="W110" s="6">
        <f t="shared" si="40"/>
        <v>0</v>
      </c>
      <c r="X110" s="6">
        <f t="shared" si="41"/>
        <v>0</v>
      </c>
      <c r="Y110" s="6">
        <f t="shared" si="42"/>
        <v>0</v>
      </c>
      <c r="AA110" s="6" t="str">
        <f>IF(最佳化斷筋點!C110="","",最佳化斷筋點!C110)</f>
        <v/>
      </c>
      <c r="AB110" s="6" t="str">
        <f>IF(最佳化斷筋點!D110="","",最佳化斷筋點!D110)</f>
        <v/>
      </c>
      <c r="AC110" s="6" t="str">
        <f>IF(最佳化斷筋點!E110="","",最佳化斷筋點!E110)</f>
        <v/>
      </c>
      <c r="AD110" s="6" t="str">
        <f>IF(最佳化斷筋點!F110="","",最佳化斷筋點!F110)</f>
        <v/>
      </c>
      <c r="AE110" s="6" t="str">
        <f>IF(最佳化斷筋點!G110="","",最佳化斷筋點!G110)</f>
        <v/>
      </c>
      <c r="AF110" s="6" t="str">
        <f>IF(最佳化斷筋點!H110="","",最佳化斷筋點!H110)</f>
        <v/>
      </c>
      <c r="AG110" s="6" t="str">
        <f>IF(最佳化斷筋點!I110="","",最佳化斷筋點!I110)</f>
        <v/>
      </c>
      <c r="AH110" s="6" t="str">
        <f>IF(最佳化斷筋點!J110="","",最佳化斷筋點!J110)</f>
        <v/>
      </c>
      <c r="AI110" s="6" t="str">
        <f>IF(最佳化斷筋點!K110="","",最佳化斷筋點!K110)</f>
        <v/>
      </c>
      <c r="AJ110" s="6" t="str">
        <f>IF(最佳化斷筋點!L110="","",最佳化斷筋點!L110)</f>
        <v/>
      </c>
      <c r="AK110" s="6" t="str">
        <f>IF(最佳化斷筋點!M110="","",最佳化斷筋點!M110)</f>
        <v/>
      </c>
      <c r="AL110" s="6" t="str">
        <f>IF(最佳化斷筋點!N110="","",最佳化斷筋點!N110)</f>
        <v/>
      </c>
      <c r="AM110" s="6" t="str">
        <f>IF(最佳化斷筋點!O110="","",最佳化斷筋點!O110)</f>
        <v/>
      </c>
      <c r="AN110" s="6" t="str">
        <f>IF(最佳化斷筋點!P110="","",最佳化斷筋點!P110)</f>
        <v/>
      </c>
      <c r="AO110" s="6" t="str">
        <f>IF(最佳化斷筋點!Q110="","",最佳化斷筋點!Q110)</f>
        <v/>
      </c>
      <c r="AP110" s="6" t="str">
        <f>IF(最佳化斷筋點!R110="","",最佳化斷筋點!R110)</f>
        <v/>
      </c>
      <c r="AQ110" s="6" t="str">
        <f>IF(最佳化斷筋點!S110="","",最佳化斷筋點!S110)</f>
        <v/>
      </c>
      <c r="AR110" s="6" t="str">
        <f>IF(最佳化斷筋點!T110="","",最佳化斷筋點!T110)</f>
        <v/>
      </c>
      <c r="AS110" s="6" t="str">
        <f>IF(最佳化斷筋點!U110="","",最佳化斷筋點!U110)</f>
        <v/>
      </c>
      <c r="AT110" s="6" t="str">
        <f>IF(最佳化斷筋點!V110="","",最佳化斷筋點!V110)</f>
        <v/>
      </c>
      <c r="AU110" s="6" t="str">
        <f>IF(最佳化斷筋點!W110="","",最佳化斷筋點!W110)</f>
        <v/>
      </c>
      <c r="AV110" s="6" t="str">
        <f>IF(最佳化斷筋點!X110="","",最佳化斷筋點!X110)</f>
        <v/>
      </c>
    </row>
    <row r="111" spans="4:71" x14ac:dyDescent="0.25">
      <c r="D111" s="6" t="s">
        <v>50</v>
      </c>
      <c r="E111" s="6">
        <f t="shared" si="22"/>
        <v>0</v>
      </c>
      <c r="F111" s="6">
        <f t="shared" si="23"/>
        <v>0</v>
      </c>
      <c r="G111" s="6">
        <f t="shared" si="24"/>
        <v>0</v>
      </c>
      <c r="H111" s="6">
        <f t="shared" si="25"/>
        <v>0</v>
      </c>
      <c r="I111" s="6">
        <f t="shared" si="26"/>
        <v>0</v>
      </c>
      <c r="J111" s="6">
        <f t="shared" si="27"/>
        <v>0</v>
      </c>
      <c r="K111" s="6">
        <f t="shared" si="28"/>
        <v>0</v>
      </c>
      <c r="L111" s="6">
        <f t="shared" si="29"/>
        <v>0</v>
      </c>
      <c r="M111" s="6">
        <f t="shared" si="30"/>
        <v>0</v>
      </c>
      <c r="N111" s="6">
        <f t="shared" si="31"/>
        <v>0</v>
      </c>
      <c r="O111" s="6">
        <f t="shared" si="32"/>
        <v>0</v>
      </c>
      <c r="P111" s="6">
        <f t="shared" si="33"/>
        <v>0</v>
      </c>
      <c r="Q111" s="6">
        <f t="shared" si="34"/>
        <v>0</v>
      </c>
      <c r="R111" s="6">
        <f t="shared" si="35"/>
        <v>0</v>
      </c>
      <c r="S111" s="6">
        <f t="shared" si="36"/>
        <v>0</v>
      </c>
      <c r="T111" s="6">
        <f t="shared" si="37"/>
        <v>0</v>
      </c>
      <c r="U111" s="6">
        <f t="shared" si="38"/>
        <v>0</v>
      </c>
      <c r="V111" s="6">
        <f t="shared" si="39"/>
        <v>0</v>
      </c>
      <c r="W111" s="6">
        <f t="shared" si="40"/>
        <v>0</v>
      </c>
      <c r="X111" s="6">
        <f t="shared" si="41"/>
        <v>0</v>
      </c>
      <c r="Y111" s="6">
        <f t="shared" si="42"/>
        <v>0</v>
      </c>
      <c r="AA111" s="6" t="str">
        <f>IF(最佳化斷筋點!C111="","",最佳化斷筋點!C111)</f>
        <v>上層</v>
      </c>
      <c r="AB111" s="6">
        <f>IF(最佳化斷筋點!D111="","",最佳化斷筋點!D111)</f>
        <v>2</v>
      </c>
      <c r="AC111" s="6">
        <f>IF(最佳化斷筋點!E111="","",最佳化斷筋點!E111)</f>
        <v>2</v>
      </c>
      <c r="AD111" s="6">
        <f>IF(最佳化斷筋點!F111="","",最佳化斷筋點!F111)</f>
        <v>2</v>
      </c>
      <c r="AE111" s="6">
        <f>IF(最佳化斷筋點!G111="","",最佳化斷筋點!G111)</f>
        <v>2</v>
      </c>
      <c r="AF111" s="6">
        <f>IF(最佳化斷筋點!H111="","",最佳化斷筋點!H111)</f>
        <v>2</v>
      </c>
      <c r="AG111" s="6">
        <f>IF(最佳化斷筋點!I111="","",最佳化斷筋點!I111)</f>
        <v>2</v>
      </c>
      <c r="AH111" s="6">
        <f>IF(最佳化斷筋點!J111="","",最佳化斷筋點!J111)</f>
        <v>2</v>
      </c>
      <c r="AI111" s="6">
        <f>IF(最佳化斷筋點!K111="","",最佳化斷筋點!K111)</f>
        <v>2</v>
      </c>
      <c r="AJ111" s="6">
        <f>IF(最佳化斷筋點!L111="","",最佳化斷筋點!L111)</f>
        <v>2</v>
      </c>
      <c r="AK111" s="6">
        <f>IF(最佳化斷筋點!M111="","",最佳化斷筋點!M111)</f>
        <v>2</v>
      </c>
      <c r="AL111" s="6">
        <f>IF(最佳化斷筋點!N111="","",最佳化斷筋點!N111)</f>
        <v>2</v>
      </c>
      <c r="AM111" s="6">
        <f>IF(最佳化斷筋點!O111="","",最佳化斷筋點!O111)</f>
        <v>2</v>
      </c>
      <c r="AN111" s="6">
        <f>IF(最佳化斷筋點!P111="","",最佳化斷筋點!P111)</f>
        <v>2</v>
      </c>
      <c r="AO111" s="6">
        <f>IF(最佳化斷筋點!Q111="","",最佳化斷筋點!Q111)</f>
        <v>2</v>
      </c>
      <c r="AP111" s="6">
        <f>IF(最佳化斷筋點!R111="","",最佳化斷筋點!R111)</f>
        <v>2</v>
      </c>
      <c r="AQ111" s="6">
        <f>IF(最佳化斷筋點!S111="","",最佳化斷筋點!S111)</f>
        <v>3</v>
      </c>
      <c r="AR111" s="6">
        <f>IF(最佳化斷筋點!T111="","",最佳化斷筋點!T111)</f>
        <v>3</v>
      </c>
      <c r="AS111" s="6">
        <f>IF(最佳化斷筋點!U111="","",最佳化斷筋點!U111)</f>
        <v>4</v>
      </c>
      <c r="AT111" s="6">
        <f>IF(最佳化斷筋點!V111="","",最佳化斷筋點!V111)</f>
        <v>4</v>
      </c>
      <c r="AU111" s="6">
        <f>IF(最佳化斷筋點!W111="","",最佳化斷筋點!W111)</f>
        <v>5</v>
      </c>
      <c r="AV111" s="6">
        <f>IF(最佳化斷筋點!X111="","",最佳化斷筋點!X111)</f>
        <v>5</v>
      </c>
      <c r="AX111" s="6" t="s">
        <v>50</v>
      </c>
      <c r="AY111" s="6">
        <v>2</v>
      </c>
      <c r="AZ111" s="6">
        <v>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2</v>
      </c>
      <c r="BN111" s="6">
        <v>3</v>
      </c>
      <c r="BO111" s="6">
        <v>3</v>
      </c>
      <c r="BP111" s="6">
        <v>4</v>
      </c>
      <c r="BQ111" s="6">
        <v>4</v>
      </c>
      <c r="BR111" s="6">
        <v>5</v>
      </c>
      <c r="BS111" s="6">
        <v>5</v>
      </c>
    </row>
    <row r="112" spans="4:71" x14ac:dyDescent="0.25">
      <c r="E112" s="6">
        <f t="shared" si="22"/>
        <v>0</v>
      </c>
      <c r="F112" s="6">
        <f t="shared" si="23"/>
        <v>0</v>
      </c>
      <c r="G112" s="6">
        <f t="shared" si="24"/>
        <v>0</v>
      </c>
      <c r="H112" s="6">
        <f t="shared" si="25"/>
        <v>0</v>
      </c>
      <c r="I112" s="6">
        <f t="shared" si="26"/>
        <v>0</v>
      </c>
      <c r="J112" s="6">
        <f t="shared" si="27"/>
        <v>0</v>
      </c>
      <c r="K112" s="6">
        <f t="shared" si="28"/>
        <v>0</v>
      </c>
      <c r="L112" s="6">
        <f t="shared" si="29"/>
        <v>0</v>
      </c>
      <c r="M112" s="6">
        <f t="shared" si="30"/>
        <v>0</v>
      </c>
      <c r="N112" s="6">
        <f t="shared" si="31"/>
        <v>0</v>
      </c>
      <c r="O112" s="6">
        <f t="shared" si="32"/>
        <v>0</v>
      </c>
      <c r="P112" s="6">
        <f t="shared" si="33"/>
        <v>0</v>
      </c>
      <c r="Q112" s="6">
        <f t="shared" si="34"/>
        <v>0</v>
      </c>
      <c r="R112" s="6">
        <f t="shared" si="35"/>
        <v>0</v>
      </c>
      <c r="S112" s="6">
        <f t="shared" si="36"/>
        <v>0</v>
      </c>
      <c r="T112" s="6">
        <f t="shared" si="37"/>
        <v>0</v>
      </c>
      <c r="U112" s="6">
        <f t="shared" si="38"/>
        <v>0</v>
      </c>
      <c r="V112" s="6">
        <f t="shared" si="39"/>
        <v>0</v>
      </c>
      <c r="W112" s="6">
        <f t="shared" si="40"/>
        <v>0</v>
      </c>
      <c r="X112" s="6">
        <f t="shared" si="41"/>
        <v>0</v>
      </c>
      <c r="Y112" s="6">
        <f t="shared" si="42"/>
        <v>0</v>
      </c>
      <c r="AA112" s="6" t="str">
        <f>IF(最佳化斷筋點!C112="","",最佳化斷筋點!C112)</f>
        <v/>
      </c>
      <c r="AB112" s="6" t="str">
        <f>IF(最佳化斷筋點!D112="","",最佳化斷筋點!D112)</f>
        <v/>
      </c>
      <c r="AC112" s="6" t="str">
        <f>IF(最佳化斷筋點!E112="","",最佳化斷筋點!E112)</f>
        <v/>
      </c>
      <c r="AD112" s="6" t="str">
        <f>IF(最佳化斷筋點!F112="","",最佳化斷筋點!F112)</f>
        <v/>
      </c>
      <c r="AE112" s="6" t="str">
        <f>IF(最佳化斷筋點!G112="","",最佳化斷筋點!G112)</f>
        <v/>
      </c>
      <c r="AF112" s="6" t="str">
        <f>IF(最佳化斷筋點!H112="","",最佳化斷筋點!H112)</f>
        <v/>
      </c>
      <c r="AG112" s="6" t="str">
        <f>IF(最佳化斷筋點!I112="","",最佳化斷筋點!I112)</f>
        <v/>
      </c>
      <c r="AH112" s="6" t="str">
        <f>IF(最佳化斷筋點!J112="","",最佳化斷筋點!J112)</f>
        <v/>
      </c>
      <c r="AI112" s="6" t="str">
        <f>IF(最佳化斷筋點!K112="","",最佳化斷筋點!K112)</f>
        <v/>
      </c>
      <c r="AJ112" s="6" t="str">
        <f>IF(最佳化斷筋點!L112="","",最佳化斷筋點!L112)</f>
        <v/>
      </c>
      <c r="AK112" s="6" t="str">
        <f>IF(最佳化斷筋點!M112="","",最佳化斷筋點!M112)</f>
        <v/>
      </c>
      <c r="AL112" s="6" t="str">
        <f>IF(最佳化斷筋點!N112="","",最佳化斷筋點!N112)</f>
        <v/>
      </c>
      <c r="AM112" s="6" t="str">
        <f>IF(最佳化斷筋點!O112="","",最佳化斷筋點!O112)</f>
        <v/>
      </c>
      <c r="AN112" s="6" t="str">
        <f>IF(最佳化斷筋點!P112="","",最佳化斷筋點!P112)</f>
        <v/>
      </c>
      <c r="AO112" s="6" t="str">
        <f>IF(最佳化斷筋點!Q112="","",最佳化斷筋點!Q112)</f>
        <v/>
      </c>
      <c r="AP112" s="6" t="str">
        <f>IF(最佳化斷筋點!R112="","",最佳化斷筋點!R112)</f>
        <v/>
      </c>
      <c r="AQ112" s="6" t="str">
        <f>IF(最佳化斷筋點!S112="","",最佳化斷筋點!S112)</f>
        <v/>
      </c>
      <c r="AR112" s="6" t="str">
        <f>IF(最佳化斷筋點!T112="","",最佳化斷筋點!T112)</f>
        <v/>
      </c>
      <c r="AS112" s="6" t="str">
        <f>IF(最佳化斷筋點!U112="","",最佳化斷筋點!U112)</f>
        <v/>
      </c>
      <c r="AT112" s="6" t="str">
        <f>IF(最佳化斷筋點!V112="","",最佳化斷筋點!V112)</f>
        <v/>
      </c>
      <c r="AU112" s="6" t="str">
        <f>IF(最佳化斷筋點!W112="","",最佳化斷筋點!W112)</f>
        <v/>
      </c>
      <c r="AV112" s="6" t="str">
        <f>IF(最佳化斷筋點!X112="","",最佳化斷筋點!X112)</f>
        <v/>
      </c>
    </row>
    <row r="113" spans="4:71" x14ac:dyDescent="0.25">
      <c r="D113" s="6" t="s">
        <v>51</v>
      </c>
      <c r="E113" s="6">
        <f t="shared" si="22"/>
        <v>0</v>
      </c>
      <c r="F113" s="6">
        <f t="shared" si="23"/>
        <v>0</v>
      </c>
      <c r="G113" s="6">
        <f t="shared" si="24"/>
        <v>0</v>
      </c>
      <c r="H113" s="6">
        <f t="shared" si="25"/>
        <v>0</v>
      </c>
      <c r="I113" s="6">
        <f t="shared" si="26"/>
        <v>0</v>
      </c>
      <c r="J113" s="6">
        <f t="shared" si="27"/>
        <v>0</v>
      </c>
      <c r="K113" s="6">
        <f t="shared" si="28"/>
        <v>0</v>
      </c>
      <c r="L113" s="6">
        <f t="shared" si="29"/>
        <v>0</v>
      </c>
      <c r="M113" s="6">
        <f t="shared" si="30"/>
        <v>0</v>
      </c>
      <c r="N113" s="6">
        <f t="shared" si="31"/>
        <v>0</v>
      </c>
      <c r="O113" s="6">
        <f t="shared" si="32"/>
        <v>0</v>
      </c>
      <c r="P113" s="6">
        <f t="shared" si="33"/>
        <v>0</v>
      </c>
      <c r="Q113" s="6">
        <f t="shared" si="34"/>
        <v>0</v>
      </c>
      <c r="R113" s="6">
        <f t="shared" si="35"/>
        <v>0</v>
      </c>
      <c r="S113" s="6">
        <f t="shared" si="36"/>
        <v>0</v>
      </c>
      <c r="T113" s="6">
        <f t="shared" si="37"/>
        <v>0</v>
      </c>
      <c r="U113" s="6">
        <f t="shared" si="38"/>
        <v>0</v>
      </c>
      <c r="V113" s="6">
        <f t="shared" si="39"/>
        <v>0</v>
      </c>
      <c r="W113" s="6">
        <f t="shared" si="40"/>
        <v>0</v>
      </c>
      <c r="X113" s="6">
        <f t="shared" si="41"/>
        <v>0</v>
      </c>
      <c r="Y113" s="6">
        <f t="shared" si="42"/>
        <v>0</v>
      </c>
      <c r="AA113" s="6" t="str">
        <f>IF(最佳化斷筋點!C113="","",最佳化斷筋點!C113)</f>
        <v>下層</v>
      </c>
      <c r="AB113" s="6">
        <f>IF(最佳化斷筋點!D113="","",最佳化斷筋點!D113)</f>
        <v>4</v>
      </c>
      <c r="AC113" s="6">
        <f>IF(最佳化斷筋點!E113="","",最佳化斷筋點!E113)</f>
        <v>4</v>
      </c>
      <c r="AD113" s="6">
        <f>IF(最佳化斷筋點!F113="","",最佳化斷筋點!F113)</f>
        <v>4</v>
      </c>
      <c r="AE113" s="6">
        <f>IF(最佳化斷筋點!G113="","",最佳化斷筋點!G113)</f>
        <v>3</v>
      </c>
      <c r="AF113" s="6">
        <f>IF(最佳化斷筋點!H113="","",最佳化斷筋點!H113)</f>
        <v>4</v>
      </c>
      <c r="AG113" s="6">
        <f>IF(最佳化斷筋點!I113="","",最佳化斷筋點!I113)</f>
        <v>4</v>
      </c>
      <c r="AH113" s="6">
        <f>IF(最佳化斷筋點!J113="","",最佳化斷筋點!J113)</f>
        <v>5</v>
      </c>
      <c r="AI113" s="6">
        <f>IF(最佳化斷筋點!K113="","",最佳化斷筋點!K113)</f>
        <v>5</v>
      </c>
      <c r="AJ113" s="6">
        <f>IF(最佳化斷筋點!L113="","",最佳化斷筋點!L113)</f>
        <v>5</v>
      </c>
      <c r="AK113" s="6">
        <f>IF(最佳化斷筋點!M113="","",最佳化斷筋點!M113)</f>
        <v>5</v>
      </c>
      <c r="AL113" s="6">
        <f>IF(最佳化斷筋點!N113="","",最佳化斷筋點!N113)</f>
        <v>5</v>
      </c>
      <c r="AM113" s="6">
        <f>IF(最佳化斷筋點!O113="","",最佳化斷筋點!O113)</f>
        <v>5</v>
      </c>
      <c r="AN113" s="6">
        <f>IF(最佳化斷筋點!P113="","",最佳化斷筋點!P113)</f>
        <v>5</v>
      </c>
      <c r="AO113" s="6">
        <f>IF(最佳化斷筋點!Q113="","",最佳化斷筋點!Q113)</f>
        <v>5</v>
      </c>
      <c r="AP113" s="6">
        <f>IF(最佳化斷筋點!R113="","",最佳化斷筋點!R113)</f>
        <v>5</v>
      </c>
      <c r="AQ113" s="6">
        <f>IF(最佳化斷筋點!S113="","",最佳化斷筋點!S113)</f>
        <v>4</v>
      </c>
      <c r="AR113" s="6">
        <f>IF(最佳化斷筋點!T113="","",最佳化斷筋點!T113)</f>
        <v>4</v>
      </c>
      <c r="AS113" s="6">
        <f>IF(最佳化斷筋點!U113="","",最佳化斷筋點!U113)</f>
        <v>3</v>
      </c>
      <c r="AT113" s="6">
        <f>IF(最佳化斷筋點!V113="","",最佳化斷筋點!V113)</f>
        <v>3</v>
      </c>
      <c r="AU113" s="6">
        <f>IF(最佳化斷筋點!W113="","",最佳化斷筋點!W113)</f>
        <v>3</v>
      </c>
      <c r="AV113" s="6">
        <f>IF(最佳化斷筋點!X113="","",最佳化斷筋點!X113)</f>
        <v>3</v>
      </c>
      <c r="AX113" s="6" t="s">
        <v>51</v>
      </c>
      <c r="AY113" s="6">
        <v>4</v>
      </c>
      <c r="AZ113" s="6">
        <v>4</v>
      </c>
      <c r="BA113" s="6">
        <v>4</v>
      </c>
      <c r="BB113" s="6">
        <v>3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4</v>
      </c>
      <c r="BO113" s="6">
        <v>4</v>
      </c>
      <c r="BP113" s="6">
        <v>3</v>
      </c>
      <c r="BQ113" s="6">
        <v>3</v>
      </c>
      <c r="BR113" s="6">
        <v>3</v>
      </c>
      <c r="BS113" s="6">
        <v>3</v>
      </c>
    </row>
    <row r="114" spans="4:71" x14ac:dyDescent="0.25">
      <c r="E114" s="6">
        <f t="shared" si="22"/>
        <v>0</v>
      </c>
      <c r="F114" s="6">
        <f t="shared" si="23"/>
        <v>0</v>
      </c>
      <c r="G114" s="6">
        <f t="shared" si="24"/>
        <v>0</v>
      </c>
      <c r="H114" s="6">
        <f t="shared" si="25"/>
        <v>0</v>
      </c>
      <c r="I114" s="6">
        <f t="shared" si="26"/>
        <v>0</v>
      </c>
      <c r="J114" s="6">
        <f t="shared" si="27"/>
        <v>0</v>
      </c>
      <c r="K114" s="6">
        <f t="shared" si="28"/>
        <v>0</v>
      </c>
      <c r="L114" s="6">
        <f t="shared" si="29"/>
        <v>0</v>
      </c>
      <c r="M114" s="6">
        <f t="shared" si="30"/>
        <v>0</v>
      </c>
      <c r="N114" s="6">
        <f t="shared" si="31"/>
        <v>0</v>
      </c>
      <c r="O114" s="6">
        <f t="shared" si="32"/>
        <v>0</v>
      </c>
      <c r="P114" s="6">
        <f t="shared" si="33"/>
        <v>0</v>
      </c>
      <c r="Q114" s="6">
        <f t="shared" si="34"/>
        <v>0</v>
      </c>
      <c r="R114" s="6">
        <f t="shared" si="35"/>
        <v>0</v>
      </c>
      <c r="S114" s="6">
        <f t="shared" si="36"/>
        <v>0</v>
      </c>
      <c r="T114" s="6">
        <f t="shared" si="37"/>
        <v>0</v>
      </c>
      <c r="U114" s="6">
        <f t="shared" si="38"/>
        <v>0</v>
      </c>
      <c r="V114" s="6">
        <f t="shared" si="39"/>
        <v>0</v>
      </c>
      <c r="W114" s="6">
        <f t="shared" si="40"/>
        <v>0</v>
      </c>
      <c r="X114" s="6">
        <f t="shared" si="41"/>
        <v>0</v>
      </c>
      <c r="Y114" s="6">
        <f t="shared" si="42"/>
        <v>0</v>
      </c>
      <c r="AA114" s="6" t="str">
        <f>IF(最佳化斷筋點!C114="","",最佳化斷筋點!C114)</f>
        <v/>
      </c>
      <c r="AB114" s="6" t="str">
        <f>IF(最佳化斷筋點!D114="","",最佳化斷筋點!D114)</f>
        <v/>
      </c>
      <c r="AC114" s="6" t="str">
        <f>IF(最佳化斷筋點!E114="","",最佳化斷筋點!E114)</f>
        <v/>
      </c>
      <c r="AD114" s="6" t="str">
        <f>IF(最佳化斷筋點!F114="","",最佳化斷筋點!F114)</f>
        <v/>
      </c>
      <c r="AE114" s="6" t="str">
        <f>IF(最佳化斷筋點!G114="","",最佳化斷筋點!G114)</f>
        <v/>
      </c>
      <c r="AF114" s="6" t="str">
        <f>IF(最佳化斷筋點!H114="","",最佳化斷筋點!H114)</f>
        <v/>
      </c>
      <c r="AG114" s="6" t="str">
        <f>IF(最佳化斷筋點!I114="","",最佳化斷筋點!I114)</f>
        <v/>
      </c>
      <c r="AH114" s="6" t="str">
        <f>IF(最佳化斷筋點!J114="","",最佳化斷筋點!J114)</f>
        <v/>
      </c>
      <c r="AI114" s="6" t="str">
        <f>IF(最佳化斷筋點!K114="","",最佳化斷筋點!K114)</f>
        <v/>
      </c>
      <c r="AJ114" s="6" t="str">
        <f>IF(最佳化斷筋點!L114="","",最佳化斷筋點!L114)</f>
        <v/>
      </c>
      <c r="AK114" s="6" t="str">
        <f>IF(最佳化斷筋點!M114="","",最佳化斷筋點!M114)</f>
        <v/>
      </c>
      <c r="AL114" s="6" t="str">
        <f>IF(最佳化斷筋點!N114="","",最佳化斷筋點!N114)</f>
        <v/>
      </c>
      <c r="AM114" s="6" t="str">
        <f>IF(最佳化斷筋點!O114="","",最佳化斷筋點!O114)</f>
        <v/>
      </c>
      <c r="AN114" s="6" t="str">
        <f>IF(最佳化斷筋點!P114="","",最佳化斷筋點!P114)</f>
        <v/>
      </c>
      <c r="AO114" s="6" t="str">
        <f>IF(最佳化斷筋點!Q114="","",最佳化斷筋點!Q114)</f>
        <v/>
      </c>
      <c r="AP114" s="6" t="str">
        <f>IF(最佳化斷筋點!R114="","",最佳化斷筋點!R114)</f>
        <v/>
      </c>
      <c r="AQ114" s="6" t="str">
        <f>IF(最佳化斷筋點!S114="","",最佳化斷筋點!S114)</f>
        <v/>
      </c>
      <c r="AR114" s="6" t="str">
        <f>IF(最佳化斷筋點!T114="","",最佳化斷筋點!T114)</f>
        <v/>
      </c>
      <c r="AS114" s="6" t="str">
        <f>IF(最佳化斷筋點!U114="","",最佳化斷筋點!U114)</f>
        <v/>
      </c>
      <c r="AT114" s="6" t="str">
        <f>IF(最佳化斷筋點!V114="","",最佳化斷筋點!V114)</f>
        <v/>
      </c>
      <c r="AU114" s="6" t="str">
        <f>IF(最佳化斷筋點!W114="","",最佳化斷筋點!W114)</f>
        <v/>
      </c>
      <c r="AV114" s="6" t="str">
        <f>IF(最佳化斷筋點!X114="","",最佳化斷筋點!X114)</f>
        <v/>
      </c>
    </row>
    <row r="115" spans="4:71" x14ac:dyDescent="0.25">
      <c r="D115" s="6" t="s">
        <v>50</v>
      </c>
      <c r="E115" s="6">
        <f t="shared" si="22"/>
        <v>0</v>
      </c>
      <c r="F115" s="6">
        <f t="shared" si="23"/>
        <v>0</v>
      </c>
      <c r="G115" s="6">
        <f t="shared" si="24"/>
        <v>0</v>
      </c>
      <c r="H115" s="6">
        <f t="shared" si="25"/>
        <v>0</v>
      </c>
      <c r="I115" s="6">
        <f t="shared" si="26"/>
        <v>0</v>
      </c>
      <c r="J115" s="6">
        <f t="shared" si="27"/>
        <v>0</v>
      </c>
      <c r="K115" s="6">
        <f t="shared" si="28"/>
        <v>0</v>
      </c>
      <c r="L115" s="6">
        <f t="shared" si="29"/>
        <v>0</v>
      </c>
      <c r="M115" s="6">
        <f t="shared" si="30"/>
        <v>0</v>
      </c>
      <c r="N115" s="6">
        <f t="shared" si="31"/>
        <v>0</v>
      </c>
      <c r="O115" s="6">
        <f t="shared" si="32"/>
        <v>0</v>
      </c>
      <c r="P115" s="6">
        <f t="shared" si="33"/>
        <v>0</v>
      </c>
      <c r="Q115" s="6">
        <f t="shared" si="34"/>
        <v>0</v>
      </c>
      <c r="R115" s="6">
        <f t="shared" si="35"/>
        <v>0</v>
      </c>
      <c r="S115" s="6">
        <f t="shared" si="36"/>
        <v>0</v>
      </c>
      <c r="T115" s="6">
        <f t="shared" si="37"/>
        <v>0</v>
      </c>
      <c r="U115" s="6">
        <f t="shared" si="38"/>
        <v>0</v>
      </c>
      <c r="V115" s="6">
        <f t="shared" si="39"/>
        <v>0</v>
      </c>
      <c r="W115" s="6">
        <f t="shared" si="40"/>
        <v>0</v>
      </c>
      <c r="X115" s="6">
        <f t="shared" si="41"/>
        <v>0</v>
      </c>
      <c r="Y115" s="6">
        <f t="shared" si="42"/>
        <v>0</v>
      </c>
      <c r="AA115" s="6" t="str">
        <f>IF(最佳化斷筋點!C115="","",最佳化斷筋點!C115)</f>
        <v>上層</v>
      </c>
      <c r="AB115" s="6">
        <f>IF(最佳化斷筋點!D115="","",最佳化斷筋點!D115)</f>
        <v>2</v>
      </c>
      <c r="AC115" s="6">
        <f>IF(最佳化斷筋點!E115="","",最佳化斷筋點!E115)</f>
        <v>2</v>
      </c>
      <c r="AD115" s="6">
        <f>IF(最佳化斷筋點!F115="","",最佳化斷筋點!F115)</f>
        <v>2</v>
      </c>
      <c r="AE115" s="6">
        <f>IF(最佳化斷筋點!G115="","",最佳化斷筋點!G115)</f>
        <v>2</v>
      </c>
      <c r="AF115" s="6">
        <f>IF(最佳化斷筋點!H115="","",最佳化斷筋點!H115)</f>
        <v>2</v>
      </c>
      <c r="AG115" s="6">
        <f>IF(最佳化斷筋點!I115="","",最佳化斷筋點!I115)</f>
        <v>2</v>
      </c>
      <c r="AH115" s="6">
        <f>IF(最佳化斷筋點!J115="","",最佳化斷筋點!J115)</f>
        <v>2</v>
      </c>
      <c r="AI115" s="6">
        <f>IF(最佳化斷筋點!K115="","",最佳化斷筋點!K115)</f>
        <v>2</v>
      </c>
      <c r="AJ115" s="6">
        <f>IF(最佳化斷筋點!L115="","",最佳化斷筋點!L115)</f>
        <v>2</v>
      </c>
      <c r="AK115" s="6">
        <f>IF(最佳化斷筋點!M115="","",最佳化斷筋點!M115)</f>
        <v>2</v>
      </c>
      <c r="AL115" s="6">
        <f>IF(最佳化斷筋點!N115="","",最佳化斷筋點!N115)</f>
        <v>2</v>
      </c>
      <c r="AM115" s="6">
        <f>IF(最佳化斷筋點!O115="","",最佳化斷筋點!O115)</f>
        <v>2</v>
      </c>
      <c r="AN115" s="6">
        <f>IF(最佳化斷筋點!P115="","",最佳化斷筋點!P115)</f>
        <v>2</v>
      </c>
      <c r="AO115" s="6">
        <f>IF(最佳化斷筋點!Q115="","",最佳化斷筋點!Q115)</f>
        <v>2</v>
      </c>
      <c r="AP115" s="6">
        <f>IF(最佳化斷筋點!R115="","",最佳化斷筋點!R115)</f>
        <v>2</v>
      </c>
      <c r="AQ115" s="6">
        <f>IF(最佳化斷筋點!S115="","",最佳化斷筋點!S115)</f>
        <v>3</v>
      </c>
      <c r="AR115" s="6">
        <f>IF(最佳化斷筋點!T115="","",最佳化斷筋點!T115)</f>
        <v>3</v>
      </c>
      <c r="AS115" s="6">
        <f>IF(最佳化斷筋點!U115="","",最佳化斷筋點!U115)</f>
        <v>4</v>
      </c>
      <c r="AT115" s="6">
        <f>IF(最佳化斷筋點!V115="","",最佳化斷筋點!V115)</f>
        <v>4</v>
      </c>
      <c r="AU115" s="6">
        <f>IF(最佳化斷筋點!W115="","",最佳化斷筋點!W115)</f>
        <v>5</v>
      </c>
      <c r="AV115" s="6">
        <f>IF(最佳化斷筋點!X115="","",最佳化斷筋點!X115)</f>
        <v>5</v>
      </c>
      <c r="AX115" s="6" t="s">
        <v>50</v>
      </c>
      <c r="AY115" s="6">
        <v>2</v>
      </c>
      <c r="AZ115" s="6">
        <v>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2</v>
      </c>
      <c r="BN115" s="6">
        <v>3</v>
      </c>
      <c r="BO115" s="6">
        <v>3</v>
      </c>
      <c r="BP115" s="6">
        <v>4</v>
      </c>
      <c r="BQ115" s="6">
        <v>4</v>
      </c>
      <c r="BR115" s="6">
        <v>5</v>
      </c>
      <c r="BS115" s="6">
        <v>5</v>
      </c>
    </row>
    <row r="116" spans="4:71" x14ac:dyDescent="0.25">
      <c r="E116" s="6">
        <f t="shared" si="22"/>
        <v>0</v>
      </c>
      <c r="F116" s="6">
        <f t="shared" si="23"/>
        <v>0</v>
      </c>
      <c r="G116" s="6">
        <f t="shared" si="24"/>
        <v>0</v>
      </c>
      <c r="H116" s="6">
        <f t="shared" si="25"/>
        <v>0</v>
      </c>
      <c r="I116" s="6">
        <f t="shared" si="26"/>
        <v>0</v>
      </c>
      <c r="J116" s="6">
        <f t="shared" si="27"/>
        <v>0</v>
      </c>
      <c r="K116" s="6">
        <f t="shared" si="28"/>
        <v>0</v>
      </c>
      <c r="L116" s="6">
        <f t="shared" si="29"/>
        <v>0</v>
      </c>
      <c r="M116" s="6">
        <f t="shared" si="30"/>
        <v>0</v>
      </c>
      <c r="N116" s="6">
        <f t="shared" si="31"/>
        <v>0</v>
      </c>
      <c r="O116" s="6">
        <f t="shared" si="32"/>
        <v>0</v>
      </c>
      <c r="P116" s="6">
        <f t="shared" si="33"/>
        <v>0</v>
      </c>
      <c r="Q116" s="6">
        <f t="shared" si="34"/>
        <v>0</v>
      </c>
      <c r="R116" s="6">
        <f t="shared" si="35"/>
        <v>0</v>
      </c>
      <c r="S116" s="6">
        <f t="shared" si="36"/>
        <v>0</v>
      </c>
      <c r="T116" s="6">
        <f t="shared" si="37"/>
        <v>0</v>
      </c>
      <c r="U116" s="6">
        <f t="shared" si="38"/>
        <v>0</v>
      </c>
      <c r="V116" s="6">
        <f t="shared" si="39"/>
        <v>0</v>
      </c>
      <c r="W116" s="6">
        <f t="shared" si="40"/>
        <v>0</v>
      </c>
      <c r="X116" s="6">
        <f t="shared" si="41"/>
        <v>0</v>
      </c>
      <c r="Y116" s="6">
        <f t="shared" si="42"/>
        <v>0</v>
      </c>
      <c r="AA116" s="6" t="str">
        <f>IF(最佳化斷筋點!C116="","",最佳化斷筋點!C116)</f>
        <v/>
      </c>
      <c r="AB116" s="6" t="str">
        <f>IF(最佳化斷筋點!D116="","",最佳化斷筋點!D116)</f>
        <v/>
      </c>
      <c r="AC116" s="6" t="str">
        <f>IF(最佳化斷筋點!E116="","",最佳化斷筋點!E116)</f>
        <v/>
      </c>
      <c r="AD116" s="6" t="str">
        <f>IF(最佳化斷筋點!F116="","",最佳化斷筋點!F116)</f>
        <v/>
      </c>
      <c r="AE116" s="6" t="str">
        <f>IF(最佳化斷筋點!G116="","",最佳化斷筋點!G116)</f>
        <v/>
      </c>
      <c r="AF116" s="6" t="str">
        <f>IF(最佳化斷筋點!H116="","",最佳化斷筋點!H116)</f>
        <v/>
      </c>
      <c r="AG116" s="6" t="str">
        <f>IF(最佳化斷筋點!I116="","",最佳化斷筋點!I116)</f>
        <v/>
      </c>
      <c r="AH116" s="6" t="str">
        <f>IF(最佳化斷筋點!J116="","",最佳化斷筋點!J116)</f>
        <v/>
      </c>
      <c r="AI116" s="6" t="str">
        <f>IF(最佳化斷筋點!K116="","",最佳化斷筋點!K116)</f>
        <v/>
      </c>
      <c r="AJ116" s="6" t="str">
        <f>IF(最佳化斷筋點!L116="","",最佳化斷筋點!L116)</f>
        <v/>
      </c>
      <c r="AK116" s="6" t="str">
        <f>IF(最佳化斷筋點!M116="","",最佳化斷筋點!M116)</f>
        <v/>
      </c>
      <c r="AL116" s="6" t="str">
        <f>IF(最佳化斷筋點!N116="","",最佳化斷筋點!N116)</f>
        <v/>
      </c>
      <c r="AM116" s="6" t="str">
        <f>IF(最佳化斷筋點!O116="","",最佳化斷筋點!O116)</f>
        <v/>
      </c>
      <c r="AN116" s="6" t="str">
        <f>IF(最佳化斷筋點!P116="","",最佳化斷筋點!P116)</f>
        <v/>
      </c>
      <c r="AO116" s="6" t="str">
        <f>IF(最佳化斷筋點!Q116="","",最佳化斷筋點!Q116)</f>
        <v/>
      </c>
      <c r="AP116" s="6" t="str">
        <f>IF(最佳化斷筋點!R116="","",最佳化斷筋點!R116)</f>
        <v/>
      </c>
      <c r="AQ116" s="6" t="str">
        <f>IF(最佳化斷筋點!S116="","",最佳化斷筋點!S116)</f>
        <v/>
      </c>
      <c r="AR116" s="6" t="str">
        <f>IF(最佳化斷筋點!T116="","",最佳化斷筋點!T116)</f>
        <v/>
      </c>
      <c r="AS116" s="6" t="str">
        <f>IF(最佳化斷筋點!U116="","",最佳化斷筋點!U116)</f>
        <v/>
      </c>
      <c r="AT116" s="6" t="str">
        <f>IF(最佳化斷筋點!V116="","",最佳化斷筋點!V116)</f>
        <v/>
      </c>
      <c r="AU116" s="6" t="str">
        <f>IF(最佳化斷筋點!W116="","",最佳化斷筋點!W116)</f>
        <v/>
      </c>
      <c r="AV116" s="6" t="str">
        <f>IF(最佳化斷筋點!X116="","",最佳化斷筋點!X116)</f>
        <v/>
      </c>
    </row>
    <row r="117" spans="4:71" x14ac:dyDescent="0.25">
      <c r="D117" s="6" t="s">
        <v>51</v>
      </c>
      <c r="E117" s="6">
        <f t="shared" si="22"/>
        <v>0</v>
      </c>
      <c r="F117" s="6">
        <f t="shared" si="23"/>
        <v>0</v>
      </c>
      <c r="G117" s="6">
        <f t="shared" si="24"/>
        <v>0</v>
      </c>
      <c r="H117" s="6">
        <f t="shared" si="25"/>
        <v>0</v>
      </c>
      <c r="I117" s="6">
        <f t="shared" si="26"/>
        <v>0</v>
      </c>
      <c r="J117" s="6">
        <f t="shared" si="27"/>
        <v>0</v>
      </c>
      <c r="K117" s="6">
        <f t="shared" si="28"/>
        <v>0</v>
      </c>
      <c r="L117" s="6">
        <f t="shared" si="29"/>
        <v>0</v>
      </c>
      <c r="M117" s="6">
        <f t="shared" si="30"/>
        <v>0</v>
      </c>
      <c r="N117" s="6">
        <f t="shared" si="31"/>
        <v>0</v>
      </c>
      <c r="O117" s="6">
        <f t="shared" si="32"/>
        <v>0</v>
      </c>
      <c r="P117" s="6">
        <f t="shared" si="33"/>
        <v>0</v>
      </c>
      <c r="Q117" s="6">
        <f t="shared" si="34"/>
        <v>0</v>
      </c>
      <c r="R117" s="6">
        <f t="shared" si="35"/>
        <v>0</v>
      </c>
      <c r="S117" s="6">
        <f t="shared" si="36"/>
        <v>0</v>
      </c>
      <c r="T117" s="6">
        <f t="shared" si="37"/>
        <v>0</v>
      </c>
      <c r="U117" s="6">
        <f t="shared" si="38"/>
        <v>0</v>
      </c>
      <c r="V117" s="6">
        <f t="shared" si="39"/>
        <v>0</v>
      </c>
      <c r="W117" s="6">
        <f t="shared" si="40"/>
        <v>0</v>
      </c>
      <c r="X117" s="6">
        <f t="shared" si="41"/>
        <v>0</v>
      </c>
      <c r="Y117" s="6">
        <f t="shared" si="42"/>
        <v>0</v>
      </c>
      <c r="AA117" s="6" t="str">
        <f>IF(最佳化斷筋點!C117="","",最佳化斷筋點!C117)</f>
        <v>下層</v>
      </c>
      <c r="AB117" s="6">
        <f>IF(最佳化斷筋點!D117="","",最佳化斷筋點!D117)</f>
        <v>4</v>
      </c>
      <c r="AC117" s="6">
        <f>IF(最佳化斷筋點!E117="","",最佳化斷筋點!E117)</f>
        <v>4</v>
      </c>
      <c r="AD117" s="6">
        <f>IF(最佳化斷筋點!F117="","",最佳化斷筋點!F117)</f>
        <v>4</v>
      </c>
      <c r="AE117" s="6">
        <f>IF(最佳化斷筋點!G117="","",最佳化斷筋點!G117)</f>
        <v>3</v>
      </c>
      <c r="AF117" s="6">
        <f>IF(最佳化斷筋點!H117="","",最佳化斷筋點!H117)</f>
        <v>4</v>
      </c>
      <c r="AG117" s="6">
        <f>IF(最佳化斷筋點!I117="","",最佳化斷筋點!I117)</f>
        <v>4</v>
      </c>
      <c r="AH117" s="6">
        <f>IF(最佳化斷筋點!J117="","",最佳化斷筋點!J117)</f>
        <v>5</v>
      </c>
      <c r="AI117" s="6">
        <f>IF(最佳化斷筋點!K117="","",最佳化斷筋點!K117)</f>
        <v>5</v>
      </c>
      <c r="AJ117" s="6">
        <f>IF(最佳化斷筋點!L117="","",最佳化斷筋點!L117)</f>
        <v>5</v>
      </c>
      <c r="AK117" s="6">
        <f>IF(最佳化斷筋點!M117="","",最佳化斷筋點!M117)</f>
        <v>5</v>
      </c>
      <c r="AL117" s="6">
        <f>IF(最佳化斷筋點!N117="","",最佳化斷筋點!N117)</f>
        <v>5</v>
      </c>
      <c r="AM117" s="6">
        <f>IF(最佳化斷筋點!O117="","",最佳化斷筋點!O117)</f>
        <v>5</v>
      </c>
      <c r="AN117" s="6">
        <f>IF(最佳化斷筋點!P117="","",最佳化斷筋點!P117)</f>
        <v>5</v>
      </c>
      <c r="AO117" s="6">
        <f>IF(最佳化斷筋點!Q117="","",最佳化斷筋點!Q117)</f>
        <v>5</v>
      </c>
      <c r="AP117" s="6">
        <f>IF(最佳化斷筋點!R117="","",最佳化斷筋點!R117)</f>
        <v>5</v>
      </c>
      <c r="AQ117" s="6">
        <f>IF(最佳化斷筋點!S117="","",最佳化斷筋點!S117)</f>
        <v>4</v>
      </c>
      <c r="AR117" s="6">
        <f>IF(最佳化斷筋點!T117="","",最佳化斷筋點!T117)</f>
        <v>4</v>
      </c>
      <c r="AS117" s="6">
        <f>IF(最佳化斷筋點!U117="","",最佳化斷筋點!U117)</f>
        <v>3</v>
      </c>
      <c r="AT117" s="6">
        <f>IF(最佳化斷筋點!V117="","",最佳化斷筋點!V117)</f>
        <v>3</v>
      </c>
      <c r="AU117" s="6">
        <f>IF(最佳化斷筋點!W117="","",最佳化斷筋點!W117)</f>
        <v>3</v>
      </c>
      <c r="AV117" s="6">
        <f>IF(最佳化斷筋點!X117="","",最佳化斷筋點!X117)</f>
        <v>3</v>
      </c>
      <c r="AX117" s="6" t="s">
        <v>51</v>
      </c>
      <c r="AY117" s="6">
        <v>4</v>
      </c>
      <c r="AZ117" s="6">
        <v>4</v>
      </c>
      <c r="BA117" s="6">
        <v>4</v>
      </c>
      <c r="BB117" s="6">
        <v>3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4</v>
      </c>
      <c r="BO117" s="6">
        <v>4</v>
      </c>
      <c r="BP117" s="6">
        <v>3</v>
      </c>
      <c r="BQ117" s="6">
        <v>3</v>
      </c>
      <c r="BR117" s="6">
        <v>3</v>
      </c>
      <c r="BS117" s="6">
        <v>3</v>
      </c>
    </row>
    <row r="118" spans="4:71" x14ac:dyDescent="0.25">
      <c r="E118" s="6">
        <f t="shared" si="22"/>
        <v>0</v>
      </c>
      <c r="F118" s="6">
        <f t="shared" si="23"/>
        <v>0</v>
      </c>
      <c r="G118" s="6">
        <f t="shared" si="24"/>
        <v>0</v>
      </c>
      <c r="H118" s="6">
        <f t="shared" si="25"/>
        <v>0</v>
      </c>
      <c r="I118" s="6">
        <f t="shared" si="26"/>
        <v>0</v>
      </c>
      <c r="J118" s="6">
        <f t="shared" si="27"/>
        <v>0</v>
      </c>
      <c r="K118" s="6">
        <f t="shared" si="28"/>
        <v>0</v>
      </c>
      <c r="L118" s="6">
        <f t="shared" si="29"/>
        <v>0</v>
      </c>
      <c r="M118" s="6">
        <f t="shared" si="30"/>
        <v>0</v>
      </c>
      <c r="N118" s="6">
        <f t="shared" si="31"/>
        <v>0</v>
      </c>
      <c r="O118" s="6">
        <f t="shared" si="32"/>
        <v>0</v>
      </c>
      <c r="P118" s="6">
        <f t="shared" si="33"/>
        <v>0</v>
      </c>
      <c r="Q118" s="6">
        <f t="shared" si="34"/>
        <v>0</v>
      </c>
      <c r="R118" s="6">
        <f t="shared" si="35"/>
        <v>0</v>
      </c>
      <c r="S118" s="6">
        <f t="shared" si="36"/>
        <v>0</v>
      </c>
      <c r="T118" s="6">
        <f t="shared" si="37"/>
        <v>0</v>
      </c>
      <c r="U118" s="6">
        <f t="shared" si="38"/>
        <v>0</v>
      </c>
      <c r="V118" s="6">
        <f t="shared" si="39"/>
        <v>0</v>
      </c>
      <c r="W118" s="6">
        <f t="shared" si="40"/>
        <v>0</v>
      </c>
      <c r="X118" s="6">
        <f t="shared" si="41"/>
        <v>0</v>
      </c>
      <c r="Y118" s="6">
        <f t="shared" si="42"/>
        <v>0</v>
      </c>
      <c r="AA118" s="6" t="str">
        <f>IF(最佳化斷筋點!C118="","",最佳化斷筋點!C118)</f>
        <v/>
      </c>
      <c r="AB118" s="6" t="str">
        <f>IF(最佳化斷筋點!D118="","",最佳化斷筋點!D118)</f>
        <v/>
      </c>
      <c r="AC118" s="6" t="str">
        <f>IF(最佳化斷筋點!E118="","",最佳化斷筋點!E118)</f>
        <v/>
      </c>
      <c r="AD118" s="6" t="str">
        <f>IF(最佳化斷筋點!F118="","",最佳化斷筋點!F118)</f>
        <v/>
      </c>
      <c r="AE118" s="6" t="str">
        <f>IF(最佳化斷筋點!G118="","",最佳化斷筋點!G118)</f>
        <v/>
      </c>
      <c r="AF118" s="6" t="str">
        <f>IF(最佳化斷筋點!H118="","",最佳化斷筋點!H118)</f>
        <v/>
      </c>
      <c r="AG118" s="6" t="str">
        <f>IF(最佳化斷筋點!I118="","",最佳化斷筋點!I118)</f>
        <v/>
      </c>
      <c r="AH118" s="6" t="str">
        <f>IF(最佳化斷筋點!J118="","",最佳化斷筋點!J118)</f>
        <v/>
      </c>
      <c r="AI118" s="6" t="str">
        <f>IF(最佳化斷筋點!K118="","",最佳化斷筋點!K118)</f>
        <v/>
      </c>
      <c r="AJ118" s="6" t="str">
        <f>IF(最佳化斷筋點!L118="","",最佳化斷筋點!L118)</f>
        <v/>
      </c>
      <c r="AK118" s="6" t="str">
        <f>IF(最佳化斷筋點!M118="","",最佳化斷筋點!M118)</f>
        <v/>
      </c>
      <c r="AL118" s="6" t="str">
        <f>IF(最佳化斷筋點!N118="","",最佳化斷筋點!N118)</f>
        <v/>
      </c>
      <c r="AM118" s="6" t="str">
        <f>IF(最佳化斷筋點!O118="","",最佳化斷筋點!O118)</f>
        <v/>
      </c>
      <c r="AN118" s="6" t="str">
        <f>IF(最佳化斷筋點!P118="","",最佳化斷筋點!P118)</f>
        <v/>
      </c>
      <c r="AO118" s="6" t="str">
        <f>IF(最佳化斷筋點!Q118="","",最佳化斷筋點!Q118)</f>
        <v/>
      </c>
      <c r="AP118" s="6" t="str">
        <f>IF(最佳化斷筋點!R118="","",最佳化斷筋點!R118)</f>
        <v/>
      </c>
      <c r="AQ118" s="6" t="str">
        <f>IF(最佳化斷筋點!S118="","",最佳化斷筋點!S118)</f>
        <v/>
      </c>
      <c r="AR118" s="6" t="str">
        <f>IF(最佳化斷筋點!T118="","",最佳化斷筋點!T118)</f>
        <v/>
      </c>
      <c r="AS118" s="6" t="str">
        <f>IF(最佳化斷筋點!U118="","",最佳化斷筋點!U118)</f>
        <v/>
      </c>
      <c r="AT118" s="6" t="str">
        <f>IF(最佳化斷筋點!V118="","",最佳化斷筋點!V118)</f>
        <v/>
      </c>
      <c r="AU118" s="6" t="str">
        <f>IF(最佳化斷筋點!W118="","",最佳化斷筋點!W118)</f>
        <v/>
      </c>
      <c r="AV118" s="6" t="str">
        <f>IF(最佳化斷筋點!X118="","",最佳化斷筋點!X118)</f>
        <v/>
      </c>
    </row>
    <row r="119" spans="4:71" x14ac:dyDescent="0.25">
      <c r="D119" s="6" t="s">
        <v>50</v>
      </c>
      <c r="E119" s="6">
        <f t="shared" si="22"/>
        <v>0</v>
      </c>
      <c r="F119" s="6">
        <f t="shared" si="23"/>
        <v>0</v>
      </c>
      <c r="G119" s="6">
        <f t="shared" si="24"/>
        <v>0</v>
      </c>
      <c r="H119" s="6">
        <f t="shared" si="25"/>
        <v>0</v>
      </c>
      <c r="I119" s="6">
        <f t="shared" si="26"/>
        <v>0</v>
      </c>
      <c r="J119" s="6">
        <f t="shared" si="27"/>
        <v>0</v>
      </c>
      <c r="K119" s="6">
        <f t="shared" si="28"/>
        <v>0</v>
      </c>
      <c r="L119" s="6">
        <f t="shared" si="29"/>
        <v>0</v>
      </c>
      <c r="M119" s="6">
        <f t="shared" si="30"/>
        <v>0</v>
      </c>
      <c r="N119" s="6">
        <f t="shared" si="31"/>
        <v>0</v>
      </c>
      <c r="O119" s="6">
        <f t="shared" si="32"/>
        <v>0</v>
      </c>
      <c r="P119" s="6">
        <f t="shared" si="33"/>
        <v>0</v>
      </c>
      <c r="Q119" s="6">
        <f t="shared" si="34"/>
        <v>0</v>
      </c>
      <c r="R119" s="6">
        <f t="shared" si="35"/>
        <v>0</v>
      </c>
      <c r="S119" s="6">
        <f t="shared" si="36"/>
        <v>0</v>
      </c>
      <c r="T119" s="6">
        <f t="shared" si="37"/>
        <v>0</v>
      </c>
      <c r="U119" s="6">
        <f t="shared" si="38"/>
        <v>0</v>
      </c>
      <c r="V119" s="6">
        <f t="shared" si="39"/>
        <v>0</v>
      </c>
      <c r="W119" s="6">
        <f t="shared" si="40"/>
        <v>0</v>
      </c>
      <c r="X119" s="6">
        <f t="shared" si="41"/>
        <v>0</v>
      </c>
      <c r="Y119" s="6">
        <f t="shared" si="42"/>
        <v>0</v>
      </c>
      <c r="AA119" s="6" t="str">
        <f>IF(最佳化斷筋點!C119="","",最佳化斷筋點!C119)</f>
        <v>上層</v>
      </c>
      <c r="AB119" s="6">
        <f>IF(最佳化斷筋點!D119="","",最佳化斷筋點!D119)</f>
        <v>5</v>
      </c>
      <c r="AC119" s="6">
        <f>IF(最佳化斷筋點!E119="","",最佳化斷筋點!E119)</f>
        <v>5</v>
      </c>
      <c r="AD119" s="6">
        <f>IF(最佳化斷筋點!F119="","",最佳化斷筋點!F119)</f>
        <v>4</v>
      </c>
      <c r="AE119" s="6">
        <f>IF(最佳化斷筋點!G119="","",最佳化斷筋點!G119)</f>
        <v>4</v>
      </c>
      <c r="AF119" s="6">
        <f>IF(最佳化斷筋點!H119="","",最佳化斷筋點!H119)</f>
        <v>4</v>
      </c>
      <c r="AG119" s="6">
        <f>IF(最佳化斷筋點!I119="","",最佳化斷筋點!I119)</f>
        <v>3</v>
      </c>
      <c r="AH119" s="6">
        <f>IF(最佳化斷筋點!J119="","",最佳化斷筋點!J119)</f>
        <v>3</v>
      </c>
      <c r="AI119" s="6">
        <f>IF(最佳化斷筋點!K119="","",最佳化斷筋點!K119)</f>
        <v>2</v>
      </c>
      <c r="AJ119" s="6">
        <f>IF(最佳化斷筋點!L119="","",最佳化斷筋點!L119)</f>
        <v>2</v>
      </c>
      <c r="AK119" s="6">
        <f>IF(最佳化斷筋點!M119="","",最佳化斷筋點!M119)</f>
        <v>2</v>
      </c>
      <c r="AL119" s="6">
        <f>IF(最佳化斷筋點!N119="","",最佳化斷筋點!N119)</f>
        <v>2</v>
      </c>
      <c r="AM119" s="6">
        <f>IF(最佳化斷筋點!O119="","",最佳化斷筋點!O119)</f>
        <v>2</v>
      </c>
      <c r="AN119" s="6">
        <f>IF(最佳化斷筋點!P119="","",最佳化斷筋點!P119)</f>
        <v>2</v>
      </c>
      <c r="AO119" s="6">
        <f>IF(最佳化斷筋點!Q119="","",最佳化斷筋點!Q119)</f>
        <v>2</v>
      </c>
      <c r="AP119" s="6">
        <f>IF(最佳化斷筋點!R119="","",最佳化斷筋點!R119)</f>
        <v>2</v>
      </c>
      <c r="AQ119" s="6">
        <f>IF(最佳化斷筋點!S119="","",最佳化斷筋點!S119)</f>
        <v>2</v>
      </c>
      <c r="AR119" s="6">
        <f>IF(最佳化斷筋點!T119="","",最佳化斷筋點!T119)</f>
        <v>2</v>
      </c>
      <c r="AS119" s="6">
        <f>IF(最佳化斷筋點!U119="","",最佳化斷筋點!U119)</f>
        <v>2</v>
      </c>
      <c r="AT119" s="6">
        <f>IF(最佳化斷筋點!V119="","",最佳化斷筋點!V119)</f>
        <v>2</v>
      </c>
      <c r="AU119" s="6">
        <f>IF(最佳化斷筋點!W119="","",最佳化斷筋點!W119)</f>
        <v>2</v>
      </c>
      <c r="AV119" s="6">
        <f>IF(最佳化斷筋點!X119="","",最佳化斷筋點!X119)</f>
        <v>2</v>
      </c>
      <c r="AX119" s="6" t="s">
        <v>50</v>
      </c>
      <c r="AY119" s="6">
        <v>5</v>
      </c>
      <c r="AZ119" s="6">
        <v>5</v>
      </c>
      <c r="BA119" s="6">
        <v>4</v>
      </c>
      <c r="BB119" s="6">
        <v>4</v>
      </c>
      <c r="BC119" s="6">
        <v>4</v>
      </c>
      <c r="BD119" s="6">
        <v>3</v>
      </c>
      <c r="BE119" s="6">
        <v>3</v>
      </c>
      <c r="BF119" s="6">
        <v>2</v>
      </c>
      <c r="BG119" s="6">
        <v>2</v>
      </c>
      <c r="BH119" s="6">
        <v>2</v>
      </c>
      <c r="BI119" s="6">
        <v>2</v>
      </c>
      <c r="BJ119" s="6">
        <v>2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</row>
    <row r="120" spans="4:71" x14ac:dyDescent="0.25">
      <c r="E120" s="6">
        <f t="shared" si="22"/>
        <v>0</v>
      </c>
      <c r="F120" s="6">
        <f t="shared" si="23"/>
        <v>0</v>
      </c>
      <c r="G120" s="6">
        <f t="shared" si="24"/>
        <v>0</v>
      </c>
      <c r="H120" s="6">
        <f t="shared" si="25"/>
        <v>0</v>
      </c>
      <c r="I120" s="6">
        <f t="shared" si="26"/>
        <v>0</v>
      </c>
      <c r="J120" s="6">
        <f t="shared" si="27"/>
        <v>0</v>
      </c>
      <c r="K120" s="6">
        <f t="shared" si="28"/>
        <v>0</v>
      </c>
      <c r="L120" s="6">
        <f t="shared" si="29"/>
        <v>0</v>
      </c>
      <c r="M120" s="6">
        <f t="shared" si="30"/>
        <v>0</v>
      </c>
      <c r="N120" s="6">
        <f t="shared" si="31"/>
        <v>0</v>
      </c>
      <c r="O120" s="6">
        <f t="shared" si="32"/>
        <v>0</v>
      </c>
      <c r="P120" s="6">
        <f t="shared" si="33"/>
        <v>0</v>
      </c>
      <c r="Q120" s="6">
        <f t="shared" si="34"/>
        <v>0</v>
      </c>
      <c r="R120" s="6">
        <f t="shared" si="35"/>
        <v>0</v>
      </c>
      <c r="S120" s="6">
        <f t="shared" si="36"/>
        <v>0</v>
      </c>
      <c r="T120" s="6">
        <f t="shared" si="37"/>
        <v>0</v>
      </c>
      <c r="U120" s="6">
        <f t="shared" si="38"/>
        <v>0</v>
      </c>
      <c r="V120" s="6">
        <f t="shared" si="39"/>
        <v>0</v>
      </c>
      <c r="W120" s="6">
        <f t="shared" si="40"/>
        <v>0</v>
      </c>
      <c r="X120" s="6">
        <f t="shared" si="41"/>
        <v>0</v>
      </c>
      <c r="Y120" s="6">
        <f t="shared" si="42"/>
        <v>0</v>
      </c>
      <c r="AA120" s="6" t="str">
        <f>IF(最佳化斷筋點!C120="","",最佳化斷筋點!C120)</f>
        <v/>
      </c>
      <c r="AB120" s="6" t="str">
        <f>IF(最佳化斷筋點!D120="","",最佳化斷筋點!D120)</f>
        <v/>
      </c>
      <c r="AC120" s="6" t="str">
        <f>IF(最佳化斷筋點!E120="","",最佳化斷筋點!E120)</f>
        <v/>
      </c>
      <c r="AD120" s="6" t="str">
        <f>IF(最佳化斷筋點!F120="","",最佳化斷筋點!F120)</f>
        <v/>
      </c>
      <c r="AE120" s="6" t="str">
        <f>IF(最佳化斷筋點!G120="","",最佳化斷筋點!G120)</f>
        <v/>
      </c>
      <c r="AF120" s="6" t="str">
        <f>IF(最佳化斷筋點!H120="","",最佳化斷筋點!H120)</f>
        <v/>
      </c>
      <c r="AG120" s="6" t="str">
        <f>IF(最佳化斷筋點!I120="","",最佳化斷筋點!I120)</f>
        <v/>
      </c>
      <c r="AH120" s="6" t="str">
        <f>IF(最佳化斷筋點!J120="","",最佳化斷筋點!J120)</f>
        <v/>
      </c>
      <c r="AI120" s="6" t="str">
        <f>IF(最佳化斷筋點!K120="","",最佳化斷筋點!K120)</f>
        <v/>
      </c>
      <c r="AJ120" s="6" t="str">
        <f>IF(最佳化斷筋點!L120="","",最佳化斷筋點!L120)</f>
        <v/>
      </c>
      <c r="AK120" s="6" t="str">
        <f>IF(最佳化斷筋點!M120="","",最佳化斷筋點!M120)</f>
        <v/>
      </c>
      <c r="AL120" s="6" t="str">
        <f>IF(最佳化斷筋點!N120="","",最佳化斷筋點!N120)</f>
        <v/>
      </c>
      <c r="AM120" s="6" t="str">
        <f>IF(最佳化斷筋點!O120="","",最佳化斷筋點!O120)</f>
        <v/>
      </c>
      <c r="AN120" s="6" t="str">
        <f>IF(最佳化斷筋點!P120="","",最佳化斷筋點!P120)</f>
        <v/>
      </c>
      <c r="AO120" s="6" t="str">
        <f>IF(最佳化斷筋點!Q120="","",最佳化斷筋點!Q120)</f>
        <v/>
      </c>
      <c r="AP120" s="6" t="str">
        <f>IF(最佳化斷筋點!R120="","",最佳化斷筋點!R120)</f>
        <v/>
      </c>
      <c r="AQ120" s="6" t="str">
        <f>IF(最佳化斷筋點!S120="","",最佳化斷筋點!S120)</f>
        <v/>
      </c>
      <c r="AR120" s="6" t="str">
        <f>IF(最佳化斷筋點!T120="","",最佳化斷筋點!T120)</f>
        <v/>
      </c>
      <c r="AS120" s="6" t="str">
        <f>IF(最佳化斷筋點!U120="","",最佳化斷筋點!U120)</f>
        <v/>
      </c>
      <c r="AT120" s="6" t="str">
        <f>IF(最佳化斷筋點!V120="","",最佳化斷筋點!V120)</f>
        <v/>
      </c>
      <c r="AU120" s="6" t="str">
        <f>IF(最佳化斷筋點!W120="","",最佳化斷筋點!W120)</f>
        <v/>
      </c>
      <c r="AV120" s="6" t="str">
        <f>IF(最佳化斷筋點!X120="","",最佳化斷筋點!X120)</f>
        <v/>
      </c>
    </row>
    <row r="121" spans="4:71" x14ac:dyDescent="0.25">
      <c r="D121" s="6" t="s">
        <v>51</v>
      </c>
      <c r="E121" s="6">
        <f t="shared" si="22"/>
        <v>0</v>
      </c>
      <c r="F121" s="6">
        <f t="shared" si="23"/>
        <v>0</v>
      </c>
      <c r="G121" s="6">
        <f t="shared" si="24"/>
        <v>0</v>
      </c>
      <c r="H121" s="6">
        <f t="shared" si="25"/>
        <v>0</v>
      </c>
      <c r="I121" s="6">
        <f t="shared" si="26"/>
        <v>0</v>
      </c>
      <c r="J121" s="6">
        <f t="shared" si="27"/>
        <v>0</v>
      </c>
      <c r="K121" s="6">
        <f t="shared" si="28"/>
        <v>0</v>
      </c>
      <c r="L121" s="6">
        <f t="shared" si="29"/>
        <v>0</v>
      </c>
      <c r="M121" s="6">
        <f t="shared" si="30"/>
        <v>0</v>
      </c>
      <c r="N121" s="6">
        <f t="shared" si="31"/>
        <v>0</v>
      </c>
      <c r="O121" s="6">
        <f t="shared" si="32"/>
        <v>0</v>
      </c>
      <c r="P121" s="6">
        <f t="shared" si="33"/>
        <v>0</v>
      </c>
      <c r="Q121" s="6">
        <f t="shared" si="34"/>
        <v>0</v>
      </c>
      <c r="R121" s="6">
        <f t="shared" si="35"/>
        <v>0</v>
      </c>
      <c r="S121" s="6">
        <f t="shared" si="36"/>
        <v>0</v>
      </c>
      <c r="T121" s="6">
        <f t="shared" si="37"/>
        <v>0</v>
      </c>
      <c r="U121" s="6">
        <f t="shared" si="38"/>
        <v>0</v>
      </c>
      <c r="V121" s="6">
        <f t="shared" si="39"/>
        <v>0</v>
      </c>
      <c r="W121" s="6">
        <f t="shared" si="40"/>
        <v>0</v>
      </c>
      <c r="X121" s="6">
        <f t="shared" si="41"/>
        <v>0</v>
      </c>
      <c r="Y121" s="6">
        <f t="shared" si="42"/>
        <v>0</v>
      </c>
      <c r="AA121" s="6" t="str">
        <f>IF(最佳化斷筋點!C121="","",最佳化斷筋點!C121)</f>
        <v>下層</v>
      </c>
      <c r="AB121" s="6">
        <f>IF(最佳化斷筋點!D121="","",最佳化斷筋點!D121)</f>
        <v>3</v>
      </c>
      <c r="AC121" s="6">
        <f>IF(最佳化斷筋點!E121="","",最佳化斷筋點!E121)</f>
        <v>3</v>
      </c>
      <c r="AD121" s="6">
        <f>IF(最佳化斷筋點!F121="","",最佳化斷筋點!F121)</f>
        <v>3</v>
      </c>
      <c r="AE121" s="6">
        <f>IF(最佳化斷筋點!G121="","",最佳化斷筋點!G121)</f>
        <v>3</v>
      </c>
      <c r="AF121" s="6">
        <f>IF(最佳化斷筋點!H121="","",最佳化斷筋點!H121)</f>
        <v>4</v>
      </c>
      <c r="AG121" s="6">
        <f>IF(最佳化斷筋點!I121="","",最佳化斷筋點!I121)</f>
        <v>4</v>
      </c>
      <c r="AH121" s="6">
        <f>IF(最佳化斷筋點!J121="","",最佳化斷筋點!J121)</f>
        <v>5</v>
      </c>
      <c r="AI121" s="6">
        <f>IF(最佳化斷筋點!K121="","",最佳化斷筋點!K121)</f>
        <v>5</v>
      </c>
      <c r="AJ121" s="6">
        <f>IF(最佳化斷筋點!L121="","",最佳化斷筋點!L121)</f>
        <v>5</v>
      </c>
      <c r="AK121" s="6">
        <f>IF(最佳化斷筋點!M121="","",最佳化斷筋點!M121)</f>
        <v>5</v>
      </c>
      <c r="AL121" s="6">
        <f>IF(最佳化斷筋點!N121="","",最佳化斷筋點!N121)</f>
        <v>5</v>
      </c>
      <c r="AM121" s="6">
        <f>IF(最佳化斷筋點!O121="","",最佳化斷筋點!O121)</f>
        <v>5</v>
      </c>
      <c r="AN121" s="6">
        <f>IF(最佳化斷筋點!P121="","",最佳化斷筋點!P121)</f>
        <v>5</v>
      </c>
      <c r="AO121" s="6">
        <f>IF(最佳化斷筋點!Q121="","",最佳化斷筋點!Q121)</f>
        <v>5</v>
      </c>
      <c r="AP121" s="6">
        <f>IF(最佳化斷筋點!R121="","",最佳化斷筋點!R121)</f>
        <v>5</v>
      </c>
      <c r="AQ121" s="6">
        <f>IF(最佳化斷筋點!S121="","",最佳化斷筋點!S121)</f>
        <v>4</v>
      </c>
      <c r="AR121" s="6">
        <f>IF(最佳化斷筋點!T121="","",最佳化斷筋點!T121)</f>
        <v>4</v>
      </c>
      <c r="AS121" s="6">
        <f>IF(最佳化斷筋點!U121="","",最佳化斷筋點!U121)</f>
        <v>3</v>
      </c>
      <c r="AT121" s="6">
        <f>IF(最佳化斷筋點!V121="","",最佳化斷筋點!V121)</f>
        <v>4</v>
      </c>
      <c r="AU121" s="6">
        <f>IF(最佳化斷筋點!W121="","",最佳化斷筋點!W121)</f>
        <v>4</v>
      </c>
      <c r="AV121" s="6">
        <f>IF(最佳化斷筋點!X121="","",最佳化斷筋點!X121)</f>
        <v>4</v>
      </c>
      <c r="AX121" s="6" t="s">
        <v>51</v>
      </c>
      <c r="AY121" s="6">
        <v>3</v>
      </c>
      <c r="AZ121" s="6">
        <v>3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4</v>
      </c>
      <c r="BO121" s="6">
        <v>4</v>
      </c>
      <c r="BP121" s="6">
        <v>3</v>
      </c>
      <c r="BQ121" s="6">
        <v>4</v>
      </c>
      <c r="BR121" s="6">
        <v>4</v>
      </c>
      <c r="BS121" s="6">
        <v>4</v>
      </c>
    </row>
    <row r="122" spans="4:71" x14ac:dyDescent="0.25">
      <c r="E122" s="6">
        <f t="shared" si="22"/>
        <v>0</v>
      </c>
      <c r="F122" s="6">
        <f t="shared" si="23"/>
        <v>0</v>
      </c>
      <c r="G122" s="6">
        <f t="shared" si="24"/>
        <v>0</v>
      </c>
      <c r="H122" s="6">
        <f t="shared" si="25"/>
        <v>0</v>
      </c>
      <c r="I122" s="6">
        <f t="shared" si="26"/>
        <v>0</v>
      </c>
      <c r="J122" s="6">
        <f t="shared" si="27"/>
        <v>0</v>
      </c>
      <c r="K122" s="6">
        <f t="shared" si="28"/>
        <v>0</v>
      </c>
      <c r="L122" s="6">
        <f t="shared" si="29"/>
        <v>0</v>
      </c>
      <c r="M122" s="6">
        <f t="shared" si="30"/>
        <v>0</v>
      </c>
      <c r="N122" s="6">
        <f t="shared" si="31"/>
        <v>0</v>
      </c>
      <c r="O122" s="6">
        <f t="shared" si="32"/>
        <v>0</v>
      </c>
      <c r="P122" s="6">
        <f t="shared" si="33"/>
        <v>0</v>
      </c>
      <c r="Q122" s="6">
        <f t="shared" si="34"/>
        <v>0</v>
      </c>
      <c r="R122" s="6">
        <f t="shared" si="35"/>
        <v>0</v>
      </c>
      <c r="S122" s="6">
        <f t="shared" si="36"/>
        <v>0</v>
      </c>
      <c r="T122" s="6">
        <f t="shared" si="37"/>
        <v>0</v>
      </c>
      <c r="U122" s="6">
        <f t="shared" si="38"/>
        <v>0</v>
      </c>
      <c r="V122" s="6">
        <f t="shared" si="39"/>
        <v>0</v>
      </c>
      <c r="W122" s="6">
        <f t="shared" si="40"/>
        <v>0</v>
      </c>
      <c r="X122" s="6">
        <f t="shared" si="41"/>
        <v>0</v>
      </c>
      <c r="Y122" s="6">
        <f t="shared" si="42"/>
        <v>0</v>
      </c>
      <c r="AA122" s="6" t="str">
        <f>IF(最佳化斷筋點!C122="","",最佳化斷筋點!C122)</f>
        <v/>
      </c>
      <c r="AB122" s="6" t="str">
        <f>IF(最佳化斷筋點!D122="","",最佳化斷筋點!D122)</f>
        <v/>
      </c>
      <c r="AC122" s="6" t="str">
        <f>IF(最佳化斷筋點!E122="","",最佳化斷筋點!E122)</f>
        <v/>
      </c>
      <c r="AD122" s="6" t="str">
        <f>IF(最佳化斷筋點!F122="","",最佳化斷筋點!F122)</f>
        <v/>
      </c>
      <c r="AE122" s="6" t="str">
        <f>IF(最佳化斷筋點!G122="","",最佳化斷筋點!G122)</f>
        <v/>
      </c>
      <c r="AF122" s="6" t="str">
        <f>IF(最佳化斷筋點!H122="","",最佳化斷筋點!H122)</f>
        <v/>
      </c>
      <c r="AG122" s="6" t="str">
        <f>IF(最佳化斷筋點!I122="","",最佳化斷筋點!I122)</f>
        <v/>
      </c>
      <c r="AH122" s="6" t="str">
        <f>IF(最佳化斷筋點!J122="","",最佳化斷筋點!J122)</f>
        <v/>
      </c>
      <c r="AI122" s="6" t="str">
        <f>IF(最佳化斷筋點!K122="","",最佳化斷筋點!K122)</f>
        <v/>
      </c>
      <c r="AJ122" s="6" t="str">
        <f>IF(最佳化斷筋點!L122="","",最佳化斷筋點!L122)</f>
        <v/>
      </c>
      <c r="AK122" s="6" t="str">
        <f>IF(最佳化斷筋點!M122="","",最佳化斷筋點!M122)</f>
        <v/>
      </c>
      <c r="AL122" s="6" t="str">
        <f>IF(最佳化斷筋點!N122="","",最佳化斷筋點!N122)</f>
        <v/>
      </c>
      <c r="AM122" s="6" t="str">
        <f>IF(最佳化斷筋點!O122="","",最佳化斷筋點!O122)</f>
        <v/>
      </c>
      <c r="AN122" s="6" t="str">
        <f>IF(最佳化斷筋點!P122="","",最佳化斷筋點!P122)</f>
        <v/>
      </c>
      <c r="AO122" s="6" t="str">
        <f>IF(最佳化斷筋點!Q122="","",最佳化斷筋點!Q122)</f>
        <v/>
      </c>
      <c r="AP122" s="6" t="str">
        <f>IF(最佳化斷筋點!R122="","",最佳化斷筋點!R122)</f>
        <v/>
      </c>
      <c r="AQ122" s="6" t="str">
        <f>IF(最佳化斷筋點!S122="","",最佳化斷筋點!S122)</f>
        <v/>
      </c>
      <c r="AR122" s="6" t="str">
        <f>IF(最佳化斷筋點!T122="","",最佳化斷筋點!T122)</f>
        <v/>
      </c>
      <c r="AS122" s="6" t="str">
        <f>IF(最佳化斷筋點!U122="","",最佳化斷筋點!U122)</f>
        <v/>
      </c>
      <c r="AT122" s="6" t="str">
        <f>IF(最佳化斷筋點!V122="","",最佳化斷筋點!V122)</f>
        <v/>
      </c>
      <c r="AU122" s="6" t="str">
        <f>IF(最佳化斷筋點!W122="","",最佳化斷筋點!W122)</f>
        <v/>
      </c>
      <c r="AV122" s="6" t="str">
        <f>IF(最佳化斷筋點!X122="","",最佳化斷筋點!X122)</f>
        <v/>
      </c>
    </row>
    <row r="123" spans="4:71" x14ac:dyDescent="0.25">
      <c r="D123" s="6" t="s">
        <v>50</v>
      </c>
      <c r="E123" s="6">
        <f t="shared" si="22"/>
        <v>0</v>
      </c>
      <c r="F123" s="6">
        <f t="shared" si="23"/>
        <v>0</v>
      </c>
      <c r="G123" s="6">
        <f t="shared" si="24"/>
        <v>0</v>
      </c>
      <c r="H123" s="6">
        <f t="shared" si="25"/>
        <v>0</v>
      </c>
      <c r="I123" s="6">
        <f t="shared" si="26"/>
        <v>0</v>
      </c>
      <c r="J123" s="6">
        <f t="shared" si="27"/>
        <v>0</v>
      </c>
      <c r="K123" s="6">
        <f t="shared" si="28"/>
        <v>0</v>
      </c>
      <c r="L123" s="6">
        <f t="shared" si="29"/>
        <v>0</v>
      </c>
      <c r="M123" s="6">
        <f t="shared" si="30"/>
        <v>0</v>
      </c>
      <c r="N123" s="6">
        <f t="shared" si="31"/>
        <v>0</v>
      </c>
      <c r="O123" s="6">
        <f t="shared" si="32"/>
        <v>0</v>
      </c>
      <c r="P123" s="6">
        <f t="shared" si="33"/>
        <v>0</v>
      </c>
      <c r="Q123" s="6">
        <f t="shared" si="34"/>
        <v>0</v>
      </c>
      <c r="R123" s="6">
        <f t="shared" si="35"/>
        <v>0</v>
      </c>
      <c r="S123" s="6">
        <f t="shared" si="36"/>
        <v>0</v>
      </c>
      <c r="T123" s="6">
        <f t="shared" si="37"/>
        <v>0</v>
      </c>
      <c r="U123" s="6">
        <f t="shared" si="38"/>
        <v>0</v>
      </c>
      <c r="V123" s="6">
        <f t="shared" si="39"/>
        <v>0</v>
      </c>
      <c r="W123" s="6">
        <f t="shared" si="40"/>
        <v>0</v>
      </c>
      <c r="X123" s="6">
        <f t="shared" si="41"/>
        <v>0</v>
      </c>
      <c r="Y123" s="6">
        <f t="shared" si="42"/>
        <v>0</v>
      </c>
      <c r="AA123" s="6" t="str">
        <f>IF(最佳化斷筋點!C123="","",最佳化斷筋點!C123)</f>
        <v>上層</v>
      </c>
      <c r="AB123" s="6">
        <f>IF(最佳化斷筋點!D123="","",最佳化斷筋點!D123)</f>
        <v>5</v>
      </c>
      <c r="AC123" s="6">
        <f>IF(最佳化斷筋點!E123="","",最佳化斷筋點!E123)</f>
        <v>5</v>
      </c>
      <c r="AD123" s="6">
        <f>IF(最佳化斷筋點!F123="","",最佳化斷筋點!F123)</f>
        <v>4</v>
      </c>
      <c r="AE123" s="6">
        <f>IF(最佳化斷筋點!G123="","",最佳化斷筋點!G123)</f>
        <v>4</v>
      </c>
      <c r="AF123" s="6">
        <f>IF(最佳化斷筋點!H123="","",最佳化斷筋點!H123)</f>
        <v>4</v>
      </c>
      <c r="AG123" s="6">
        <f>IF(最佳化斷筋點!I123="","",最佳化斷筋點!I123)</f>
        <v>3</v>
      </c>
      <c r="AH123" s="6">
        <f>IF(最佳化斷筋點!J123="","",最佳化斷筋點!J123)</f>
        <v>3</v>
      </c>
      <c r="AI123" s="6">
        <f>IF(最佳化斷筋點!K123="","",最佳化斷筋點!K123)</f>
        <v>2</v>
      </c>
      <c r="AJ123" s="6">
        <f>IF(最佳化斷筋點!L123="","",最佳化斷筋點!L123)</f>
        <v>2</v>
      </c>
      <c r="AK123" s="6">
        <f>IF(最佳化斷筋點!M123="","",最佳化斷筋點!M123)</f>
        <v>2</v>
      </c>
      <c r="AL123" s="6">
        <f>IF(最佳化斷筋點!N123="","",最佳化斷筋點!N123)</f>
        <v>2</v>
      </c>
      <c r="AM123" s="6">
        <f>IF(最佳化斷筋點!O123="","",最佳化斷筋點!O123)</f>
        <v>2</v>
      </c>
      <c r="AN123" s="6">
        <f>IF(最佳化斷筋點!P123="","",最佳化斷筋點!P123)</f>
        <v>2</v>
      </c>
      <c r="AO123" s="6">
        <f>IF(最佳化斷筋點!Q123="","",最佳化斷筋點!Q123)</f>
        <v>2</v>
      </c>
      <c r="AP123" s="6">
        <f>IF(最佳化斷筋點!R123="","",最佳化斷筋點!R123)</f>
        <v>2</v>
      </c>
      <c r="AQ123" s="6">
        <f>IF(最佳化斷筋點!S123="","",最佳化斷筋點!S123)</f>
        <v>2</v>
      </c>
      <c r="AR123" s="6">
        <f>IF(最佳化斷筋點!T123="","",最佳化斷筋點!T123)</f>
        <v>2</v>
      </c>
      <c r="AS123" s="6">
        <f>IF(最佳化斷筋點!U123="","",最佳化斷筋點!U123)</f>
        <v>2</v>
      </c>
      <c r="AT123" s="6">
        <f>IF(最佳化斷筋點!V123="","",最佳化斷筋點!V123)</f>
        <v>2</v>
      </c>
      <c r="AU123" s="6">
        <f>IF(最佳化斷筋點!W123="","",最佳化斷筋點!W123)</f>
        <v>2</v>
      </c>
      <c r="AV123" s="6">
        <f>IF(最佳化斷筋點!X123="","",最佳化斷筋點!X123)</f>
        <v>2</v>
      </c>
      <c r="AX123" s="6" t="s">
        <v>50</v>
      </c>
      <c r="AY123" s="6">
        <v>5</v>
      </c>
      <c r="AZ123" s="6">
        <v>5</v>
      </c>
      <c r="BA123" s="6">
        <v>4</v>
      </c>
      <c r="BB123" s="6">
        <v>4</v>
      </c>
      <c r="BC123" s="6">
        <v>4</v>
      </c>
      <c r="BD123" s="6">
        <v>3</v>
      </c>
      <c r="BE123" s="6">
        <v>3</v>
      </c>
      <c r="BF123" s="6">
        <v>2</v>
      </c>
      <c r="BG123" s="6">
        <v>2</v>
      </c>
      <c r="BH123" s="6">
        <v>2</v>
      </c>
      <c r="BI123" s="6">
        <v>2</v>
      </c>
      <c r="BJ123" s="6">
        <v>2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</row>
    <row r="124" spans="4:71" x14ac:dyDescent="0.25">
      <c r="E124" s="6">
        <f t="shared" si="22"/>
        <v>0</v>
      </c>
      <c r="F124" s="6">
        <f t="shared" si="23"/>
        <v>0</v>
      </c>
      <c r="G124" s="6">
        <f t="shared" si="24"/>
        <v>0</v>
      </c>
      <c r="H124" s="6">
        <f t="shared" si="25"/>
        <v>0</v>
      </c>
      <c r="I124" s="6">
        <f t="shared" si="26"/>
        <v>0</v>
      </c>
      <c r="J124" s="6">
        <f t="shared" si="27"/>
        <v>0</v>
      </c>
      <c r="K124" s="6">
        <f t="shared" si="28"/>
        <v>0</v>
      </c>
      <c r="L124" s="6">
        <f t="shared" si="29"/>
        <v>0</v>
      </c>
      <c r="M124" s="6">
        <f t="shared" si="30"/>
        <v>0</v>
      </c>
      <c r="N124" s="6">
        <f t="shared" si="31"/>
        <v>0</v>
      </c>
      <c r="O124" s="6">
        <f t="shared" si="32"/>
        <v>0</v>
      </c>
      <c r="P124" s="6">
        <f t="shared" si="33"/>
        <v>0</v>
      </c>
      <c r="Q124" s="6">
        <f t="shared" si="34"/>
        <v>0</v>
      </c>
      <c r="R124" s="6">
        <f t="shared" si="35"/>
        <v>0</v>
      </c>
      <c r="S124" s="6">
        <f t="shared" si="36"/>
        <v>0</v>
      </c>
      <c r="T124" s="6">
        <f t="shared" si="37"/>
        <v>0</v>
      </c>
      <c r="U124" s="6">
        <f t="shared" si="38"/>
        <v>0</v>
      </c>
      <c r="V124" s="6">
        <f t="shared" si="39"/>
        <v>0</v>
      </c>
      <c r="W124" s="6">
        <f t="shared" si="40"/>
        <v>0</v>
      </c>
      <c r="X124" s="6">
        <f t="shared" si="41"/>
        <v>0</v>
      </c>
      <c r="Y124" s="6">
        <f t="shared" si="42"/>
        <v>0</v>
      </c>
      <c r="AA124" s="6" t="str">
        <f>IF(最佳化斷筋點!C124="","",最佳化斷筋點!C124)</f>
        <v/>
      </c>
      <c r="AB124" s="6" t="str">
        <f>IF(最佳化斷筋點!D124="","",最佳化斷筋點!D124)</f>
        <v/>
      </c>
      <c r="AC124" s="6" t="str">
        <f>IF(最佳化斷筋點!E124="","",最佳化斷筋點!E124)</f>
        <v/>
      </c>
      <c r="AD124" s="6" t="str">
        <f>IF(最佳化斷筋點!F124="","",最佳化斷筋點!F124)</f>
        <v/>
      </c>
      <c r="AE124" s="6" t="str">
        <f>IF(最佳化斷筋點!G124="","",最佳化斷筋點!G124)</f>
        <v/>
      </c>
      <c r="AF124" s="6" t="str">
        <f>IF(最佳化斷筋點!H124="","",最佳化斷筋點!H124)</f>
        <v/>
      </c>
      <c r="AG124" s="6" t="str">
        <f>IF(最佳化斷筋點!I124="","",最佳化斷筋點!I124)</f>
        <v/>
      </c>
      <c r="AH124" s="6" t="str">
        <f>IF(最佳化斷筋點!J124="","",最佳化斷筋點!J124)</f>
        <v/>
      </c>
      <c r="AI124" s="6" t="str">
        <f>IF(最佳化斷筋點!K124="","",最佳化斷筋點!K124)</f>
        <v/>
      </c>
      <c r="AJ124" s="6" t="str">
        <f>IF(最佳化斷筋點!L124="","",最佳化斷筋點!L124)</f>
        <v/>
      </c>
      <c r="AK124" s="6" t="str">
        <f>IF(最佳化斷筋點!M124="","",最佳化斷筋點!M124)</f>
        <v/>
      </c>
      <c r="AL124" s="6" t="str">
        <f>IF(最佳化斷筋點!N124="","",最佳化斷筋點!N124)</f>
        <v/>
      </c>
      <c r="AM124" s="6" t="str">
        <f>IF(最佳化斷筋點!O124="","",最佳化斷筋點!O124)</f>
        <v/>
      </c>
      <c r="AN124" s="6" t="str">
        <f>IF(最佳化斷筋點!P124="","",最佳化斷筋點!P124)</f>
        <v/>
      </c>
      <c r="AO124" s="6" t="str">
        <f>IF(最佳化斷筋點!Q124="","",最佳化斷筋點!Q124)</f>
        <v/>
      </c>
      <c r="AP124" s="6" t="str">
        <f>IF(最佳化斷筋點!R124="","",最佳化斷筋點!R124)</f>
        <v/>
      </c>
      <c r="AQ124" s="6" t="str">
        <f>IF(最佳化斷筋點!S124="","",最佳化斷筋點!S124)</f>
        <v/>
      </c>
      <c r="AR124" s="6" t="str">
        <f>IF(最佳化斷筋點!T124="","",最佳化斷筋點!T124)</f>
        <v/>
      </c>
      <c r="AS124" s="6" t="str">
        <f>IF(最佳化斷筋點!U124="","",最佳化斷筋點!U124)</f>
        <v/>
      </c>
      <c r="AT124" s="6" t="str">
        <f>IF(最佳化斷筋點!V124="","",最佳化斷筋點!V124)</f>
        <v/>
      </c>
      <c r="AU124" s="6" t="str">
        <f>IF(最佳化斷筋點!W124="","",最佳化斷筋點!W124)</f>
        <v/>
      </c>
      <c r="AV124" s="6" t="str">
        <f>IF(最佳化斷筋點!X124="","",最佳化斷筋點!X124)</f>
        <v/>
      </c>
    </row>
    <row r="125" spans="4:71" x14ac:dyDescent="0.25">
      <c r="D125" s="6" t="s">
        <v>51</v>
      </c>
      <c r="E125" s="6">
        <f t="shared" si="22"/>
        <v>0</v>
      </c>
      <c r="F125" s="6">
        <f t="shared" si="23"/>
        <v>0</v>
      </c>
      <c r="G125" s="6">
        <f t="shared" si="24"/>
        <v>0</v>
      </c>
      <c r="H125" s="6">
        <f t="shared" si="25"/>
        <v>0</v>
      </c>
      <c r="I125" s="6">
        <f t="shared" si="26"/>
        <v>0</v>
      </c>
      <c r="J125" s="6">
        <f t="shared" si="27"/>
        <v>0</v>
      </c>
      <c r="K125" s="6">
        <f t="shared" si="28"/>
        <v>0</v>
      </c>
      <c r="L125" s="6">
        <f t="shared" si="29"/>
        <v>0</v>
      </c>
      <c r="M125" s="6">
        <f t="shared" si="30"/>
        <v>0</v>
      </c>
      <c r="N125" s="6">
        <f t="shared" si="31"/>
        <v>0</v>
      </c>
      <c r="O125" s="6">
        <f t="shared" si="32"/>
        <v>0</v>
      </c>
      <c r="P125" s="6">
        <f t="shared" si="33"/>
        <v>0</v>
      </c>
      <c r="Q125" s="6">
        <f t="shared" si="34"/>
        <v>0</v>
      </c>
      <c r="R125" s="6">
        <f t="shared" si="35"/>
        <v>0</v>
      </c>
      <c r="S125" s="6">
        <f t="shared" si="36"/>
        <v>0</v>
      </c>
      <c r="T125" s="6">
        <f t="shared" si="37"/>
        <v>0</v>
      </c>
      <c r="U125" s="6">
        <f t="shared" si="38"/>
        <v>0</v>
      </c>
      <c r="V125" s="6">
        <f t="shared" si="39"/>
        <v>0</v>
      </c>
      <c r="W125" s="6">
        <f t="shared" si="40"/>
        <v>0</v>
      </c>
      <c r="X125" s="6">
        <f t="shared" si="41"/>
        <v>0</v>
      </c>
      <c r="Y125" s="6">
        <f t="shared" si="42"/>
        <v>0</v>
      </c>
      <c r="AA125" s="6" t="str">
        <f>IF(最佳化斷筋點!C125="","",最佳化斷筋點!C125)</f>
        <v>下層</v>
      </c>
      <c r="AB125" s="6">
        <f>IF(最佳化斷筋點!D125="","",最佳化斷筋點!D125)</f>
        <v>3</v>
      </c>
      <c r="AC125" s="6">
        <f>IF(最佳化斷筋點!E125="","",最佳化斷筋點!E125)</f>
        <v>3</v>
      </c>
      <c r="AD125" s="6">
        <f>IF(最佳化斷筋點!F125="","",最佳化斷筋點!F125)</f>
        <v>3</v>
      </c>
      <c r="AE125" s="6">
        <f>IF(最佳化斷筋點!G125="","",最佳化斷筋點!G125)</f>
        <v>3</v>
      </c>
      <c r="AF125" s="6">
        <f>IF(最佳化斷筋點!H125="","",最佳化斷筋點!H125)</f>
        <v>4</v>
      </c>
      <c r="AG125" s="6">
        <f>IF(最佳化斷筋點!I125="","",最佳化斷筋點!I125)</f>
        <v>4</v>
      </c>
      <c r="AH125" s="6">
        <f>IF(最佳化斷筋點!J125="","",最佳化斷筋點!J125)</f>
        <v>5</v>
      </c>
      <c r="AI125" s="6">
        <f>IF(最佳化斷筋點!K125="","",最佳化斷筋點!K125)</f>
        <v>5</v>
      </c>
      <c r="AJ125" s="6">
        <f>IF(最佳化斷筋點!L125="","",最佳化斷筋點!L125)</f>
        <v>5</v>
      </c>
      <c r="AK125" s="6">
        <f>IF(最佳化斷筋點!M125="","",最佳化斷筋點!M125)</f>
        <v>5</v>
      </c>
      <c r="AL125" s="6">
        <f>IF(最佳化斷筋點!N125="","",最佳化斷筋點!N125)</f>
        <v>5</v>
      </c>
      <c r="AM125" s="6">
        <f>IF(最佳化斷筋點!O125="","",最佳化斷筋點!O125)</f>
        <v>5</v>
      </c>
      <c r="AN125" s="6">
        <f>IF(最佳化斷筋點!P125="","",最佳化斷筋點!P125)</f>
        <v>5</v>
      </c>
      <c r="AO125" s="6">
        <f>IF(最佳化斷筋點!Q125="","",最佳化斷筋點!Q125)</f>
        <v>5</v>
      </c>
      <c r="AP125" s="6">
        <f>IF(最佳化斷筋點!R125="","",最佳化斷筋點!R125)</f>
        <v>5</v>
      </c>
      <c r="AQ125" s="6">
        <f>IF(最佳化斷筋點!S125="","",最佳化斷筋點!S125)</f>
        <v>4</v>
      </c>
      <c r="AR125" s="6">
        <f>IF(最佳化斷筋點!T125="","",最佳化斷筋點!T125)</f>
        <v>4</v>
      </c>
      <c r="AS125" s="6">
        <f>IF(最佳化斷筋點!U125="","",最佳化斷筋點!U125)</f>
        <v>3</v>
      </c>
      <c r="AT125" s="6">
        <f>IF(最佳化斷筋點!V125="","",最佳化斷筋點!V125)</f>
        <v>4</v>
      </c>
      <c r="AU125" s="6">
        <f>IF(最佳化斷筋點!W125="","",最佳化斷筋點!W125)</f>
        <v>4</v>
      </c>
      <c r="AV125" s="6">
        <f>IF(最佳化斷筋點!X125="","",最佳化斷筋點!X125)</f>
        <v>4</v>
      </c>
      <c r="AX125" s="6" t="s">
        <v>51</v>
      </c>
      <c r="AY125" s="6">
        <v>3</v>
      </c>
      <c r="AZ125" s="6">
        <v>3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4</v>
      </c>
      <c r="BO125" s="6">
        <v>4</v>
      </c>
      <c r="BP125" s="6">
        <v>3</v>
      </c>
      <c r="BQ125" s="6">
        <v>4</v>
      </c>
      <c r="BR125" s="6">
        <v>4</v>
      </c>
      <c r="BS125" s="6">
        <v>4</v>
      </c>
    </row>
    <row r="126" spans="4:71" x14ac:dyDescent="0.25">
      <c r="E126" s="6">
        <f t="shared" si="22"/>
        <v>0</v>
      </c>
      <c r="F126" s="6">
        <f t="shared" si="23"/>
        <v>0</v>
      </c>
      <c r="G126" s="6">
        <f t="shared" si="24"/>
        <v>0</v>
      </c>
      <c r="H126" s="6">
        <f t="shared" si="25"/>
        <v>0</v>
      </c>
      <c r="I126" s="6">
        <f t="shared" si="26"/>
        <v>0</v>
      </c>
      <c r="J126" s="6">
        <f t="shared" si="27"/>
        <v>0</v>
      </c>
      <c r="K126" s="6">
        <f t="shared" si="28"/>
        <v>0</v>
      </c>
      <c r="L126" s="6">
        <f t="shared" si="29"/>
        <v>0</v>
      </c>
      <c r="M126" s="6">
        <f t="shared" si="30"/>
        <v>0</v>
      </c>
      <c r="N126" s="6">
        <f t="shared" si="31"/>
        <v>0</v>
      </c>
      <c r="O126" s="6">
        <f t="shared" si="32"/>
        <v>0</v>
      </c>
      <c r="P126" s="6">
        <f t="shared" si="33"/>
        <v>0</v>
      </c>
      <c r="Q126" s="6">
        <f t="shared" si="34"/>
        <v>0</v>
      </c>
      <c r="R126" s="6">
        <f t="shared" si="35"/>
        <v>0</v>
      </c>
      <c r="S126" s="6">
        <f t="shared" si="36"/>
        <v>0</v>
      </c>
      <c r="T126" s="6">
        <f t="shared" si="37"/>
        <v>0</v>
      </c>
      <c r="U126" s="6">
        <f t="shared" si="38"/>
        <v>0</v>
      </c>
      <c r="V126" s="6">
        <f t="shared" si="39"/>
        <v>0</v>
      </c>
      <c r="W126" s="6">
        <f t="shared" si="40"/>
        <v>0</v>
      </c>
      <c r="X126" s="6">
        <f t="shared" si="41"/>
        <v>0</v>
      </c>
      <c r="Y126" s="6">
        <f t="shared" si="42"/>
        <v>0</v>
      </c>
      <c r="AA126" s="6" t="str">
        <f>IF(最佳化斷筋點!C126="","",最佳化斷筋點!C126)</f>
        <v/>
      </c>
      <c r="AB126" s="6" t="str">
        <f>IF(最佳化斷筋點!D126="","",最佳化斷筋點!D126)</f>
        <v/>
      </c>
      <c r="AC126" s="6" t="str">
        <f>IF(最佳化斷筋點!E126="","",最佳化斷筋點!E126)</f>
        <v/>
      </c>
      <c r="AD126" s="6" t="str">
        <f>IF(最佳化斷筋點!F126="","",最佳化斷筋點!F126)</f>
        <v/>
      </c>
      <c r="AE126" s="6" t="str">
        <f>IF(最佳化斷筋點!G126="","",最佳化斷筋點!G126)</f>
        <v/>
      </c>
      <c r="AF126" s="6" t="str">
        <f>IF(最佳化斷筋點!H126="","",最佳化斷筋點!H126)</f>
        <v/>
      </c>
      <c r="AG126" s="6" t="str">
        <f>IF(最佳化斷筋點!I126="","",最佳化斷筋點!I126)</f>
        <v/>
      </c>
      <c r="AH126" s="6" t="str">
        <f>IF(最佳化斷筋點!J126="","",最佳化斷筋點!J126)</f>
        <v/>
      </c>
      <c r="AI126" s="6" t="str">
        <f>IF(最佳化斷筋點!K126="","",最佳化斷筋點!K126)</f>
        <v/>
      </c>
      <c r="AJ126" s="6" t="str">
        <f>IF(最佳化斷筋點!L126="","",最佳化斷筋點!L126)</f>
        <v/>
      </c>
      <c r="AK126" s="6" t="str">
        <f>IF(最佳化斷筋點!M126="","",最佳化斷筋點!M126)</f>
        <v/>
      </c>
      <c r="AL126" s="6" t="str">
        <f>IF(最佳化斷筋點!N126="","",最佳化斷筋點!N126)</f>
        <v/>
      </c>
      <c r="AM126" s="6" t="str">
        <f>IF(最佳化斷筋點!O126="","",最佳化斷筋點!O126)</f>
        <v/>
      </c>
      <c r="AN126" s="6" t="str">
        <f>IF(最佳化斷筋點!P126="","",最佳化斷筋點!P126)</f>
        <v/>
      </c>
      <c r="AO126" s="6" t="str">
        <f>IF(最佳化斷筋點!Q126="","",最佳化斷筋點!Q126)</f>
        <v/>
      </c>
      <c r="AP126" s="6" t="str">
        <f>IF(最佳化斷筋點!R126="","",最佳化斷筋點!R126)</f>
        <v/>
      </c>
      <c r="AQ126" s="6" t="str">
        <f>IF(最佳化斷筋點!S126="","",最佳化斷筋點!S126)</f>
        <v/>
      </c>
      <c r="AR126" s="6" t="str">
        <f>IF(最佳化斷筋點!T126="","",最佳化斷筋點!T126)</f>
        <v/>
      </c>
      <c r="AS126" s="6" t="str">
        <f>IF(最佳化斷筋點!U126="","",最佳化斷筋點!U126)</f>
        <v/>
      </c>
      <c r="AT126" s="6" t="str">
        <f>IF(最佳化斷筋點!V126="","",最佳化斷筋點!V126)</f>
        <v/>
      </c>
      <c r="AU126" s="6" t="str">
        <f>IF(最佳化斷筋點!W126="","",最佳化斷筋點!W126)</f>
        <v/>
      </c>
      <c r="AV126" s="6" t="str">
        <f>IF(最佳化斷筋點!X126="","",最佳化斷筋點!X126)</f>
        <v/>
      </c>
    </row>
    <row r="127" spans="4:71" x14ac:dyDescent="0.25">
      <c r="D127" s="6" t="s">
        <v>50</v>
      </c>
      <c r="E127" s="6">
        <f t="shared" si="22"/>
        <v>0</v>
      </c>
      <c r="F127" s="6">
        <f t="shared" si="23"/>
        <v>0</v>
      </c>
      <c r="G127" s="6">
        <f t="shared" si="24"/>
        <v>0</v>
      </c>
      <c r="H127" s="6">
        <f t="shared" si="25"/>
        <v>0</v>
      </c>
      <c r="I127" s="6">
        <f t="shared" si="26"/>
        <v>0</v>
      </c>
      <c r="J127" s="6">
        <f t="shared" si="27"/>
        <v>0</v>
      </c>
      <c r="K127" s="6">
        <f t="shared" si="28"/>
        <v>0</v>
      </c>
      <c r="L127" s="6">
        <f t="shared" si="29"/>
        <v>0</v>
      </c>
      <c r="M127" s="6">
        <f t="shared" si="30"/>
        <v>0</v>
      </c>
      <c r="N127" s="6">
        <f t="shared" si="31"/>
        <v>0</v>
      </c>
      <c r="O127" s="6">
        <f t="shared" si="32"/>
        <v>0</v>
      </c>
      <c r="P127" s="6">
        <f t="shared" si="33"/>
        <v>0</v>
      </c>
      <c r="Q127" s="6">
        <f t="shared" si="34"/>
        <v>0</v>
      </c>
      <c r="R127" s="6">
        <f t="shared" si="35"/>
        <v>0</v>
      </c>
      <c r="S127" s="6">
        <f t="shared" si="36"/>
        <v>0</v>
      </c>
      <c r="T127" s="6">
        <f t="shared" si="37"/>
        <v>0</v>
      </c>
      <c r="U127" s="6">
        <f t="shared" si="38"/>
        <v>0</v>
      </c>
      <c r="V127" s="6">
        <f t="shared" si="39"/>
        <v>0</v>
      </c>
      <c r="W127" s="6">
        <f t="shared" si="40"/>
        <v>0</v>
      </c>
      <c r="X127" s="6">
        <f t="shared" si="41"/>
        <v>0</v>
      </c>
      <c r="Y127" s="6">
        <f t="shared" si="42"/>
        <v>0</v>
      </c>
      <c r="AA127" s="6" t="str">
        <f>IF(最佳化斷筋點!C127="","",最佳化斷筋點!C127)</f>
        <v>上層</v>
      </c>
      <c r="AB127" s="6">
        <f>IF(最佳化斷筋點!D127="","",最佳化斷筋點!D127)</f>
        <v>2</v>
      </c>
      <c r="AC127" s="6">
        <f>IF(最佳化斷筋點!E127="","",最佳化斷筋點!E127)</f>
        <v>2</v>
      </c>
      <c r="AD127" s="6">
        <f>IF(最佳化斷筋點!F127="","",最佳化斷筋點!F127)</f>
        <v>2</v>
      </c>
      <c r="AE127" s="6">
        <f>IF(最佳化斷筋點!G127="","",最佳化斷筋點!G127)</f>
        <v>2</v>
      </c>
      <c r="AF127" s="6">
        <f>IF(最佳化斷筋點!H127="","",最佳化斷筋點!H127)</f>
        <v>2</v>
      </c>
      <c r="AG127" s="6">
        <f>IF(最佳化斷筋點!I127="","",最佳化斷筋點!I127)</f>
        <v>2</v>
      </c>
      <c r="AH127" s="6">
        <f>IF(最佳化斷筋點!J127="","",最佳化斷筋點!J127)</f>
        <v>2</v>
      </c>
      <c r="AI127" s="6">
        <f>IF(最佳化斷筋點!K127="","",最佳化斷筋點!K127)</f>
        <v>2</v>
      </c>
      <c r="AJ127" s="6">
        <f>IF(最佳化斷筋點!L127="","",最佳化斷筋點!L127)</f>
        <v>2</v>
      </c>
      <c r="AK127" s="6">
        <f>IF(最佳化斷筋點!M127="","",最佳化斷筋點!M127)</f>
        <v>2</v>
      </c>
      <c r="AL127" s="6">
        <f>IF(最佳化斷筋點!N127="","",最佳化斷筋點!N127)</f>
        <v>2</v>
      </c>
      <c r="AM127" s="6">
        <f>IF(最佳化斷筋點!O127="","",最佳化斷筋點!O127)</f>
        <v>2</v>
      </c>
      <c r="AN127" s="6">
        <f>IF(最佳化斷筋點!P127="","",最佳化斷筋點!P127)</f>
        <v>2</v>
      </c>
      <c r="AO127" s="6">
        <f>IF(最佳化斷筋點!Q127="","",最佳化斷筋點!Q127)</f>
        <v>2</v>
      </c>
      <c r="AP127" s="6">
        <f>IF(最佳化斷筋點!R127="","",最佳化斷筋點!R127)</f>
        <v>2</v>
      </c>
      <c r="AQ127" s="6">
        <f>IF(最佳化斷筋點!S127="","",最佳化斷筋點!S127)</f>
        <v>2</v>
      </c>
      <c r="AR127" s="6">
        <f>IF(最佳化斷筋點!T127="","",最佳化斷筋點!T127)</f>
        <v>2</v>
      </c>
      <c r="AS127" s="6">
        <f>IF(最佳化斷筋點!U127="","",最佳化斷筋點!U127)</f>
        <v>2</v>
      </c>
      <c r="AT127" s="6">
        <f>IF(最佳化斷筋點!V127="","",最佳化斷筋點!V127)</f>
        <v>2</v>
      </c>
      <c r="AU127" s="6">
        <f>IF(最佳化斷筋點!W127="","",最佳化斷筋點!W127)</f>
        <v>2</v>
      </c>
      <c r="AV127" s="6">
        <f>IF(最佳化斷筋點!X127="","",最佳化斷筋點!X127)</f>
        <v>2</v>
      </c>
      <c r="AX127" s="6" t="s">
        <v>50</v>
      </c>
      <c r="AY127" s="6">
        <v>2</v>
      </c>
      <c r="AZ127" s="6">
        <v>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</row>
    <row r="128" spans="4:71" x14ac:dyDescent="0.25">
      <c r="E128" s="6">
        <f t="shared" si="22"/>
        <v>0</v>
      </c>
      <c r="F128" s="6">
        <f t="shared" si="23"/>
        <v>0</v>
      </c>
      <c r="G128" s="6">
        <f t="shared" si="24"/>
        <v>0</v>
      </c>
      <c r="H128" s="6">
        <f t="shared" si="25"/>
        <v>0</v>
      </c>
      <c r="I128" s="6">
        <f t="shared" si="26"/>
        <v>0</v>
      </c>
      <c r="J128" s="6">
        <f t="shared" si="27"/>
        <v>0</v>
      </c>
      <c r="K128" s="6">
        <f t="shared" si="28"/>
        <v>0</v>
      </c>
      <c r="L128" s="6">
        <f t="shared" si="29"/>
        <v>0</v>
      </c>
      <c r="M128" s="6">
        <f t="shared" si="30"/>
        <v>0</v>
      </c>
      <c r="N128" s="6">
        <f t="shared" si="31"/>
        <v>0</v>
      </c>
      <c r="O128" s="6">
        <f t="shared" si="32"/>
        <v>0</v>
      </c>
      <c r="P128" s="6">
        <f t="shared" si="33"/>
        <v>0</v>
      </c>
      <c r="Q128" s="6">
        <f t="shared" si="34"/>
        <v>0</v>
      </c>
      <c r="R128" s="6">
        <f t="shared" si="35"/>
        <v>0</v>
      </c>
      <c r="S128" s="6">
        <f t="shared" si="36"/>
        <v>0</v>
      </c>
      <c r="T128" s="6">
        <f t="shared" si="37"/>
        <v>0</v>
      </c>
      <c r="U128" s="6">
        <f t="shared" si="38"/>
        <v>0</v>
      </c>
      <c r="V128" s="6">
        <f t="shared" si="39"/>
        <v>0</v>
      </c>
      <c r="W128" s="6">
        <f t="shared" si="40"/>
        <v>0</v>
      </c>
      <c r="X128" s="6">
        <f t="shared" si="41"/>
        <v>0</v>
      </c>
      <c r="Y128" s="6">
        <f t="shared" si="42"/>
        <v>0</v>
      </c>
      <c r="AA128" s="6" t="str">
        <f>IF(最佳化斷筋點!C128="","",最佳化斷筋點!C128)</f>
        <v/>
      </c>
      <c r="AB128" s="6" t="str">
        <f>IF(最佳化斷筋點!D128="","",最佳化斷筋點!D128)</f>
        <v/>
      </c>
      <c r="AC128" s="6" t="str">
        <f>IF(最佳化斷筋點!E128="","",最佳化斷筋點!E128)</f>
        <v/>
      </c>
      <c r="AD128" s="6" t="str">
        <f>IF(最佳化斷筋點!F128="","",最佳化斷筋點!F128)</f>
        <v/>
      </c>
      <c r="AE128" s="6" t="str">
        <f>IF(最佳化斷筋點!G128="","",最佳化斷筋點!G128)</f>
        <v/>
      </c>
      <c r="AF128" s="6" t="str">
        <f>IF(最佳化斷筋點!H128="","",最佳化斷筋點!H128)</f>
        <v/>
      </c>
      <c r="AG128" s="6" t="str">
        <f>IF(最佳化斷筋點!I128="","",最佳化斷筋點!I128)</f>
        <v/>
      </c>
      <c r="AH128" s="6" t="str">
        <f>IF(最佳化斷筋點!J128="","",最佳化斷筋點!J128)</f>
        <v/>
      </c>
      <c r="AI128" s="6" t="str">
        <f>IF(最佳化斷筋點!K128="","",最佳化斷筋點!K128)</f>
        <v/>
      </c>
      <c r="AJ128" s="6" t="str">
        <f>IF(最佳化斷筋點!L128="","",最佳化斷筋點!L128)</f>
        <v/>
      </c>
      <c r="AK128" s="6" t="str">
        <f>IF(最佳化斷筋點!M128="","",最佳化斷筋點!M128)</f>
        <v/>
      </c>
      <c r="AL128" s="6" t="str">
        <f>IF(最佳化斷筋點!N128="","",最佳化斷筋點!N128)</f>
        <v/>
      </c>
      <c r="AM128" s="6" t="str">
        <f>IF(最佳化斷筋點!O128="","",最佳化斷筋點!O128)</f>
        <v/>
      </c>
      <c r="AN128" s="6" t="str">
        <f>IF(最佳化斷筋點!P128="","",最佳化斷筋點!P128)</f>
        <v/>
      </c>
      <c r="AO128" s="6" t="str">
        <f>IF(最佳化斷筋點!Q128="","",最佳化斷筋點!Q128)</f>
        <v/>
      </c>
      <c r="AP128" s="6" t="str">
        <f>IF(最佳化斷筋點!R128="","",最佳化斷筋點!R128)</f>
        <v/>
      </c>
      <c r="AQ128" s="6" t="str">
        <f>IF(最佳化斷筋點!S128="","",最佳化斷筋點!S128)</f>
        <v/>
      </c>
      <c r="AR128" s="6" t="str">
        <f>IF(最佳化斷筋點!T128="","",最佳化斷筋點!T128)</f>
        <v/>
      </c>
      <c r="AS128" s="6" t="str">
        <f>IF(最佳化斷筋點!U128="","",最佳化斷筋點!U128)</f>
        <v/>
      </c>
      <c r="AT128" s="6" t="str">
        <f>IF(最佳化斷筋點!V128="","",最佳化斷筋點!V128)</f>
        <v/>
      </c>
      <c r="AU128" s="6" t="str">
        <f>IF(最佳化斷筋點!W128="","",最佳化斷筋點!W128)</f>
        <v/>
      </c>
      <c r="AV128" s="6" t="str">
        <f>IF(最佳化斷筋點!X128="","",最佳化斷筋點!X128)</f>
        <v/>
      </c>
    </row>
    <row r="129" spans="4:71" x14ac:dyDescent="0.25">
      <c r="D129" s="6" t="s">
        <v>51</v>
      </c>
      <c r="E129" s="6">
        <f t="shared" si="22"/>
        <v>0</v>
      </c>
      <c r="F129" s="6">
        <f t="shared" si="23"/>
        <v>0</v>
      </c>
      <c r="G129" s="6">
        <f t="shared" si="24"/>
        <v>0</v>
      </c>
      <c r="H129" s="6">
        <f t="shared" si="25"/>
        <v>0</v>
      </c>
      <c r="I129" s="6">
        <f t="shared" si="26"/>
        <v>0</v>
      </c>
      <c r="J129" s="6">
        <f t="shared" si="27"/>
        <v>0</v>
      </c>
      <c r="K129" s="6">
        <f t="shared" si="28"/>
        <v>0</v>
      </c>
      <c r="L129" s="6">
        <f t="shared" si="29"/>
        <v>0</v>
      </c>
      <c r="M129" s="6">
        <f t="shared" si="30"/>
        <v>0</v>
      </c>
      <c r="N129" s="6">
        <f t="shared" si="31"/>
        <v>0</v>
      </c>
      <c r="O129" s="6">
        <f t="shared" si="32"/>
        <v>0</v>
      </c>
      <c r="P129" s="6">
        <f t="shared" si="33"/>
        <v>0</v>
      </c>
      <c r="Q129" s="6">
        <f t="shared" si="34"/>
        <v>0</v>
      </c>
      <c r="R129" s="6">
        <f t="shared" si="35"/>
        <v>0</v>
      </c>
      <c r="S129" s="6">
        <f t="shared" si="36"/>
        <v>0</v>
      </c>
      <c r="T129" s="6">
        <f t="shared" si="37"/>
        <v>0</v>
      </c>
      <c r="U129" s="6">
        <f t="shared" si="38"/>
        <v>0</v>
      </c>
      <c r="V129" s="6">
        <f t="shared" si="39"/>
        <v>0</v>
      </c>
      <c r="W129" s="6">
        <f t="shared" si="40"/>
        <v>0</v>
      </c>
      <c r="X129" s="6">
        <f t="shared" si="41"/>
        <v>0</v>
      </c>
      <c r="Y129" s="6">
        <f t="shared" si="42"/>
        <v>0</v>
      </c>
      <c r="AA129" s="6" t="str">
        <f>IF(最佳化斷筋點!C129="","",最佳化斷筋點!C129)</f>
        <v>下層</v>
      </c>
      <c r="AB129" s="6">
        <f>IF(最佳化斷筋點!D129="","",最佳化斷筋點!D129)</f>
        <v>5</v>
      </c>
      <c r="AC129" s="6">
        <f>IF(最佳化斷筋點!E129="","",最佳化斷筋點!E129)</f>
        <v>5</v>
      </c>
      <c r="AD129" s="6">
        <f>IF(最佳化斷筋點!F129="","",最佳化斷筋點!F129)</f>
        <v>4</v>
      </c>
      <c r="AE129" s="6">
        <f>IF(最佳化斷筋點!G129="","",最佳化斷筋點!G129)</f>
        <v>4</v>
      </c>
      <c r="AF129" s="6">
        <f>IF(最佳化斷筋點!H129="","",最佳化斷筋點!H129)</f>
        <v>4</v>
      </c>
      <c r="AG129" s="6">
        <f>IF(最佳化斷筋點!I129="","",最佳化斷筋點!I129)</f>
        <v>5</v>
      </c>
      <c r="AH129" s="6">
        <f>IF(最佳化斷筋點!J129="","",最佳化斷筋點!J129)</f>
        <v>6</v>
      </c>
      <c r="AI129" s="6">
        <f>IF(最佳化斷筋點!K129="","",最佳化斷筋點!K129)</f>
        <v>6</v>
      </c>
      <c r="AJ129" s="6">
        <f>IF(最佳化斷筋點!L129="","",最佳化斷筋點!L129)</f>
        <v>6</v>
      </c>
      <c r="AK129" s="6">
        <f>IF(最佳化斷筋點!M129="","",最佳化斷筋點!M129)</f>
        <v>6</v>
      </c>
      <c r="AL129" s="6">
        <f>IF(最佳化斷筋點!N129="","",最佳化斷筋點!N129)</f>
        <v>6</v>
      </c>
      <c r="AM129" s="6">
        <f>IF(最佳化斷筋點!O129="","",最佳化斷筋點!O129)</f>
        <v>6</v>
      </c>
      <c r="AN129" s="6">
        <f>IF(最佳化斷筋點!P129="","",最佳化斷筋點!P129)</f>
        <v>6</v>
      </c>
      <c r="AO129" s="6">
        <f>IF(最佳化斷筋點!Q129="","",最佳化斷筋點!Q129)</f>
        <v>6</v>
      </c>
      <c r="AP129" s="6">
        <f>IF(最佳化斷筋點!R129="","",最佳化斷筋點!R129)</f>
        <v>6</v>
      </c>
      <c r="AQ129" s="6">
        <f>IF(最佳化斷筋點!S129="","",最佳化斷筋點!S129)</f>
        <v>5</v>
      </c>
      <c r="AR129" s="6">
        <f>IF(最佳化斷筋點!T129="","",最佳化斷筋點!T129)</f>
        <v>4</v>
      </c>
      <c r="AS129" s="6">
        <f>IF(最佳化斷筋點!U129="","",最佳化斷筋點!U129)</f>
        <v>4</v>
      </c>
      <c r="AT129" s="6">
        <f>IF(最佳化斷筋點!V129="","",最佳化斷筋點!V129)</f>
        <v>4</v>
      </c>
      <c r="AU129" s="6">
        <f>IF(最佳化斷筋點!W129="","",最佳化斷筋點!W129)</f>
        <v>5</v>
      </c>
      <c r="AV129" s="6">
        <f>IF(最佳化斷筋點!X129="","",最佳化斷筋點!X129)</f>
        <v>5</v>
      </c>
      <c r="AX129" s="6" t="s">
        <v>51</v>
      </c>
      <c r="AY129" s="6">
        <v>5</v>
      </c>
      <c r="AZ129" s="6">
        <v>5</v>
      </c>
      <c r="BA129" s="6">
        <v>4</v>
      </c>
      <c r="BB129" s="6">
        <v>4</v>
      </c>
      <c r="BC129" s="6">
        <v>4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5</v>
      </c>
      <c r="BO129" s="6">
        <v>4</v>
      </c>
      <c r="BP129" s="6">
        <v>4</v>
      </c>
      <c r="BQ129" s="6">
        <v>4</v>
      </c>
      <c r="BR129" s="6">
        <v>5</v>
      </c>
      <c r="BS129" s="6">
        <v>5</v>
      </c>
    </row>
    <row r="130" spans="4:71" x14ac:dyDescent="0.25">
      <c r="E130" s="6">
        <f t="shared" si="22"/>
        <v>0</v>
      </c>
      <c r="F130" s="6">
        <f t="shared" si="23"/>
        <v>0</v>
      </c>
      <c r="G130" s="6">
        <f t="shared" si="24"/>
        <v>0</v>
      </c>
      <c r="H130" s="6">
        <f t="shared" si="25"/>
        <v>0</v>
      </c>
      <c r="I130" s="6">
        <f t="shared" si="26"/>
        <v>0</v>
      </c>
      <c r="J130" s="6">
        <f t="shared" si="27"/>
        <v>0</v>
      </c>
      <c r="K130" s="6">
        <f t="shared" si="28"/>
        <v>0</v>
      </c>
      <c r="L130" s="6">
        <f t="shared" si="29"/>
        <v>0</v>
      </c>
      <c r="M130" s="6">
        <f t="shared" si="30"/>
        <v>0</v>
      </c>
      <c r="N130" s="6">
        <f t="shared" si="31"/>
        <v>0</v>
      </c>
      <c r="O130" s="6">
        <f t="shared" si="32"/>
        <v>0</v>
      </c>
      <c r="P130" s="6">
        <f t="shared" si="33"/>
        <v>0</v>
      </c>
      <c r="Q130" s="6">
        <f t="shared" si="34"/>
        <v>0</v>
      </c>
      <c r="R130" s="6">
        <f t="shared" si="35"/>
        <v>0</v>
      </c>
      <c r="S130" s="6">
        <f t="shared" si="36"/>
        <v>0</v>
      </c>
      <c r="T130" s="6">
        <f t="shared" si="37"/>
        <v>0</v>
      </c>
      <c r="U130" s="6">
        <f t="shared" si="38"/>
        <v>0</v>
      </c>
      <c r="V130" s="6">
        <f t="shared" si="39"/>
        <v>0</v>
      </c>
      <c r="W130" s="6">
        <f t="shared" si="40"/>
        <v>0</v>
      </c>
      <c r="X130" s="6">
        <f t="shared" si="41"/>
        <v>0</v>
      </c>
      <c r="Y130" s="6">
        <f t="shared" si="42"/>
        <v>0</v>
      </c>
      <c r="AA130" s="6" t="str">
        <f>IF(最佳化斷筋點!C130="","",最佳化斷筋點!C130)</f>
        <v/>
      </c>
      <c r="AB130" s="6" t="str">
        <f>IF(最佳化斷筋點!D130="","",最佳化斷筋點!D130)</f>
        <v/>
      </c>
      <c r="AC130" s="6" t="str">
        <f>IF(最佳化斷筋點!E130="","",最佳化斷筋點!E130)</f>
        <v/>
      </c>
      <c r="AD130" s="6" t="str">
        <f>IF(最佳化斷筋點!F130="","",最佳化斷筋點!F130)</f>
        <v/>
      </c>
      <c r="AE130" s="6" t="str">
        <f>IF(最佳化斷筋點!G130="","",最佳化斷筋點!G130)</f>
        <v/>
      </c>
      <c r="AF130" s="6" t="str">
        <f>IF(最佳化斷筋點!H130="","",最佳化斷筋點!H130)</f>
        <v/>
      </c>
      <c r="AG130" s="6" t="str">
        <f>IF(最佳化斷筋點!I130="","",最佳化斷筋點!I130)</f>
        <v/>
      </c>
      <c r="AH130" s="6" t="str">
        <f>IF(最佳化斷筋點!J130="","",最佳化斷筋點!J130)</f>
        <v/>
      </c>
      <c r="AI130" s="6" t="str">
        <f>IF(最佳化斷筋點!K130="","",最佳化斷筋點!K130)</f>
        <v/>
      </c>
      <c r="AJ130" s="6" t="str">
        <f>IF(最佳化斷筋點!L130="","",最佳化斷筋點!L130)</f>
        <v/>
      </c>
      <c r="AK130" s="6" t="str">
        <f>IF(最佳化斷筋點!M130="","",最佳化斷筋點!M130)</f>
        <v/>
      </c>
      <c r="AL130" s="6" t="str">
        <f>IF(最佳化斷筋點!N130="","",最佳化斷筋點!N130)</f>
        <v/>
      </c>
      <c r="AM130" s="6" t="str">
        <f>IF(最佳化斷筋點!O130="","",最佳化斷筋點!O130)</f>
        <v/>
      </c>
      <c r="AN130" s="6" t="str">
        <f>IF(最佳化斷筋點!P130="","",最佳化斷筋點!P130)</f>
        <v/>
      </c>
      <c r="AO130" s="6" t="str">
        <f>IF(最佳化斷筋點!Q130="","",最佳化斷筋點!Q130)</f>
        <v/>
      </c>
      <c r="AP130" s="6" t="str">
        <f>IF(最佳化斷筋點!R130="","",最佳化斷筋點!R130)</f>
        <v/>
      </c>
      <c r="AQ130" s="6" t="str">
        <f>IF(最佳化斷筋點!S130="","",最佳化斷筋點!S130)</f>
        <v/>
      </c>
      <c r="AR130" s="6" t="str">
        <f>IF(最佳化斷筋點!T130="","",最佳化斷筋點!T130)</f>
        <v/>
      </c>
      <c r="AS130" s="6" t="str">
        <f>IF(最佳化斷筋點!U130="","",最佳化斷筋點!U130)</f>
        <v/>
      </c>
      <c r="AT130" s="6" t="str">
        <f>IF(最佳化斷筋點!V130="","",最佳化斷筋點!V130)</f>
        <v/>
      </c>
      <c r="AU130" s="6" t="str">
        <f>IF(最佳化斷筋點!W130="","",最佳化斷筋點!W130)</f>
        <v/>
      </c>
      <c r="AV130" s="6" t="str">
        <f>IF(最佳化斷筋點!X130="","",最佳化斷筋點!X130)</f>
        <v/>
      </c>
    </row>
    <row r="131" spans="4:71" x14ac:dyDescent="0.25">
      <c r="D131" s="6" t="s">
        <v>50</v>
      </c>
      <c r="E131" s="6">
        <f t="shared" si="22"/>
        <v>0</v>
      </c>
      <c r="F131" s="6">
        <f t="shared" si="23"/>
        <v>0</v>
      </c>
      <c r="G131" s="6">
        <f t="shared" si="24"/>
        <v>0</v>
      </c>
      <c r="H131" s="6">
        <f t="shared" si="25"/>
        <v>0</v>
      </c>
      <c r="I131" s="6">
        <f t="shared" si="26"/>
        <v>0</v>
      </c>
      <c r="J131" s="6">
        <f t="shared" si="27"/>
        <v>0</v>
      </c>
      <c r="K131" s="6">
        <f t="shared" si="28"/>
        <v>0</v>
      </c>
      <c r="L131" s="6">
        <f t="shared" si="29"/>
        <v>0</v>
      </c>
      <c r="M131" s="6">
        <f t="shared" si="30"/>
        <v>0</v>
      </c>
      <c r="N131" s="6">
        <f t="shared" si="31"/>
        <v>0</v>
      </c>
      <c r="O131" s="6">
        <f t="shared" si="32"/>
        <v>0</v>
      </c>
      <c r="P131" s="6">
        <f t="shared" si="33"/>
        <v>0</v>
      </c>
      <c r="Q131" s="6">
        <f t="shared" si="34"/>
        <v>0</v>
      </c>
      <c r="R131" s="6">
        <f t="shared" si="35"/>
        <v>0</v>
      </c>
      <c r="S131" s="6">
        <f t="shared" si="36"/>
        <v>0</v>
      </c>
      <c r="T131" s="6">
        <f t="shared" si="37"/>
        <v>0</v>
      </c>
      <c r="U131" s="6">
        <f t="shared" si="38"/>
        <v>0</v>
      </c>
      <c r="V131" s="6">
        <f t="shared" si="39"/>
        <v>0</v>
      </c>
      <c r="W131" s="6">
        <f t="shared" si="40"/>
        <v>0</v>
      </c>
      <c r="X131" s="6">
        <f t="shared" si="41"/>
        <v>0</v>
      </c>
      <c r="Y131" s="6">
        <f t="shared" si="42"/>
        <v>0</v>
      </c>
      <c r="AA131" s="6" t="str">
        <f>IF(最佳化斷筋點!C131="","",最佳化斷筋點!C131)</f>
        <v>上層</v>
      </c>
      <c r="AB131" s="6">
        <f>IF(最佳化斷筋點!D131="","",最佳化斷筋點!D131)</f>
        <v>2</v>
      </c>
      <c r="AC131" s="6">
        <f>IF(最佳化斷筋點!E131="","",最佳化斷筋點!E131)</f>
        <v>2</v>
      </c>
      <c r="AD131" s="6">
        <f>IF(最佳化斷筋點!F131="","",最佳化斷筋點!F131)</f>
        <v>2</v>
      </c>
      <c r="AE131" s="6">
        <f>IF(最佳化斷筋點!G131="","",最佳化斷筋點!G131)</f>
        <v>2</v>
      </c>
      <c r="AF131" s="6">
        <f>IF(最佳化斷筋點!H131="","",最佳化斷筋點!H131)</f>
        <v>2</v>
      </c>
      <c r="AG131" s="6">
        <f>IF(最佳化斷筋點!I131="","",最佳化斷筋點!I131)</f>
        <v>2</v>
      </c>
      <c r="AH131" s="6">
        <f>IF(最佳化斷筋點!J131="","",最佳化斷筋點!J131)</f>
        <v>2</v>
      </c>
      <c r="AI131" s="6">
        <f>IF(最佳化斷筋點!K131="","",最佳化斷筋點!K131)</f>
        <v>2</v>
      </c>
      <c r="AJ131" s="6">
        <f>IF(最佳化斷筋點!L131="","",最佳化斷筋點!L131)</f>
        <v>2</v>
      </c>
      <c r="AK131" s="6">
        <f>IF(最佳化斷筋點!M131="","",最佳化斷筋點!M131)</f>
        <v>2</v>
      </c>
      <c r="AL131" s="6">
        <f>IF(最佳化斷筋點!N131="","",最佳化斷筋點!N131)</f>
        <v>2</v>
      </c>
      <c r="AM131" s="6">
        <f>IF(最佳化斷筋點!O131="","",最佳化斷筋點!O131)</f>
        <v>2</v>
      </c>
      <c r="AN131" s="6">
        <f>IF(最佳化斷筋點!P131="","",最佳化斷筋點!P131)</f>
        <v>2</v>
      </c>
      <c r="AO131" s="6">
        <f>IF(最佳化斷筋點!Q131="","",最佳化斷筋點!Q131)</f>
        <v>2</v>
      </c>
      <c r="AP131" s="6">
        <f>IF(最佳化斷筋點!R131="","",最佳化斷筋點!R131)</f>
        <v>2</v>
      </c>
      <c r="AQ131" s="6">
        <f>IF(最佳化斷筋點!S131="","",最佳化斷筋點!S131)</f>
        <v>2</v>
      </c>
      <c r="AR131" s="6">
        <f>IF(最佳化斷筋點!T131="","",最佳化斷筋點!T131)</f>
        <v>2</v>
      </c>
      <c r="AS131" s="6">
        <f>IF(最佳化斷筋點!U131="","",最佳化斷筋點!U131)</f>
        <v>2</v>
      </c>
      <c r="AT131" s="6">
        <f>IF(最佳化斷筋點!V131="","",最佳化斷筋點!V131)</f>
        <v>2</v>
      </c>
      <c r="AU131" s="6">
        <f>IF(最佳化斷筋點!W131="","",最佳化斷筋點!W131)</f>
        <v>2</v>
      </c>
      <c r="AV131" s="6">
        <f>IF(最佳化斷筋點!X131="","",最佳化斷筋點!X131)</f>
        <v>2</v>
      </c>
      <c r="AX131" s="6" t="s">
        <v>50</v>
      </c>
      <c r="AY131" s="6">
        <v>2</v>
      </c>
      <c r="AZ131" s="6">
        <v>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</row>
    <row r="132" spans="4:71" x14ac:dyDescent="0.25">
      <c r="E132" s="6">
        <f t="shared" ref="E132:E195" si="43">IF(AB132=AY132,0,1)</f>
        <v>0</v>
      </c>
      <c r="F132" s="6">
        <f t="shared" ref="F132:F195" si="44">IF(AC132=AZ132,0,1)</f>
        <v>0</v>
      </c>
      <c r="G132" s="6">
        <f t="shared" ref="G132:G195" si="45">IF(AD132=BA132,0,1)</f>
        <v>0</v>
      </c>
      <c r="H132" s="6">
        <f t="shared" ref="H132:H195" si="46">IF(AE132=BB132,0,1)</f>
        <v>0</v>
      </c>
      <c r="I132" s="6">
        <f t="shared" ref="I132:I195" si="47">IF(AF132=BC132,0,1)</f>
        <v>0</v>
      </c>
      <c r="J132" s="6">
        <f t="shared" ref="J132:J195" si="48">IF(AG132=BD132,0,1)</f>
        <v>0</v>
      </c>
      <c r="K132" s="6">
        <f t="shared" ref="K132:K195" si="49">IF(AH132=BE132,0,1)</f>
        <v>0</v>
      </c>
      <c r="L132" s="6">
        <f t="shared" ref="L132:L195" si="50">IF(AI132=BF132,0,1)</f>
        <v>0</v>
      </c>
      <c r="M132" s="6">
        <f t="shared" ref="M132:M195" si="51">IF(AJ132=BG132,0,1)</f>
        <v>0</v>
      </c>
      <c r="N132" s="6">
        <f t="shared" ref="N132:N195" si="52">IF(AK132=BH132,0,1)</f>
        <v>0</v>
      </c>
      <c r="O132" s="6">
        <f t="shared" ref="O132:O195" si="53">IF(AL132=BI132,0,1)</f>
        <v>0</v>
      </c>
      <c r="P132" s="6">
        <f t="shared" ref="P132:P195" si="54">IF(AM132=BJ132,0,1)</f>
        <v>0</v>
      </c>
      <c r="Q132" s="6">
        <f t="shared" ref="Q132:Q195" si="55">IF(AN132=BK132,0,1)</f>
        <v>0</v>
      </c>
      <c r="R132" s="6">
        <f t="shared" ref="R132:R195" si="56">IF(AO132=BL132,0,1)</f>
        <v>0</v>
      </c>
      <c r="S132" s="6">
        <f t="shared" ref="S132:S195" si="57">IF(AP132=BM132,0,1)</f>
        <v>0</v>
      </c>
      <c r="T132" s="6">
        <f t="shared" ref="T132:T195" si="58">IF(AQ132=BN132,0,1)</f>
        <v>0</v>
      </c>
      <c r="U132" s="6">
        <f t="shared" ref="U132:U195" si="59">IF(AR132=BO132,0,1)</f>
        <v>0</v>
      </c>
      <c r="V132" s="6">
        <f t="shared" ref="V132:V195" si="60">IF(AS132=BP132,0,1)</f>
        <v>0</v>
      </c>
      <c r="W132" s="6">
        <f t="shared" ref="W132:W195" si="61">IF(AT132=BQ132,0,1)</f>
        <v>0</v>
      </c>
      <c r="X132" s="6">
        <f t="shared" ref="X132:X195" si="62">IF(AU132=BR132,0,1)</f>
        <v>0</v>
      </c>
      <c r="Y132" s="6">
        <f t="shared" ref="Y132:Y195" si="63">IF(AV132=BS132,0,1)</f>
        <v>0</v>
      </c>
      <c r="AA132" s="6" t="str">
        <f>IF(最佳化斷筋點!C132="","",最佳化斷筋點!C132)</f>
        <v/>
      </c>
      <c r="AB132" s="6" t="str">
        <f>IF(最佳化斷筋點!D132="","",最佳化斷筋點!D132)</f>
        <v/>
      </c>
      <c r="AC132" s="6" t="str">
        <f>IF(最佳化斷筋點!E132="","",最佳化斷筋點!E132)</f>
        <v/>
      </c>
      <c r="AD132" s="6" t="str">
        <f>IF(最佳化斷筋點!F132="","",最佳化斷筋點!F132)</f>
        <v/>
      </c>
      <c r="AE132" s="6" t="str">
        <f>IF(最佳化斷筋點!G132="","",最佳化斷筋點!G132)</f>
        <v/>
      </c>
      <c r="AF132" s="6" t="str">
        <f>IF(最佳化斷筋點!H132="","",最佳化斷筋點!H132)</f>
        <v/>
      </c>
      <c r="AG132" s="6" t="str">
        <f>IF(最佳化斷筋點!I132="","",最佳化斷筋點!I132)</f>
        <v/>
      </c>
      <c r="AH132" s="6" t="str">
        <f>IF(最佳化斷筋點!J132="","",最佳化斷筋點!J132)</f>
        <v/>
      </c>
      <c r="AI132" s="6" t="str">
        <f>IF(最佳化斷筋點!K132="","",最佳化斷筋點!K132)</f>
        <v/>
      </c>
      <c r="AJ132" s="6" t="str">
        <f>IF(最佳化斷筋點!L132="","",最佳化斷筋點!L132)</f>
        <v/>
      </c>
      <c r="AK132" s="6" t="str">
        <f>IF(最佳化斷筋點!M132="","",最佳化斷筋點!M132)</f>
        <v/>
      </c>
      <c r="AL132" s="6" t="str">
        <f>IF(最佳化斷筋點!N132="","",最佳化斷筋點!N132)</f>
        <v/>
      </c>
      <c r="AM132" s="6" t="str">
        <f>IF(最佳化斷筋點!O132="","",最佳化斷筋點!O132)</f>
        <v/>
      </c>
      <c r="AN132" s="6" t="str">
        <f>IF(最佳化斷筋點!P132="","",最佳化斷筋點!P132)</f>
        <v/>
      </c>
      <c r="AO132" s="6" t="str">
        <f>IF(最佳化斷筋點!Q132="","",最佳化斷筋點!Q132)</f>
        <v/>
      </c>
      <c r="AP132" s="6" t="str">
        <f>IF(最佳化斷筋點!R132="","",最佳化斷筋點!R132)</f>
        <v/>
      </c>
      <c r="AQ132" s="6" t="str">
        <f>IF(最佳化斷筋點!S132="","",最佳化斷筋點!S132)</f>
        <v/>
      </c>
      <c r="AR132" s="6" t="str">
        <f>IF(最佳化斷筋點!T132="","",最佳化斷筋點!T132)</f>
        <v/>
      </c>
      <c r="AS132" s="6" t="str">
        <f>IF(最佳化斷筋點!U132="","",最佳化斷筋點!U132)</f>
        <v/>
      </c>
      <c r="AT132" s="6" t="str">
        <f>IF(最佳化斷筋點!V132="","",最佳化斷筋點!V132)</f>
        <v/>
      </c>
      <c r="AU132" s="6" t="str">
        <f>IF(最佳化斷筋點!W132="","",最佳化斷筋點!W132)</f>
        <v/>
      </c>
      <c r="AV132" s="6" t="str">
        <f>IF(最佳化斷筋點!X132="","",最佳化斷筋點!X132)</f>
        <v/>
      </c>
    </row>
    <row r="133" spans="4:71" x14ac:dyDescent="0.25">
      <c r="D133" s="6" t="s">
        <v>51</v>
      </c>
      <c r="E133" s="6">
        <f t="shared" si="43"/>
        <v>0</v>
      </c>
      <c r="F133" s="6">
        <f t="shared" si="44"/>
        <v>0</v>
      </c>
      <c r="G133" s="6">
        <f t="shared" si="45"/>
        <v>0</v>
      </c>
      <c r="H133" s="6">
        <f t="shared" si="46"/>
        <v>0</v>
      </c>
      <c r="I133" s="6">
        <f t="shared" si="47"/>
        <v>0</v>
      </c>
      <c r="J133" s="6">
        <f t="shared" si="48"/>
        <v>0</v>
      </c>
      <c r="K133" s="6">
        <f t="shared" si="49"/>
        <v>0</v>
      </c>
      <c r="L133" s="6">
        <f t="shared" si="50"/>
        <v>0</v>
      </c>
      <c r="M133" s="6">
        <f t="shared" si="51"/>
        <v>0</v>
      </c>
      <c r="N133" s="6">
        <f t="shared" si="52"/>
        <v>0</v>
      </c>
      <c r="O133" s="6">
        <f t="shared" si="53"/>
        <v>0</v>
      </c>
      <c r="P133" s="6">
        <f t="shared" si="54"/>
        <v>0</v>
      </c>
      <c r="Q133" s="6">
        <f t="shared" si="55"/>
        <v>0</v>
      </c>
      <c r="R133" s="6">
        <f t="shared" si="56"/>
        <v>0</v>
      </c>
      <c r="S133" s="6">
        <f t="shared" si="57"/>
        <v>0</v>
      </c>
      <c r="T133" s="6">
        <f t="shared" si="58"/>
        <v>0</v>
      </c>
      <c r="U133" s="6">
        <f t="shared" si="59"/>
        <v>0</v>
      </c>
      <c r="V133" s="6">
        <f t="shared" si="60"/>
        <v>0</v>
      </c>
      <c r="W133" s="6">
        <f t="shared" si="61"/>
        <v>0</v>
      </c>
      <c r="X133" s="6">
        <f t="shared" si="62"/>
        <v>0</v>
      </c>
      <c r="Y133" s="6">
        <f t="shared" si="63"/>
        <v>0</v>
      </c>
      <c r="AA133" s="6" t="str">
        <f>IF(最佳化斷筋點!C133="","",最佳化斷筋點!C133)</f>
        <v>下層</v>
      </c>
      <c r="AB133" s="6">
        <f>IF(最佳化斷筋點!D133="","",最佳化斷筋點!D133)</f>
        <v>5</v>
      </c>
      <c r="AC133" s="6">
        <f>IF(最佳化斷筋點!E133="","",最佳化斷筋點!E133)</f>
        <v>5</v>
      </c>
      <c r="AD133" s="6">
        <f>IF(最佳化斷筋點!F133="","",最佳化斷筋點!F133)</f>
        <v>4</v>
      </c>
      <c r="AE133" s="6">
        <f>IF(最佳化斷筋點!G133="","",最佳化斷筋點!G133)</f>
        <v>4</v>
      </c>
      <c r="AF133" s="6">
        <f>IF(最佳化斷筋點!H133="","",最佳化斷筋點!H133)</f>
        <v>4</v>
      </c>
      <c r="AG133" s="6">
        <f>IF(最佳化斷筋點!I133="","",最佳化斷筋點!I133)</f>
        <v>5</v>
      </c>
      <c r="AH133" s="6">
        <f>IF(最佳化斷筋點!J133="","",最佳化斷筋點!J133)</f>
        <v>6</v>
      </c>
      <c r="AI133" s="6">
        <f>IF(最佳化斷筋點!K133="","",最佳化斷筋點!K133)</f>
        <v>6</v>
      </c>
      <c r="AJ133" s="6">
        <f>IF(最佳化斷筋點!L133="","",最佳化斷筋點!L133)</f>
        <v>6</v>
      </c>
      <c r="AK133" s="6">
        <f>IF(最佳化斷筋點!M133="","",最佳化斷筋點!M133)</f>
        <v>6</v>
      </c>
      <c r="AL133" s="6">
        <f>IF(最佳化斷筋點!N133="","",最佳化斷筋點!N133)</f>
        <v>6</v>
      </c>
      <c r="AM133" s="6">
        <f>IF(最佳化斷筋點!O133="","",最佳化斷筋點!O133)</f>
        <v>6</v>
      </c>
      <c r="AN133" s="6">
        <f>IF(最佳化斷筋點!P133="","",最佳化斷筋點!P133)</f>
        <v>6</v>
      </c>
      <c r="AO133" s="6">
        <f>IF(最佳化斷筋點!Q133="","",最佳化斷筋點!Q133)</f>
        <v>6</v>
      </c>
      <c r="AP133" s="6">
        <f>IF(最佳化斷筋點!R133="","",最佳化斷筋點!R133)</f>
        <v>6</v>
      </c>
      <c r="AQ133" s="6">
        <f>IF(最佳化斷筋點!S133="","",最佳化斷筋點!S133)</f>
        <v>5</v>
      </c>
      <c r="AR133" s="6">
        <f>IF(最佳化斷筋點!T133="","",最佳化斷筋點!T133)</f>
        <v>4</v>
      </c>
      <c r="AS133" s="6">
        <f>IF(最佳化斷筋點!U133="","",最佳化斷筋點!U133)</f>
        <v>4</v>
      </c>
      <c r="AT133" s="6">
        <f>IF(最佳化斷筋點!V133="","",最佳化斷筋點!V133)</f>
        <v>4</v>
      </c>
      <c r="AU133" s="6">
        <f>IF(最佳化斷筋點!W133="","",最佳化斷筋點!W133)</f>
        <v>5</v>
      </c>
      <c r="AV133" s="6">
        <f>IF(最佳化斷筋點!X133="","",最佳化斷筋點!X133)</f>
        <v>5</v>
      </c>
      <c r="AX133" s="6" t="s">
        <v>51</v>
      </c>
      <c r="AY133" s="6">
        <v>5</v>
      </c>
      <c r="AZ133" s="6">
        <v>5</v>
      </c>
      <c r="BA133" s="6">
        <v>4</v>
      </c>
      <c r="BB133" s="6">
        <v>4</v>
      </c>
      <c r="BC133" s="6">
        <v>4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5</v>
      </c>
      <c r="BO133" s="6">
        <v>4</v>
      </c>
      <c r="BP133" s="6">
        <v>4</v>
      </c>
      <c r="BQ133" s="6">
        <v>4</v>
      </c>
      <c r="BR133" s="6">
        <v>5</v>
      </c>
      <c r="BS133" s="6">
        <v>5</v>
      </c>
    </row>
    <row r="134" spans="4:71" x14ac:dyDescent="0.25">
      <c r="E134" s="6">
        <f t="shared" si="43"/>
        <v>0</v>
      </c>
      <c r="F134" s="6">
        <f t="shared" si="44"/>
        <v>0</v>
      </c>
      <c r="G134" s="6">
        <f t="shared" si="45"/>
        <v>0</v>
      </c>
      <c r="H134" s="6">
        <f t="shared" si="46"/>
        <v>0</v>
      </c>
      <c r="I134" s="6">
        <f t="shared" si="47"/>
        <v>0</v>
      </c>
      <c r="J134" s="6">
        <f t="shared" si="48"/>
        <v>0</v>
      </c>
      <c r="K134" s="6">
        <f t="shared" si="49"/>
        <v>0</v>
      </c>
      <c r="L134" s="6">
        <f t="shared" si="50"/>
        <v>0</v>
      </c>
      <c r="M134" s="6">
        <f t="shared" si="51"/>
        <v>0</v>
      </c>
      <c r="N134" s="6">
        <f t="shared" si="52"/>
        <v>0</v>
      </c>
      <c r="O134" s="6">
        <f t="shared" si="53"/>
        <v>0</v>
      </c>
      <c r="P134" s="6">
        <f t="shared" si="54"/>
        <v>0</v>
      </c>
      <c r="Q134" s="6">
        <f t="shared" si="55"/>
        <v>0</v>
      </c>
      <c r="R134" s="6">
        <f t="shared" si="56"/>
        <v>0</v>
      </c>
      <c r="S134" s="6">
        <f t="shared" si="57"/>
        <v>0</v>
      </c>
      <c r="T134" s="6">
        <f t="shared" si="58"/>
        <v>0</v>
      </c>
      <c r="U134" s="6">
        <f t="shared" si="59"/>
        <v>0</v>
      </c>
      <c r="V134" s="6">
        <f t="shared" si="60"/>
        <v>0</v>
      </c>
      <c r="W134" s="6">
        <f t="shared" si="61"/>
        <v>0</v>
      </c>
      <c r="X134" s="6">
        <f t="shared" si="62"/>
        <v>0</v>
      </c>
      <c r="Y134" s="6">
        <f t="shared" si="63"/>
        <v>0</v>
      </c>
      <c r="AA134" s="6" t="str">
        <f>IF(最佳化斷筋點!C134="","",最佳化斷筋點!C134)</f>
        <v/>
      </c>
      <c r="AB134" s="6" t="str">
        <f>IF(最佳化斷筋點!D134="","",最佳化斷筋點!D134)</f>
        <v/>
      </c>
      <c r="AC134" s="6" t="str">
        <f>IF(最佳化斷筋點!E134="","",最佳化斷筋點!E134)</f>
        <v/>
      </c>
      <c r="AD134" s="6" t="str">
        <f>IF(最佳化斷筋點!F134="","",最佳化斷筋點!F134)</f>
        <v/>
      </c>
      <c r="AE134" s="6" t="str">
        <f>IF(最佳化斷筋點!G134="","",最佳化斷筋點!G134)</f>
        <v/>
      </c>
      <c r="AF134" s="6" t="str">
        <f>IF(最佳化斷筋點!H134="","",最佳化斷筋點!H134)</f>
        <v/>
      </c>
      <c r="AG134" s="6" t="str">
        <f>IF(最佳化斷筋點!I134="","",最佳化斷筋點!I134)</f>
        <v/>
      </c>
      <c r="AH134" s="6" t="str">
        <f>IF(最佳化斷筋點!J134="","",最佳化斷筋點!J134)</f>
        <v/>
      </c>
      <c r="AI134" s="6" t="str">
        <f>IF(最佳化斷筋點!K134="","",最佳化斷筋點!K134)</f>
        <v/>
      </c>
      <c r="AJ134" s="6" t="str">
        <f>IF(最佳化斷筋點!L134="","",最佳化斷筋點!L134)</f>
        <v/>
      </c>
      <c r="AK134" s="6" t="str">
        <f>IF(最佳化斷筋點!M134="","",最佳化斷筋點!M134)</f>
        <v/>
      </c>
      <c r="AL134" s="6" t="str">
        <f>IF(最佳化斷筋點!N134="","",最佳化斷筋點!N134)</f>
        <v/>
      </c>
      <c r="AM134" s="6" t="str">
        <f>IF(最佳化斷筋點!O134="","",最佳化斷筋點!O134)</f>
        <v/>
      </c>
      <c r="AN134" s="6" t="str">
        <f>IF(最佳化斷筋點!P134="","",最佳化斷筋點!P134)</f>
        <v/>
      </c>
      <c r="AO134" s="6" t="str">
        <f>IF(最佳化斷筋點!Q134="","",最佳化斷筋點!Q134)</f>
        <v/>
      </c>
      <c r="AP134" s="6" t="str">
        <f>IF(最佳化斷筋點!R134="","",最佳化斷筋點!R134)</f>
        <v/>
      </c>
      <c r="AQ134" s="6" t="str">
        <f>IF(最佳化斷筋點!S134="","",最佳化斷筋點!S134)</f>
        <v/>
      </c>
      <c r="AR134" s="6" t="str">
        <f>IF(最佳化斷筋點!T134="","",最佳化斷筋點!T134)</f>
        <v/>
      </c>
      <c r="AS134" s="6" t="str">
        <f>IF(最佳化斷筋點!U134="","",最佳化斷筋點!U134)</f>
        <v/>
      </c>
      <c r="AT134" s="6" t="str">
        <f>IF(最佳化斷筋點!V134="","",最佳化斷筋點!V134)</f>
        <v/>
      </c>
      <c r="AU134" s="6" t="str">
        <f>IF(最佳化斷筋點!W134="","",最佳化斷筋點!W134)</f>
        <v/>
      </c>
      <c r="AV134" s="6" t="str">
        <f>IF(最佳化斷筋點!X134="","",最佳化斷筋點!X134)</f>
        <v/>
      </c>
    </row>
    <row r="135" spans="4:71" x14ac:dyDescent="0.25">
      <c r="D135" s="6" t="s">
        <v>50</v>
      </c>
      <c r="E135" s="6">
        <f t="shared" si="43"/>
        <v>0</v>
      </c>
      <c r="F135" s="6">
        <f t="shared" si="44"/>
        <v>0</v>
      </c>
      <c r="G135" s="6">
        <f t="shared" si="45"/>
        <v>0</v>
      </c>
      <c r="H135" s="6">
        <f t="shared" si="46"/>
        <v>0</v>
      </c>
      <c r="I135" s="6">
        <f t="shared" si="47"/>
        <v>0</v>
      </c>
      <c r="J135" s="6">
        <f t="shared" si="48"/>
        <v>0</v>
      </c>
      <c r="K135" s="6">
        <f t="shared" si="49"/>
        <v>0</v>
      </c>
      <c r="L135" s="6">
        <f t="shared" si="50"/>
        <v>0</v>
      </c>
      <c r="M135" s="6">
        <f t="shared" si="51"/>
        <v>0</v>
      </c>
      <c r="N135" s="6">
        <f t="shared" si="52"/>
        <v>0</v>
      </c>
      <c r="O135" s="6">
        <f t="shared" si="53"/>
        <v>0</v>
      </c>
      <c r="P135" s="6">
        <f t="shared" si="54"/>
        <v>0</v>
      </c>
      <c r="Q135" s="6">
        <f t="shared" si="55"/>
        <v>0</v>
      </c>
      <c r="R135" s="6">
        <f t="shared" si="56"/>
        <v>0</v>
      </c>
      <c r="S135" s="6">
        <f t="shared" si="57"/>
        <v>0</v>
      </c>
      <c r="T135" s="6">
        <f t="shared" si="58"/>
        <v>0</v>
      </c>
      <c r="U135" s="6">
        <f t="shared" si="59"/>
        <v>0</v>
      </c>
      <c r="V135" s="6">
        <f t="shared" si="60"/>
        <v>0</v>
      </c>
      <c r="W135" s="6">
        <f t="shared" si="61"/>
        <v>0</v>
      </c>
      <c r="X135" s="6">
        <f t="shared" si="62"/>
        <v>0</v>
      </c>
      <c r="Y135" s="6">
        <f t="shared" si="63"/>
        <v>0</v>
      </c>
      <c r="AA135" s="6" t="str">
        <f>IF(最佳化斷筋點!C135="","",最佳化斷筋點!C135)</f>
        <v>上層</v>
      </c>
      <c r="AB135" s="6">
        <f>IF(最佳化斷筋點!D135="","",最佳化斷筋點!D135)</f>
        <v>2</v>
      </c>
      <c r="AC135" s="6">
        <f>IF(最佳化斷筋點!E135="","",最佳化斷筋點!E135)</f>
        <v>2</v>
      </c>
      <c r="AD135" s="6">
        <f>IF(最佳化斷筋點!F135="","",最佳化斷筋點!F135)</f>
        <v>2</v>
      </c>
      <c r="AE135" s="6">
        <f>IF(最佳化斷筋點!G135="","",最佳化斷筋點!G135)</f>
        <v>2</v>
      </c>
      <c r="AF135" s="6">
        <f>IF(最佳化斷筋點!H135="","",最佳化斷筋點!H135)</f>
        <v>2</v>
      </c>
      <c r="AG135" s="6">
        <f>IF(最佳化斷筋點!I135="","",最佳化斷筋點!I135)</f>
        <v>2</v>
      </c>
      <c r="AH135" s="6">
        <f>IF(最佳化斷筋點!J135="","",最佳化斷筋點!J135)</f>
        <v>2</v>
      </c>
      <c r="AI135" s="6">
        <f>IF(最佳化斷筋點!K135="","",最佳化斷筋點!K135)</f>
        <v>2</v>
      </c>
      <c r="AJ135" s="6">
        <f>IF(最佳化斷筋點!L135="","",最佳化斷筋點!L135)</f>
        <v>2</v>
      </c>
      <c r="AK135" s="6">
        <f>IF(最佳化斷筋點!M135="","",最佳化斷筋點!M135)</f>
        <v>2</v>
      </c>
      <c r="AL135" s="6">
        <f>IF(最佳化斷筋點!N135="","",最佳化斷筋點!N135)</f>
        <v>2</v>
      </c>
      <c r="AM135" s="6">
        <f>IF(最佳化斷筋點!O135="","",最佳化斷筋點!O135)</f>
        <v>2</v>
      </c>
      <c r="AN135" s="6">
        <f>IF(最佳化斷筋點!P135="","",最佳化斷筋點!P135)</f>
        <v>2</v>
      </c>
      <c r="AO135" s="6">
        <f>IF(最佳化斷筋點!Q135="","",最佳化斷筋點!Q135)</f>
        <v>2</v>
      </c>
      <c r="AP135" s="6">
        <f>IF(最佳化斷筋點!R135="","",最佳化斷筋點!R135)</f>
        <v>2</v>
      </c>
      <c r="AQ135" s="6">
        <f>IF(最佳化斷筋點!S135="","",最佳化斷筋點!S135)</f>
        <v>2</v>
      </c>
      <c r="AR135" s="6">
        <f>IF(最佳化斷筋點!T135="","",最佳化斷筋點!T135)</f>
        <v>2</v>
      </c>
      <c r="AS135" s="6">
        <f>IF(最佳化斷筋點!U135="","",最佳化斷筋點!U135)</f>
        <v>2</v>
      </c>
      <c r="AT135" s="6">
        <f>IF(最佳化斷筋點!V135="","",最佳化斷筋點!V135)</f>
        <v>2</v>
      </c>
      <c r="AU135" s="6">
        <f>IF(最佳化斷筋點!W135="","",最佳化斷筋點!W135)</f>
        <v>2</v>
      </c>
      <c r="AV135" s="6">
        <f>IF(最佳化斷筋點!X135="","",最佳化斷筋點!X135)</f>
        <v>2</v>
      </c>
      <c r="AX135" s="6" t="s">
        <v>50</v>
      </c>
      <c r="AY135" s="6">
        <v>2</v>
      </c>
      <c r="AZ135" s="6">
        <v>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</row>
    <row r="136" spans="4:71" x14ac:dyDescent="0.25">
      <c r="E136" s="6">
        <f t="shared" si="43"/>
        <v>0</v>
      </c>
      <c r="F136" s="6">
        <f t="shared" si="44"/>
        <v>0</v>
      </c>
      <c r="G136" s="6">
        <f t="shared" si="45"/>
        <v>0</v>
      </c>
      <c r="H136" s="6">
        <f t="shared" si="46"/>
        <v>0</v>
      </c>
      <c r="I136" s="6">
        <f t="shared" si="47"/>
        <v>0</v>
      </c>
      <c r="J136" s="6">
        <f t="shared" si="48"/>
        <v>0</v>
      </c>
      <c r="K136" s="6">
        <f t="shared" si="49"/>
        <v>0</v>
      </c>
      <c r="L136" s="6">
        <f t="shared" si="50"/>
        <v>0</v>
      </c>
      <c r="M136" s="6">
        <f t="shared" si="51"/>
        <v>0</v>
      </c>
      <c r="N136" s="6">
        <f t="shared" si="52"/>
        <v>0</v>
      </c>
      <c r="O136" s="6">
        <f t="shared" si="53"/>
        <v>0</v>
      </c>
      <c r="P136" s="6">
        <f t="shared" si="54"/>
        <v>0</v>
      </c>
      <c r="Q136" s="6">
        <f t="shared" si="55"/>
        <v>0</v>
      </c>
      <c r="R136" s="6">
        <f t="shared" si="56"/>
        <v>0</v>
      </c>
      <c r="S136" s="6">
        <f t="shared" si="57"/>
        <v>0</v>
      </c>
      <c r="T136" s="6">
        <f t="shared" si="58"/>
        <v>0</v>
      </c>
      <c r="U136" s="6">
        <f t="shared" si="59"/>
        <v>0</v>
      </c>
      <c r="V136" s="6">
        <f t="shared" si="60"/>
        <v>0</v>
      </c>
      <c r="W136" s="6">
        <f t="shared" si="61"/>
        <v>0</v>
      </c>
      <c r="X136" s="6">
        <f t="shared" si="62"/>
        <v>0</v>
      </c>
      <c r="Y136" s="6">
        <f t="shared" si="63"/>
        <v>0</v>
      </c>
      <c r="AA136" s="6" t="str">
        <f>IF(最佳化斷筋點!C136="","",最佳化斷筋點!C136)</f>
        <v/>
      </c>
      <c r="AB136" s="6" t="str">
        <f>IF(最佳化斷筋點!D136="","",最佳化斷筋點!D136)</f>
        <v/>
      </c>
      <c r="AC136" s="6" t="str">
        <f>IF(最佳化斷筋點!E136="","",最佳化斷筋點!E136)</f>
        <v/>
      </c>
      <c r="AD136" s="6" t="str">
        <f>IF(最佳化斷筋點!F136="","",最佳化斷筋點!F136)</f>
        <v/>
      </c>
      <c r="AE136" s="6" t="str">
        <f>IF(最佳化斷筋點!G136="","",最佳化斷筋點!G136)</f>
        <v/>
      </c>
      <c r="AF136" s="6" t="str">
        <f>IF(最佳化斷筋點!H136="","",最佳化斷筋點!H136)</f>
        <v/>
      </c>
      <c r="AG136" s="6" t="str">
        <f>IF(最佳化斷筋點!I136="","",最佳化斷筋點!I136)</f>
        <v/>
      </c>
      <c r="AH136" s="6" t="str">
        <f>IF(最佳化斷筋點!J136="","",最佳化斷筋點!J136)</f>
        <v/>
      </c>
      <c r="AI136" s="6" t="str">
        <f>IF(最佳化斷筋點!K136="","",最佳化斷筋點!K136)</f>
        <v/>
      </c>
      <c r="AJ136" s="6" t="str">
        <f>IF(最佳化斷筋點!L136="","",最佳化斷筋點!L136)</f>
        <v/>
      </c>
      <c r="AK136" s="6" t="str">
        <f>IF(最佳化斷筋點!M136="","",最佳化斷筋點!M136)</f>
        <v/>
      </c>
      <c r="AL136" s="6" t="str">
        <f>IF(最佳化斷筋點!N136="","",最佳化斷筋點!N136)</f>
        <v/>
      </c>
      <c r="AM136" s="6" t="str">
        <f>IF(最佳化斷筋點!O136="","",最佳化斷筋點!O136)</f>
        <v/>
      </c>
      <c r="AN136" s="6" t="str">
        <f>IF(最佳化斷筋點!P136="","",最佳化斷筋點!P136)</f>
        <v/>
      </c>
      <c r="AO136" s="6" t="str">
        <f>IF(最佳化斷筋點!Q136="","",最佳化斷筋點!Q136)</f>
        <v/>
      </c>
      <c r="AP136" s="6" t="str">
        <f>IF(最佳化斷筋點!R136="","",最佳化斷筋點!R136)</f>
        <v/>
      </c>
      <c r="AQ136" s="6" t="str">
        <f>IF(最佳化斷筋點!S136="","",最佳化斷筋點!S136)</f>
        <v/>
      </c>
      <c r="AR136" s="6" t="str">
        <f>IF(最佳化斷筋點!T136="","",最佳化斷筋點!T136)</f>
        <v/>
      </c>
      <c r="AS136" s="6" t="str">
        <f>IF(最佳化斷筋點!U136="","",最佳化斷筋點!U136)</f>
        <v/>
      </c>
      <c r="AT136" s="6" t="str">
        <f>IF(最佳化斷筋點!V136="","",最佳化斷筋點!V136)</f>
        <v/>
      </c>
      <c r="AU136" s="6" t="str">
        <f>IF(最佳化斷筋點!W136="","",最佳化斷筋點!W136)</f>
        <v/>
      </c>
      <c r="AV136" s="6" t="str">
        <f>IF(最佳化斷筋點!X136="","",最佳化斷筋點!X136)</f>
        <v/>
      </c>
    </row>
    <row r="137" spans="4:71" x14ac:dyDescent="0.25">
      <c r="D137" s="6" t="s">
        <v>51</v>
      </c>
      <c r="E137" s="6">
        <f t="shared" si="43"/>
        <v>0</v>
      </c>
      <c r="F137" s="6">
        <f t="shared" si="44"/>
        <v>0</v>
      </c>
      <c r="G137" s="6">
        <f t="shared" si="45"/>
        <v>0</v>
      </c>
      <c r="H137" s="6">
        <f t="shared" si="46"/>
        <v>0</v>
      </c>
      <c r="I137" s="6">
        <f t="shared" si="47"/>
        <v>0</v>
      </c>
      <c r="J137" s="6">
        <f t="shared" si="48"/>
        <v>0</v>
      </c>
      <c r="K137" s="6">
        <f t="shared" si="49"/>
        <v>0</v>
      </c>
      <c r="L137" s="6">
        <f t="shared" si="50"/>
        <v>0</v>
      </c>
      <c r="M137" s="6">
        <f t="shared" si="51"/>
        <v>0</v>
      </c>
      <c r="N137" s="6">
        <f t="shared" si="52"/>
        <v>0</v>
      </c>
      <c r="O137" s="6">
        <f t="shared" si="53"/>
        <v>0</v>
      </c>
      <c r="P137" s="6">
        <f t="shared" si="54"/>
        <v>0</v>
      </c>
      <c r="Q137" s="6">
        <f t="shared" si="55"/>
        <v>0</v>
      </c>
      <c r="R137" s="6">
        <f t="shared" si="56"/>
        <v>0</v>
      </c>
      <c r="S137" s="6">
        <f t="shared" si="57"/>
        <v>0</v>
      </c>
      <c r="T137" s="6">
        <f t="shared" si="58"/>
        <v>0</v>
      </c>
      <c r="U137" s="6">
        <f t="shared" si="59"/>
        <v>0</v>
      </c>
      <c r="V137" s="6">
        <f t="shared" si="60"/>
        <v>0</v>
      </c>
      <c r="W137" s="6">
        <f t="shared" si="61"/>
        <v>0</v>
      </c>
      <c r="X137" s="6">
        <f t="shared" si="62"/>
        <v>0</v>
      </c>
      <c r="Y137" s="6">
        <f t="shared" si="63"/>
        <v>0</v>
      </c>
      <c r="AA137" s="6" t="str">
        <f>IF(最佳化斷筋點!C137="","",最佳化斷筋點!C137)</f>
        <v>下層</v>
      </c>
      <c r="AB137" s="6">
        <f>IF(最佳化斷筋點!D137="","",最佳化斷筋點!D137)</f>
        <v>5</v>
      </c>
      <c r="AC137" s="6">
        <f>IF(最佳化斷筋點!E137="","",最佳化斷筋點!E137)</f>
        <v>5</v>
      </c>
      <c r="AD137" s="6">
        <f>IF(最佳化斷筋點!F137="","",最佳化斷筋點!F137)</f>
        <v>4</v>
      </c>
      <c r="AE137" s="6">
        <f>IF(最佳化斷筋點!G137="","",最佳化斷筋點!G137)</f>
        <v>4</v>
      </c>
      <c r="AF137" s="6">
        <f>IF(最佳化斷筋點!H137="","",最佳化斷筋點!H137)</f>
        <v>4</v>
      </c>
      <c r="AG137" s="6">
        <f>IF(最佳化斷筋點!I137="","",最佳化斷筋點!I137)</f>
        <v>5</v>
      </c>
      <c r="AH137" s="6">
        <f>IF(最佳化斷筋點!J137="","",最佳化斷筋點!J137)</f>
        <v>6</v>
      </c>
      <c r="AI137" s="6">
        <f>IF(最佳化斷筋點!K137="","",最佳化斷筋點!K137)</f>
        <v>6</v>
      </c>
      <c r="AJ137" s="6">
        <f>IF(最佳化斷筋點!L137="","",最佳化斷筋點!L137)</f>
        <v>6</v>
      </c>
      <c r="AK137" s="6">
        <f>IF(最佳化斷筋點!M137="","",最佳化斷筋點!M137)</f>
        <v>6</v>
      </c>
      <c r="AL137" s="6">
        <f>IF(最佳化斷筋點!N137="","",最佳化斷筋點!N137)</f>
        <v>6</v>
      </c>
      <c r="AM137" s="6">
        <f>IF(最佳化斷筋點!O137="","",最佳化斷筋點!O137)</f>
        <v>6</v>
      </c>
      <c r="AN137" s="6">
        <f>IF(最佳化斷筋點!P137="","",最佳化斷筋點!P137)</f>
        <v>6</v>
      </c>
      <c r="AO137" s="6">
        <f>IF(最佳化斷筋點!Q137="","",最佳化斷筋點!Q137)</f>
        <v>6</v>
      </c>
      <c r="AP137" s="6">
        <f>IF(最佳化斷筋點!R137="","",最佳化斷筋點!R137)</f>
        <v>6</v>
      </c>
      <c r="AQ137" s="6">
        <f>IF(最佳化斷筋點!S137="","",最佳化斷筋點!S137)</f>
        <v>5</v>
      </c>
      <c r="AR137" s="6">
        <f>IF(最佳化斷筋點!T137="","",最佳化斷筋點!T137)</f>
        <v>4</v>
      </c>
      <c r="AS137" s="6">
        <f>IF(最佳化斷筋點!U137="","",最佳化斷筋點!U137)</f>
        <v>4</v>
      </c>
      <c r="AT137" s="6">
        <f>IF(最佳化斷筋點!V137="","",最佳化斷筋點!V137)</f>
        <v>4</v>
      </c>
      <c r="AU137" s="6">
        <f>IF(最佳化斷筋點!W137="","",最佳化斷筋點!W137)</f>
        <v>5</v>
      </c>
      <c r="AV137" s="6">
        <f>IF(最佳化斷筋點!X137="","",最佳化斷筋點!X137)</f>
        <v>5</v>
      </c>
      <c r="AX137" s="6" t="s">
        <v>51</v>
      </c>
      <c r="AY137" s="6">
        <v>5</v>
      </c>
      <c r="AZ137" s="6">
        <v>5</v>
      </c>
      <c r="BA137" s="6">
        <v>4</v>
      </c>
      <c r="BB137" s="6">
        <v>4</v>
      </c>
      <c r="BC137" s="6">
        <v>4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5</v>
      </c>
      <c r="BO137" s="6">
        <v>4</v>
      </c>
      <c r="BP137" s="6">
        <v>4</v>
      </c>
      <c r="BQ137" s="6">
        <v>4</v>
      </c>
      <c r="BR137" s="6">
        <v>5</v>
      </c>
      <c r="BS137" s="6">
        <v>5</v>
      </c>
    </row>
    <row r="138" spans="4:71" x14ac:dyDescent="0.25">
      <c r="E138" s="6">
        <f t="shared" si="43"/>
        <v>0</v>
      </c>
      <c r="F138" s="6">
        <f t="shared" si="44"/>
        <v>0</v>
      </c>
      <c r="G138" s="6">
        <f t="shared" si="45"/>
        <v>0</v>
      </c>
      <c r="H138" s="6">
        <f t="shared" si="46"/>
        <v>0</v>
      </c>
      <c r="I138" s="6">
        <f t="shared" si="47"/>
        <v>0</v>
      </c>
      <c r="J138" s="6">
        <f t="shared" si="48"/>
        <v>0</v>
      </c>
      <c r="K138" s="6">
        <f t="shared" si="49"/>
        <v>0</v>
      </c>
      <c r="L138" s="6">
        <f t="shared" si="50"/>
        <v>0</v>
      </c>
      <c r="M138" s="6">
        <f t="shared" si="51"/>
        <v>0</v>
      </c>
      <c r="N138" s="6">
        <f t="shared" si="52"/>
        <v>0</v>
      </c>
      <c r="O138" s="6">
        <f t="shared" si="53"/>
        <v>0</v>
      </c>
      <c r="P138" s="6">
        <f t="shared" si="54"/>
        <v>0</v>
      </c>
      <c r="Q138" s="6">
        <f t="shared" si="55"/>
        <v>0</v>
      </c>
      <c r="R138" s="6">
        <f t="shared" si="56"/>
        <v>0</v>
      </c>
      <c r="S138" s="6">
        <f t="shared" si="57"/>
        <v>0</v>
      </c>
      <c r="T138" s="6">
        <f t="shared" si="58"/>
        <v>0</v>
      </c>
      <c r="U138" s="6">
        <f t="shared" si="59"/>
        <v>0</v>
      </c>
      <c r="V138" s="6">
        <f t="shared" si="60"/>
        <v>0</v>
      </c>
      <c r="W138" s="6">
        <f t="shared" si="61"/>
        <v>0</v>
      </c>
      <c r="X138" s="6">
        <f t="shared" si="62"/>
        <v>0</v>
      </c>
      <c r="Y138" s="6">
        <f t="shared" si="63"/>
        <v>0</v>
      </c>
      <c r="AA138" s="6" t="str">
        <f>IF(最佳化斷筋點!C138="","",最佳化斷筋點!C138)</f>
        <v/>
      </c>
      <c r="AB138" s="6" t="str">
        <f>IF(最佳化斷筋點!D138="","",最佳化斷筋點!D138)</f>
        <v/>
      </c>
      <c r="AC138" s="6" t="str">
        <f>IF(最佳化斷筋點!E138="","",最佳化斷筋點!E138)</f>
        <v/>
      </c>
      <c r="AD138" s="6" t="str">
        <f>IF(最佳化斷筋點!F138="","",最佳化斷筋點!F138)</f>
        <v/>
      </c>
      <c r="AE138" s="6" t="str">
        <f>IF(最佳化斷筋點!G138="","",最佳化斷筋點!G138)</f>
        <v/>
      </c>
      <c r="AF138" s="6" t="str">
        <f>IF(最佳化斷筋點!H138="","",最佳化斷筋點!H138)</f>
        <v/>
      </c>
      <c r="AG138" s="6" t="str">
        <f>IF(最佳化斷筋點!I138="","",最佳化斷筋點!I138)</f>
        <v/>
      </c>
      <c r="AH138" s="6" t="str">
        <f>IF(最佳化斷筋點!J138="","",最佳化斷筋點!J138)</f>
        <v/>
      </c>
      <c r="AI138" s="6" t="str">
        <f>IF(最佳化斷筋點!K138="","",最佳化斷筋點!K138)</f>
        <v/>
      </c>
      <c r="AJ138" s="6" t="str">
        <f>IF(最佳化斷筋點!L138="","",最佳化斷筋點!L138)</f>
        <v/>
      </c>
      <c r="AK138" s="6" t="str">
        <f>IF(最佳化斷筋點!M138="","",最佳化斷筋點!M138)</f>
        <v/>
      </c>
      <c r="AL138" s="6" t="str">
        <f>IF(最佳化斷筋點!N138="","",最佳化斷筋點!N138)</f>
        <v/>
      </c>
      <c r="AM138" s="6" t="str">
        <f>IF(最佳化斷筋點!O138="","",最佳化斷筋點!O138)</f>
        <v/>
      </c>
      <c r="AN138" s="6" t="str">
        <f>IF(最佳化斷筋點!P138="","",最佳化斷筋點!P138)</f>
        <v/>
      </c>
      <c r="AO138" s="6" t="str">
        <f>IF(最佳化斷筋點!Q138="","",最佳化斷筋點!Q138)</f>
        <v/>
      </c>
      <c r="AP138" s="6" t="str">
        <f>IF(最佳化斷筋點!R138="","",最佳化斷筋點!R138)</f>
        <v/>
      </c>
      <c r="AQ138" s="6" t="str">
        <f>IF(最佳化斷筋點!S138="","",最佳化斷筋點!S138)</f>
        <v/>
      </c>
      <c r="AR138" s="6" t="str">
        <f>IF(最佳化斷筋點!T138="","",最佳化斷筋點!T138)</f>
        <v/>
      </c>
      <c r="AS138" s="6" t="str">
        <f>IF(最佳化斷筋點!U138="","",最佳化斷筋點!U138)</f>
        <v/>
      </c>
      <c r="AT138" s="6" t="str">
        <f>IF(最佳化斷筋點!V138="","",最佳化斷筋點!V138)</f>
        <v/>
      </c>
      <c r="AU138" s="6" t="str">
        <f>IF(最佳化斷筋點!W138="","",最佳化斷筋點!W138)</f>
        <v/>
      </c>
      <c r="AV138" s="6" t="str">
        <f>IF(最佳化斷筋點!X138="","",最佳化斷筋點!X138)</f>
        <v/>
      </c>
    </row>
    <row r="139" spans="4:71" x14ac:dyDescent="0.25">
      <c r="D139" s="6" t="s">
        <v>50</v>
      </c>
      <c r="E139" s="6">
        <f t="shared" si="43"/>
        <v>0</v>
      </c>
      <c r="F139" s="6">
        <f t="shared" si="44"/>
        <v>0</v>
      </c>
      <c r="G139" s="6">
        <f t="shared" si="45"/>
        <v>0</v>
      </c>
      <c r="H139" s="6">
        <f t="shared" si="46"/>
        <v>0</v>
      </c>
      <c r="I139" s="6">
        <f t="shared" si="47"/>
        <v>0</v>
      </c>
      <c r="J139" s="6">
        <f t="shared" si="48"/>
        <v>0</v>
      </c>
      <c r="K139" s="6">
        <f t="shared" si="49"/>
        <v>0</v>
      </c>
      <c r="L139" s="6">
        <f t="shared" si="50"/>
        <v>0</v>
      </c>
      <c r="M139" s="6">
        <f t="shared" si="51"/>
        <v>0</v>
      </c>
      <c r="N139" s="6">
        <f t="shared" si="52"/>
        <v>0</v>
      </c>
      <c r="O139" s="6">
        <f t="shared" si="53"/>
        <v>0</v>
      </c>
      <c r="P139" s="6">
        <f t="shared" si="54"/>
        <v>0</v>
      </c>
      <c r="Q139" s="6">
        <f t="shared" si="55"/>
        <v>0</v>
      </c>
      <c r="R139" s="6">
        <f t="shared" si="56"/>
        <v>0</v>
      </c>
      <c r="S139" s="6">
        <f t="shared" si="57"/>
        <v>0</v>
      </c>
      <c r="T139" s="6">
        <f t="shared" si="58"/>
        <v>0</v>
      </c>
      <c r="U139" s="6">
        <f t="shared" si="59"/>
        <v>0</v>
      </c>
      <c r="V139" s="6">
        <f t="shared" si="60"/>
        <v>0</v>
      </c>
      <c r="W139" s="6">
        <f t="shared" si="61"/>
        <v>0</v>
      </c>
      <c r="X139" s="6">
        <f t="shared" si="62"/>
        <v>0</v>
      </c>
      <c r="Y139" s="6">
        <f t="shared" si="63"/>
        <v>0</v>
      </c>
      <c r="AA139" s="6" t="str">
        <f>IF(最佳化斷筋點!C139="","",最佳化斷筋點!C139)</f>
        <v>上層</v>
      </c>
      <c r="AB139" s="6">
        <f>IF(最佳化斷筋點!D139="","",最佳化斷筋點!D139)</f>
        <v>2</v>
      </c>
      <c r="AC139" s="6">
        <f>IF(最佳化斷筋點!E139="","",最佳化斷筋點!E139)</f>
        <v>2</v>
      </c>
      <c r="AD139" s="6">
        <f>IF(最佳化斷筋點!F139="","",最佳化斷筋點!F139)</f>
        <v>2</v>
      </c>
      <c r="AE139" s="6">
        <f>IF(最佳化斷筋點!G139="","",最佳化斷筋點!G139)</f>
        <v>2</v>
      </c>
      <c r="AF139" s="6">
        <f>IF(最佳化斷筋點!H139="","",最佳化斷筋點!H139)</f>
        <v>2</v>
      </c>
      <c r="AG139" s="6">
        <f>IF(最佳化斷筋點!I139="","",最佳化斷筋點!I139)</f>
        <v>2</v>
      </c>
      <c r="AH139" s="6">
        <f>IF(最佳化斷筋點!J139="","",最佳化斷筋點!J139)</f>
        <v>2</v>
      </c>
      <c r="AI139" s="6">
        <f>IF(最佳化斷筋點!K139="","",最佳化斷筋點!K139)</f>
        <v>2</v>
      </c>
      <c r="AJ139" s="6">
        <f>IF(最佳化斷筋點!L139="","",最佳化斷筋點!L139)</f>
        <v>2</v>
      </c>
      <c r="AK139" s="6">
        <f>IF(最佳化斷筋點!M139="","",最佳化斷筋點!M139)</f>
        <v>2</v>
      </c>
      <c r="AL139" s="6">
        <f>IF(最佳化斷筋點!N139="","",最佳化斷筋點!N139)</f>
        <v>2</v>
      </c>
      <c r="AM139" s="6">
        <f>IF(最佳化斷筋點!O139="","",最佳化斷筋點!O139)</f>
        <v>2</v>
      </c>
      <c r="AN139" s="6">
        <f>IF(最佳化斷筋點!P139="","",最佳化斷筋點!P139)</f>
        <v>2</v>
      </c>
      <c r="AO139" s="6">
        <f>IF(最佳化斷筋點!Q139="","",最佳化斷筋點!Q139)</f>
        <v>2</v>
      </c>
      <c r="AP139" s="6">
        <f>IF(最佳化斷筋點!R139="","",最佳化斷筋點!R139)</f>
        <v>2</v>
      </c>
      <c r="AQ139" s="6">
        <f>IF(最佳化斷筋點!S139="","",最佳化斷筋點!S139)</f>
        <v>2</v>
      </c>
      <c r="AR139" s="6">
        <f>IF(最佳化斷筋點!T139="","",最佳化斷筋點!T139)</f>
        <v>2</v>
      </c>
      <c r="AS139" s="6">
        <f>IF(最佳化斷筋點!U139="","",最佳化斷筋點!U139)</f>
        <v>2</v>
      </c>
      <c r="AT139" s="6">
        <f>IF(最佳化斷筋點!V139="","",最佳化斷筋點!V139)</f>
        <v>2</v>
      </c>
      <c r="AU139" s="6">
        <f>IF(最佳化斷筋點!W139="","",最佳化斷筋點!W139)</f>
        <v>2</v>
      </c>
      <c r="AV139" s="6">
        <f>IF(最佳化斷筋點!X139="","",最佳化斷筋點!X139)</f>
        <v>2</v>
      </c>
      <c r="AX139" s="6" t="s">
        <v>50</v>
      </c>
      <c r="AY139" s="6">
        <v>2</v>
      </c>
      <c r="AZ139" s="6">
        <v>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</row>
    <row r="140" spans="4:71" x14ac:dyDescent="0.25">
      <c r="E140" s="6">
        <f t="shared" si="43"/>
        <v>0</v>
      </c>
      <c r="F140" s="6">
        <f t="shared" si="44"/>
        <v>0</v>
      </c>
      <c r="G140" s="6">
        <f t="shared" si="45"/>
        <v>0</v>
      </c>
      <c r="H140" s="6">
        <f t="shared" si="46"/>
        <v>0</v>
      </c>
      <c r="I140" s="6">
        <f t="shared" si="47"/>
        <v>0</v>
      </c>
      <c r="J140" s="6">
        <f t="shared" si="48"/>
        <v>0</v>
      </c>
      <c r="K140" s="6">
        <f t="shared" si="49"/>
        <v>0</v>
      </c>
      <c r="L140" s="6">
        <f t="shared" si="50"/>
        <v>0</v>
      </c>
      <c r="M140" s="6">
        <f t="shared" si="51"/>
        <v>0</v>
      </c>
      <c r="N140" s="6">
        <f t="shared" si="52"/>
        <v>0</v>
      </c>
      <c r="O140" s="6">
        <f t="shared" si="53"/>
        <v>0</v>
      </c>
      <c r="P140" s="6">
        <f t="shared" si="54"/>
        <v>0</v>
      </c>
      <c r="Q140" s="6">
        <f t="shared" si="55"/>
        <v>0</v>
      </c>
      <c r="R140" s="6">
        <f t="shared" si="56"/>
        <v>0</v>
      </c>
      <c r="S140" s="6">
        <f t="shared" si="57"/>
        <v>0</v>
      </c>
      <c r="T140" s="6">
        <f t="shared" si="58"/>
        <v>0</v>
      </c>
      <c r="U140" s="6">
        <f t="shared" si="59"/>
        <v>0</v>
      </c>
      <c r="V140" s="6">
        <f t="shared" si="60"/>
        <v>0</v>
      </c>
      <c r="W140" s="6">
        <f t="shared" si="61"/>
        <v>0</v>
      </c>
      <c r="X140" s="6">
        <f t="shared" si="62"/>
        <v>0</v>
      </c>
      <c r="Y140" s="6">
        <f t="shared" si="63"/>
        <v>0</v>
      </c>
      <c r="AA140" s="6" t="str">
        <f>IF(最佳化斷筋點!C140="","",最佳化斷筋點!C140)</f>
        <v/>
      </c>
      <c r="AB140" s="6" t="str">
        <f>IF(最佳化斷筋點!D140="","",最佳化斷筋點!D140)</f>
        <v/>
      </c>
      <c r="AC140" s="6" t="str">
        <f>IF(最佳化斷筋點!E140="","",最佳化斷筋點!E140)</f>
        <v/>
      </c>
      <c r="AD140" s="6" t="str">
        <f>IF(最佳化斷筋點!F140="","",最佳化斷筋點!F140)</f>
        <v/>
      </c>
      <c r="AE140" s="6" t="str">
        <f>IF(最佳化斷筋點!G140="","",最佳化斷筋點!G140)</f>
        <v/>
      </c>
      <c r="AF140" s="6" t="str">
        <f>IF(最佳化斷筋點!H140="","",最佳化斷筋點!H140)</f>
        <v/>
      </c>
      <c r="AG140" s="6" t="str">
        <f>IF(最佳化斷筋點!I140="","",最佳化斷筋點!I140)</f>
        <v/>
      </c>
      <c r="AH140" s="6" t="str">
        <f>IF(最佳化斷筋點!J140="","",最佳化斷筋點!J140)</f>
        <v/>
      </c>
      <c r="AI140" s="6" t="str">
        <f>IF(最佳化斷筋點!K140="","",最佳化斷筋點!K140)</f>
        <v/>
      </c>
      <c r="AJ140" s="6" t="str">
        <f>IF(最佳化斷筋點!L140="","",最佳化斷筋點!L140)</f>
        <v/>
      </c>
      <c r="AK140" s="6" t="str">
        <f>IF(最佳化斷筋點!M140="","",最佳化斷筋點!M140)</f>
        <v/>
      </c>
      <c r="AL140" s="6" t="str">
        <f>IF(最佳化斷筋點!N140="","",最佳化斷筋點!N140)</f>
        <v/>
      </c>
      <c r="AM140" s="6" t="str">
        <f>IF(最佳化斷筋點!O140="","",最佳化斷筋點!O140)</f>
        <v/>
      </c>
      <c r="AN140" s="6" t="str">
        <f>IF(最佳化斷筋點!P140="","",最佳化斷筋點!P140)</f>
        <v/>
      </c>
      <c r="AO140" s="6" t="str">
        <f>IF(最佳化斷筋點!Q140="","",最佳化斷筋點!Q140)</f>
        <v/>
      </c>
      <c r="AP140" s="6" t="str">
        <f>IF(最佳化斷筋點!R140="","",最佳化斷筋點!R140)</f>
        <v/>
      </c>
      <c r="AQ140" s="6" t="str">
        <f>IF(最佳化斷筋點!S140="","",最佳化斷筋點!S140)</f>
        <v/>
      </c>
      <c r="AR140" s="6" t="str">
        <f>IF(最佳化斷筋點!T140="","",最佳化斷筋點!T140)</f>
        <v/>
      </c>
      <c r="AS140" s="6" t="str">
        <f>IF(最佳化斷筋點!U140="","",最佳化斷筋點!U140)</f>
        <v/>
      </c>
      <c r="AT140" s="6" t="str">
        <f>IF(最佳化斷筋點!V140="","",最佳化斷筋點!V140)</f>
        <v/>
      </c>
      <c r="AU140" s="6" t="str">
        <f>IF(最佳化斷筋點!W140="","",最佳化斷筋點!W140)</f>
        <v/>
      </c>
      <c r="AV140" s="6" t="str">
        <f>IF(最佳化斷筋點!X140="","",最佳化斷筋點!X140)</f>
        <v/>
      </c>
    </row>
    <row r="141" spans="4:71" x14ac:dyDescent="0.25">
      <c r="D141" s="6" t="s">
        <v>51</v>
      </c>
      <c r="E141" s="6">
        <f t="shared" si="43"/>
        <v>0</v>
      </c>
      <c r="F141" s="6">
        <f t="shared" si="44"/>
        <v>0</v>
      </c>
      <c r="G141" s="6">
        <f t="shared" si="45"/>
        <v>0</v>
      </c>
      <c r="H141" s="6">
        <f t="shared" si="46"/>
        <v>0</v>
      </c>
      <c r="I141" s="6">
        <f t="shared" si="47"/>
        <v>0</v>
      </c>
      <c r="J141" s="6">
        <f t="shared" si="48"/>
        <v>0</v>
      </c>
      <c r="K141" s="6">
        <f t="shared" si="49"/>
        <v>0</v>
      </c>
      <c r="L141" s="6">
        <f t="shared" si="50"/>
        <v>0</v>
      </c>
      <c r="M141" s="6">
        <f t="shared" si="51"/>
        <v>0</v>
      </c>
      <c r="N141" s="6">
        <f t="shared" si="52"/>
        <v>0</v>
      </c>
      <c r="O141" s="6">
        <f t="shared" si="53"/>
        <v>0</v>
      </c>
      <c r="P141" s="6">
        <f t="shared" si="54"/>
        <v>0</v>
      </c>
      <c r="Q141" s="6">
        <f t="shared" si="55"/>
        <v>0</v>
      </c>
      <c r="R141" s="6">
        <f t="shared" si="56"/>
        <v>0</v>
      </c>
      <c r="S141" s="6">
        <f t="shared" si="57"/>
        <v>0</v>
      </c>
      <c r="T141" s="6">
        <f t="shared" si="58"/>
        <v>0</v>
      </c>
      <c r="U141" s="6">
        <f t="shared" si="59"/>
        <v>0</v>
      </c>
      <c r="V141" s="6">
        <f t="shared" si="60"/>
        <v>0</v>
      </c>
      <c r="W141" s="6">
        <f t="shared" si="61"/>
        <v>0</v>
      </c>
      <c r="X141" s="6">
        <f t="shared" si="62"/>
        <v>0</v>
      </c>
      <c r="Y141" s="6">
        <f t="shared" si="63"/>
        <v>0</v>
      </c>
      <c r="AA141" s="6" t="str">
        <f>IF(最佳化斷筋點!C141="","",最佳化斷筋點!C141)</f>
        <v>下層</v>
      </c>
      <c r="AB141" s="6">
        <f>IF(最佳化斷筋點!D141="","",最佳化斷筋點!D141)</f>
        <v>9</v>
      </c>
      <c r="AC141" s="6">
        <f>IF(最佳化斷筋點!E141="","",最佳化斷筋點!E141)</f>
        <v>9</v>
      </c>
      <c r="AD141" s="6">
        <f>IF(最佳化斷筋點!F141="","",最佳化斷筋點!F141)</f>
        <v>8</v>
      </c>
      <c r="AE141" s="6">
        <f>IF(最佳化斷筋點!G141="","",最佳化斷筋點!G141)</f>
        <v>7</v>
      </c>
      <c r="AF141" s="6">
        <f>IF(最佳化斷筋點!H141="","",最佳化斷筋點!H141)</f>
        <v>8</v>
      </c>
      <c r="AG141" s="6">
        <f>IF(最佳化斷筋點!I141="","",最佳化斷筋點!I141)</f>
        <v>9</v>
      </c>
      <c r="AH141" s="6">
        <f>IF(最佳化斷筋點!J141="","",最佳化斷筋點!J141)</f>
        <v>10</v>
      </c>
      <c r="AI141" s="6">
        <f>IF(最佳化斷筋點!K141="","",最佳化斷筋點!K141)</f>
        <v>11</v>
      </c>
      <c r="AJ141" s="6">
        <f>IF(最佳化斷筋點!L141="","",最佳化斷筋點!L141)</f>
        <v>11</v>
      </c>
      <c r="AK141" s="6">
        <f>IF(最佳化斷筋點!M141="","",最佳化斷筋點!M141)</f>
        <v>11</v>
      </c>
      <c r="AL141" s="6">
        <f>IF(最佳化斷筋點!N141="","",最佳化斷筋點!N141)</f>
        <v>11</v>
      </c>
      <c r="AM141" s="6">
        <f>IF(最佳化斷筋點!O141="","",最佳化斷筋點!O141)</f>
        <v>11</v>
      </c>
      <c r="AN141" s="6">
        <f>IF(最佳化斷筋點!P141="","",最佳化斷筋點!P141)</f>
        <v>11</v>
      </c>
      <c r="AO141" s="6">
        <f>IF(最佳化斷筋點!Q141="","",最佳化斷筋點!Q141)</f>
        <v>11</v>
      </c>
      <c r="AP141" s="6">
        <f>IF(最佳化斷筋點!R141="","",最佳化斷筋點!R141)</f>
        <v>10</v>
      </c>
      <c r="AQ141" s="6">
        <f>IF(最佳化斷筋點!S141="","",最佳化斷筋點!S141)</f>
        <v>9</v>
      </c>
      <c r="AR141" s="6">
        <f>IF(最佳化斷筋點!T141="","",最佳化斷筋點!T141)</f>
        <v>8</v>
      </c>
      <c r="AS141" s="6">
        <f>IF(最佳化斷筋點!U141="","",最佳化斷筋點!U141)</f>
        <v>6</v>
      </c>
      <c r="AT141" s="6">
        <f>IF(最佳化斷筋點!V141="","",最佳化斷筋點!V141)</f>
        <v>7</v>
      </c>
      <c r="AU141" s="6">
        <f>IF(最佳化斷筋點!W141="","",最佳化斷筋點!W141)</f>
        <v>8</v>
      </c>
      <c r="AV141" s="6">
        <f>IF(最佳化斷筋點!X141="","",最佳化斷筋點!X141)</f>
        <v>8</v>
      </c>
      <c r="AX141" s="6" t="s">
        <v>51</v>
      </c>
      <c r="AY141" s="6">
        <v>9</v>
      </c>
      <c r="AZ141" s="6">
        <v>9</v>
      </c>
      <c r="BA141" s="6">
        <v>8</v>
      </c>
      <c r="BB141" s="6">
        <v>7</v>
      </c>
      <c r="BC141" s="6">
        <v>8</v>
      </c>
      <c r="BD141" s="6">
        <v>9</v>
      </c>
      <c r="BE141" s="6">
        <v>10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10</v>
      </c>
      <c r="BN141" s="6">
        <v>9</v>
      </c>
      <c r="BO141" s="6">
        <v>8</v>
      </c>
      <c r="BP141" s="6">
        <v>6</v>
      </c>
      <c r="BQ141" s="6">
        <v>7</v>
      </c>
      <c r="BR141" s="6">
        <v>8</v>
      </c>
      <c r="BS141" s="6">
        <v>8</v>
      </c>
    </row>
    <row r="142" spans="4:71" x14ac:dyDescent="0.25">
      <c r="E142" s="6">
        <f t="shared" si="43"/>
        <v>0</v>
      </c>
      <c r="F142" s="6">
        <f t="shared" si="44"/>
        <v>0</v>
      </c>
      <c r="G142" s="6">
        <f t="shared" si="45"/>
        <v>0</v>
      </c>
      <c r="H142" s="6">
        <f t="shared" si="46"/>
        <v>0</v>
      </c>
      <c r="I142" s="6">
        <f t="shared" si="47"/>
        <v>0</v>
      </c>
      <c r="J142" s="6">
        <f t="shared" si="48"/>
        <v>0</v>
      </c>
      <c r="K142" s="6">
        <f t="shared" si="49"/>
        <v>0</v>
      </c>
      <c r="L142" s="6">
        <f t="shared" si="50"/>
        <v>0</v>
      </c>
      <c r="M142" s="6">
        <f t="shared" si="51"/>
        <v>0</v>
      </c>
      <c r="N142" s="6">
        <f t="shared" si="52"/>
        <v>0</v>
      </c>
      <c r="O142" s="6">
        <f t="shared" si="53"/>
        <v>0</v>
      </c>
      <c r="P142" s="6">
        <f t="shared" si="54"/>
        <v>0</v>
      </c>
      <c r="Q142" s="6">
        <f t="shared" si="55"/>
        <v>0</v>
      </c>
      <c r="R142" s="6">
        <f t="shared" si="56"/>
        <v>0</v>
      </c>
      <c r="S142" s="6">
        <f t="shared" si="57"/>
        <v>0</v>
      </c>
      <c r="T142" s="6">
        <f t="shared" si="58"/>
        <v>0</v>
      </c>
      <c r="U142" s="6">
        <f t="shared" si="59"/>
        <v>0</v>
      </c>
      <c r="V142" s="6">
        <f t="shared" si="60"/>
        <v>0</v>
      </c>
      <c r="W142" s="6">
        <f t="shared" si="61"/>
        <v>0</v>
      </c>
      <c r="X142" s="6">
        <f t="shared" si="62"/>
        <v>0</v>
      </c>
      <c r="Y142" s="6">
        <f t="shared" si="63"/>
        <v>0</v>
      </c>
      <c r="AA142" s="6" t="str">
        <f>IF(最佳化斷筋點!C142="","",最佳化斷筋點!C142)</f>
        <v/>
      </c>
      <c r="AB142" s="6" t="str">
        <f>IF(最佳化斷筋點!D142="","",最佳化斷筋點!D142)</f>
        <v/>
      </c>
      <c r="AC142" s="6" t="str">
        <f>IF(最佳化斷筋點!E142="","",最佳化斷筋點!E142)</f>
        <v/>
      </c>
      <c r="AD142" s="6" t="str">
        <f>IF(最佳化斷筋點!F142="","",最佳化斷筋點!F142)</f>
        <v/>
      </c>
      <c r="AE142" s="6" t="str">
        <f>IF(最佳化斷筋點!G142="","",最佳化斷筋點!G142)</f>
        <v/>
      </c>
      <c r="AF142" s="6" t="str">
        <f>IF(最佳化斷筋點!H142="","",最佳化斷筋點!H142)</f>
        <v/>
      </c>
      <c r="AG142" s="6" t="str">
        <f>IF(最佳化斷筋點!I142="","",最佳化斷筋點!I142)</f>
        <v/>
      </c>
      <c r="AH142" s="6" t="str">
        <f>IF(最佳化斷筋點!J142="","",最佳化斷筋點!J142)</f>
        <v/>
      </c>
      <c r="AI142" s="6" t="str">
        <f>IF(最佳化斷筋點!K142="","",最佳化斷筋點!K142)</f>
        <v/>
      </c>
      <c r="AJ142" s="6" t="str">
        <f>IF(最佳化斷筋點!L142="","",最佳化斷筋點!L142)</f>
        <v/>
      </c>
      <c r="AK142" s="6" t="str">
        <f>IF(最佳化斷筋點!M142="","",最佳化斷筋點!M142)</f>
        <v/>
      </c>
      <c r="AL142" s="6" t="str">
        <f>IF(最佳化斷筋點!N142="","",最佳化斷筋點!N142)</f>
        <v/>
      </c>
      <c r="AM142" s="6" t="str">
        <f>IF(最佳化斷筋點!O142="","",最佳化斷筋點!O142)</f>
        <v/>
      </c>
      <c r="AN142" s="6" t="str">
        <f>IF(最佳化斷筋點!P142="","",最佳化斷筋點!P142)</f>
        <v/>
      </c>
      <c r="AO142" s="6" t="str">
        <f>IF(最佳化斷筋點!Q142="","",最佳化斷筋點!Q142)</f>
        <v/>
      </c>
      <c r="AP142" s="6" t="str">
        <f>IF(最佳化斷筋點!R142="","",最佳化斷筋點!R142)</f>
        <v/>
      </c>
      <c r="AQ142" s="6" t="str">
        <f>IF(最佳化斷筋點!S142="","",最佳化斷筋點!S142)</f>
        <v/>
      </c>
      <c r="AR142" s="6" t="str">
        <f>IF(最佳化斷筋點!T142="","",最佳化斷筋點!T142)</f>
        <v/>
      </c>
      <c r="AS142" s="6" t="str">
        <f>IF(最佳化斷筋點!U142="","",最佳化斷筋點!U142)</f>
        <v/>
      </c>
      <c r="AT142" s="6" t="str">
        <f>IF(最佳化斷筋點!V142="","",最佳化斷筋點!V142)</f>
        <v/>
      </c>
      <c r="AU142" s="6" t="str">
        <f>IF(最佳化斷筋點!W142="","",最佳化斷筋點!W142)</f>
        <v/>
      </c>
      <c r="AV142" s="6" t="str">
        <f>IF(最佳化斷筋點!X142="","",最佳化斷筋點!X142)</f>
        <v/>
      </c>
    </row>
    <row r="143" spans="4:71" x14ac:dyDescent="0.25">
      <c r="D143" s="6" t="s">
        <v>50</v>
      </c>
      <c r="E143" s="6">
        <f t="shared" si="43"/>
        <v>0</v>
      </c>
      <c r="F143" s="6">
        <f t="shared" si="44"/>
        <v>0</v>
      </c>
      <c r="G143" s="6">
        <f t="shared" si="45"/>
        <v>0</v>
      </c>
      <c r="H143" s="6">
        <f t="shared" si="46"/>
        <v>0</v>
      </c>
      <c r="I143" s="6">
        <f t="shared" si="47"/>
        <v>0</v>
      </c>
      <c r="J143" s="6">
        <f t="shared" si="48"/>
        <v>0</v>
      </c>
      <c r="K143" s="6">
        <f t="shared" si="49"/>
        <v>0</v>
      </c>
      <c r="L143" s="6">
        <f t="shared" si="50"/>
        <v>0</v>
      </c>
      <c r="M143" s="6">
        <f t="shared" si="51"/>
        <v>0</v>
      </c>
      <c r="N143" s="6">
        <f t="shared" si="52"/>
        <v>0</v>
      </c>
      <c r="O143" s="6">
        <f t="shared" si="53"/>
        <v>0</v>
      </c>
      <c r="P143" s="6">
        <f t="shared" si="54"/>
        <v>0</v>
      </c>
      <c r="Q143" s="6">
        <f t="shared" si="55"/>
        <v>0</v>
      </c>
      <c r="R143" s="6">
        <f t="shared" si="56"/>
        <v>0</v>
      </c>
      <c r="S143" s="6">
        <f t="shared" si="57"/>
        <v>0</v>
      </c>
      <c r="T143" s="6">
        <f t="shared" si="58"/>
        <v>0</v>
      </c>
      <c r="U143" s="6">
        <f t="shared" si="59"/>
        <v>0</v>
      </c>
      <c r="V143" s="6">
        <f t="shared" si="60"/>
        <v>0</v>
      </c>
      <c r="W143" s="6">
        <f t="shared" si="61"/>
        <v>0</v>
      </c>
      <c r="X143" s="6">
        <f t="shared" si="62"/>
        <v>0</v>
      </c>
      <c r="Y143" s="6">
        <f t="shared" si="63"/>
        <v>0</v>
      </c>
      <c r="AA143" s="6" t="str">
        <f>IF(最佳化斷筋點!C143="","",最佳化斷筋點!C143)</f>
        <v>上層</v>
      </c>
      <c r="AB143" s="6">
        <f>IF(最佳化斷筋點!D143="","",最佳化斷筋點!D143)</f>
        <v>2</v>
      </c>
      <c r="AC143" s="6">
        <f>IF(最佳化斷筋點!E143="","",最佳化斷筋點!E143)</f>
        <v>2</v>
      </c>
      <c r="AD143" s="6">
        <f>IF(最佳化斷筋點!F143="","",最佳化斷筋點!F143)</f>
        <v>2</v>
      </c>
      <c r="AE143" s="6">
        <f>IF(最佳化斷筋點!G143="","",最佳化斷筋點!G143)</f>
        <v>2</v>
      </c>
      <c r="AF143" s="6">
        <f>IF(最佳化斷筋點!H143="","",最佳化斷筋點!H143)</f>
        <v>2</v>
      </c>
      <c r="AG143" s="6">
        <f>IF(最佳化斷筋點!I143="","",最佳化斷筋點!I143)</f>
        <v>2</v>
      </c>
      <c r="AH143" s="6">
        <f>IF(最佳化斷筋點!J143="","",最佳化斷筋點!J143)</f>
        <v>2</v>
      </c>
      <c r="AI143" s="6">
        <f>IF(最佳化斷筋點!K143="","",最佳化斷筋點!K143)</f>
        <v>2</v>
      </c>
      <c r="AJ143" s="6">
        <f>IF(最佳化斷筋點!L143="","",最佳化斷筋點!L143)</f>
        <v>2</v>
      </c>
      <c r="AK143" s="6">
        <f>IF(最佳化斷筋點!M143="","",最佳化斷筋點!M143)</f>
        <v>2</v>
      </c>
      <c r="AL143" s="6">
        <f>IF(最佳化斷筋點!N143="","",最佳化斷筋點!N143)</f>
        <v>2</v>
      </c>
      <c r="AM143" s="6">
        <f>IF(最佳化斷筋點!O143="","",最佳化斷筋點!O143)</f>
        <v>2</v>
      </c>
      <c r="AN143" s="6">
        <f>IF(最佳化斷筋點!P143="","",最佳化斷筋點!P143)</f>
        <v>2</v>
      </c>
      <c r="AO143" s="6">
        <f>IF(最佳化斷筋點!Q143="","",最佳化斷筋點!Q143)</f>
        <v>2</v>
      </c>
      <c r="AP143" s="6">
        <f>IF(最佳化斷筋點!R143="","",最佳化斷筋點!R143)</f>
        <v>2</v>
      </c>
      <c r="AQ143" s="6">
        <f>IF(最佳化斷筋點!S143="","",最佳化斷筋點!S143)</f>
        <v>2</v>
      </c>
      <c r="AR143" s="6">
        <f>IF(最佳化斷筋點!T143="","",最佳化斷筋點!T143)</f>
        <v>2</v>
      </c>
      <c r="AS143" s="6">
        <f>IF(最佳化斷筋點!U143="","",最佳化斷筋點!U143)</f>
        <v>2</v>
      </c>
      <c r="AT143" s="6">
        <f>IF(最佳化斷筋點!V143="","",最佳化斷筋點!V143)</f>
        <v>2</v>
      </c>
      <c r="AU143" s="6">
        <f>IF(最佳化斷筋點!W143="","",最佳化斷筋點!W143)</f>
        <v>2</v>
      </c>
      <c r="AV143" s="6">
        <f>IF(最佳化斷筋點!X143="","",最佳化斷筋點!X143)</f>
        <v>2</v>
      </c>
      <c r="AX143" s="6" t="s">
        <v>50</v>
      </c>
      <c r="AY143" s="6">
        <v>2</v>
      </c>
      <c r="AZ143" s="6">
        <v>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</row>
    <row r="144" spans="4:71" x14ac:dyDescent="0.25">
      <c r="E144" s="6">
        <f t="shared" si="43"/>
        <v>0</v>
      </c>
      <c r="F144" s="6">
        <f t="shared" si="44"/>
        <v>0</v>
      </c>
      <c r="G144" s="6">
        <f t="shared" si="45"/>
        <v>0</v>
      </c>
      <c r="H144" s="6">
        <f t="shared" si="46"/>
        <v>0</v>
      </c>
      <c r="I144" s="6">
        <f t="shared" si="47"/>
        <v>0</v>
      </c>
      <c r="J144" s="6">
        <f t="shared" si="48"/>
        <v>0</v>
      </c>
      <c r="K144" s="6">
        <f t="shared" si="49"/>
        <v>0</v>
      </c>
      <c r="L144" s="6">
        <f t="shared" si="50"/>
        <v>0</v>
      </c>
      <c r="M144" s="6">
        <f t="shared" si="51"/>
        <v>0</v>
      </c>
      <c r="N144" s="6">
        <f t="shared" si="52"/>
        <v>0</v>
      </c>
      <c r="O144" s="6">
        <f t="shared" si="53"/>
        <v>0</v>
      </c>
      <c r="P144" s="6">
        <f t="shared" si="54"/>
        <v>0</v>
      </c>
      <c r="Q144" s="6">
        <f t="shared" si="55"/>
        <v>0</v>
      </c>
      <c r="R144" s="6">
        <f t="shared" si="56"/>
        <v>0</v>
      </c>
      <c r="S144" s="6">
        <f t="shared" si="57"/>
        <v>0</v>
      </c>
      <c r="T144" s="6">
        <f t="shared" si="58"/>
        <v>0</v>
      </c>
      <c r="U144" s="6">
        <f t="shared" si="59"/>
        <v>0</v>
      </c>
      <c r="V144" s="6">
        <f t="shared" si="60"/>
        <v>0</v>
      </c>
      <c r="W144" s="6">
        <f t="shared" si="61"/>
        <v>0</v>
      </c>
      <c r="X144" s="6">
        <f t="shared" si="62"/>
        <v>0</v>
      </c>
      <c r="Y144" s="6">
        <f t="shared" si="63"/>
        <v>0</v>
      </c>
      <c r="AA144" s="6" t="str">
        <f>IF(最佳化斷筋點!C144="","",最佳化斷筋點!C144)</f>
        <v/>
      </c>
      <c r="AB144" s="6" t="str">
        <f>IF(最佳化斷筋點!D144="","",最佳化斷筋點!D144)</f>
        <v/>
      </c>
      <c r="AC144" s="6" t="str">
        <f>IF(最佳化斷筋點!E144="","",最佳化斷筋點!E144)</f>
        <v/>
      </c>
      <c r="AD144" s="6" t="str">
        <f>IF(最佳化斷筋點!F144="","",最佳化斷筋點!F144)</f>
        <v/>
      </c>
      <c r="AE144" s="6" t="str">
        <f>IF(最佳化斷筋點!G144="","",最佳化斷筋點!G144)</f>
        <v/>
      </c>
      <c r="AF144" s="6" t="str">
        <f>IF(最佳化斷筋點!H144="","",最佳化斷筋點!H144)</f>
        <v/>
      </c>
      <c r="AG144" s="6" t="str">
        <f>IF(最佳化斷筋點!I144="","",最佳化斷筋點!I144)</f>
        <v/>
      </c>
      <c r="AH144" s="6" t="str">
        <f>IF(最佳化斷筋點!J144="","",最佳化斷筋點!J144)</f>
        <v/>
      </c>
      <c r="AI144" s="6" t="str">
        <f>IF(最佳化斷筋點!K144="","",最佳化斷筋點!K144)</f>
        <v/>
      </c>
      <c r="AJ144" s="6" t="str">
        <f>IF(最佳化斷筋點!L144="","",最佳化斷筋點!L144)</f>
        <v/>
      </c>
      <c r="AK144" s="6" t="str">
        <f>IF(最佳化斷筋點!M144="","",最佳化斷筋點!M144)</f>
        <v/>
      </c>
      <c r="AL144" s="6" t="str">
        <f>IF(最佳化斷筋點!N144="","",最佳化斷筋點!N144)</f>
        <v/>
      </c>
      <c r="AM144" s="6" t="str">
        <f>IF(最佳化斷筋點!O144="","",最佳化斷筋點!O144)</f>
        <v/>
      </c>
      <c r="AN144" s="6" t="str">
        <f>IF(最佳化斷筋點!P144="","",最佳化斷筋點!P144)</f>
        <v/>
      </c>
      <c r="AO144" s="6" t="str">
        <f>IF(最佳化斷筋點!Q144="","",最佳化斷筋點!Q144)</f>
        <v/>
      </c>
      <c r="AP144" s="6" t="str">
        <f>IF(最佳化斷筋點!R144="","",最佳化斷筋點!R144)</f>
        <v/>
      </c>
      <c r="AQ144" s="6" t="str">
        <f>IF(最佳化斷筋點!S144="","",最佳化斷筋點!S144)</f>
        <v/>
      </c>
      <c r="AR144" s="6" t="str">
        <f>IF(最佳化斷筋點!T144="","",最佳化斷筋點!T144)</f>
        <v/>
      </c>
      <c r="AS144" s="6" t="str">
        <f>IF(最佳化斷筋點!U144="","",最佳化斷筋點!U144)</f>
        <v/>
      </c>
      <c r="AT144" s="6" t="str">
        <f>IF(最佳化斷筋點!V144="","",最佳化斷筋點!V144)</f>
        <v/>
      </c>
      <c r="AU144" s="6" t="str">
        <f>IF(最佳化斷筋點!W144="","",最佳化斷筋點!W144)</f>
        <v/>
      </c>
      <c r="AV144" s="6" t="str">
        <f>IF(最佳化斷筋點!X144="","",最佳化斷筋點!X144)</f>
        <v/>
      </c>
    </row>
    <row r="145" spans="4:71" x14ac:dyDescent="0.25">
      <c r="D145" s="6" t="s">
        <v>51</v>
      </c>
      <c r="E145" s="6">
        <f t="shared" si="43"/>
        <v>0</v>
      </c>
      <c r="F145" s="6">
        <f t="shared" si="44"/>
        <v>0</v>
      </c>
      <c r="G145" s="6">
        <f t="shared" si="45"/>
        <v>0</v>
      </c>
      <c r="H145" s="6">
        <f t="shared" si="46"/>
        <v>0</v>
      </c>
      <c r="I145" s="6">
        <f t="shared" si="47"/>
        <v>0</v>
      </c>
      <c r="J145" s="6">
        <f t="shared" si="48"/>
        <v>0</v>
      </c>
      <c r="K145" s="6">
        <f t="shared" si="49"/>
        <v>0</v>
      </c>
      <c r="L145" s="6">
        <f t="shared" si="50"/>
        <v>0</v>
      </c>
      <c r="M145" s="6">
        <f t="shared" si="51"/>
        <v>0</v>
      </c>
      <c r="N145" s="6">
        <f t="shared" si="52"/>
        <v>0</v>
      </c>
      <c r="O145" s="6">
        <f t="shared" si="53"/>
        <v>0</v>
      </c>
      <c r="P145" s="6">
        <f t="shared" si="54"/>
        <v>0</v>
      </c>
      <c r="Q145" s="6">
        <f t="shared" si="55"/>
        <v>0</v>
      </c>
      <c r="R145" s="6">
        <f t="shared" si="56"/>
        <v>0</v>
      </c>
      <c r="S145" s="6">
        <f t="shared" si="57"/>
        <v>0</v>
      </c>
      <c r="T145" s="6">
        <f t="shared" si="58"/>
        <v>0</v>
      </c>
      <c r="U145" s="6">
        <f t="shared" si="59"/>
        <v>0</v>
      </c>
      <c r="V145" s="6">
        <f t="shared" si="60"/>
        <v>0</v>
      </c>
      <c r="W145" s="6">
        <f t="shared" si="61"/>
        <v>0</v>
      </c>
      <c r="X145" s="6">
        <f t="shared" si="62"/>
        <v>0</v>
      </c>
      <c r="Y145" s="6">
        <f t="shared" si="63"/>
        <v>0</v>
      </c>
      <c r="AA145" s="6" t="str">
        <f>IF(最佳化斷筋點!C145="","",最佳化斷筋點!C145)</f>
        <v>下層</v>
      </c>
      <c r="AB145" s="6">
        <f>IF(最佳化斷筋點!D145="","",最佳化斷筋點!D145)</f>
        <v>3</v>
      </c>
      <c r="AC145" s="6">
        <f>IF(最佳化斷筋點!E145="","",最佳化斷筋點!E145)</f>
        <v>3</v>
      </c>
      <c r="AD145" s="6">
        <f>IF(最佳化斷筋點!F145="","",最佳化斷筋點!F145)</f>
        <v>3</v>
      </c>
      <c r="AE145" s="6">
        <f>IF(最佳化斷筋點!G145="","",最佳化斷筋點!G145)</f>
        <v>3</v>
      </c>
      <c r="AF145" s="6">
        <f>IF(最佳化斷筋點!H145="","",最佳化斷筋點!H145)</f>
        <v>2</v>
      </c>
      <c r="AG145" s="6">
        <f>IF(最佳化斷筋點!I145="","",最佳化斷筋點!I145)</f>
        <v>3</v>
      </c>
      <c r="AH145" s="6">
        <f>IF(最佳化斷筋點!J145="","",最佳化斷筋點!J145)</f>
        <v>3</v>
      </c>
      <c r="AI145" s="6">
        <f>IF(最佳化斷筋點!K145="","",最佳化斷筋點!K145)</f>
        <v>3</v>
      </c>
      <c r="AJ145" s="6">
        <f>IF(最佳化斷筋點!L145="","",最佳化斷筋點!L145)</f>
        <v>3</v>
      </c>
      <c r="AK145" s="6">
        <f>IF(最佳化斷筋點!M145="","",最佳化斷筋點!M145)</f>
        <v>3</v>
      </c>
      <c r="AL145" s="6">
        <f>IF(最佳化斷筋點!N145="","",最佳化斷筋點!N145)</f>
        <v>3</v>
      </c>
      <c r="AM145" s="6">
        <f>IF(最佳化斷筋點!O145="","",最佳化斷筋點!O145)</f>
        <v>3</v>
      </c>
      <c r="AN145" s="6">
        <f>IF(最佳化斷筋點!P145="","",最佳化斷筋點!P145)</f>
        <v>3</v>
      </c>
      <c r="AO145" s="6">
        <f>IF(最佳化斷筋點!Q145="","",最佳化斷筋點!Q145)</f>
        <v>3</v>
      </c>
      <c r="AP145" s="6">
        <f>IF(最佳化斷筋點!R145="","",最佳化斷筋點!R145)</f>
        <v>3</v>
      </c>
      <c r="AQ145" s="6">
        <f>IF(最佳化斷筋點!S145="","",最佳化斷筋點!S145)</f>
        <v>3</v>
      </c>
      <c r="AR145" s="6">
        <f>IF(最佳化斷筋點!T145="","",最佳化斷筋點!T145)</f>
        <v>2</v>
      </c>
      <c r="AS145" s="6">
        <f>IF(最佳化斷筋點!U145="","",最佳化斷筋點!U145)</f>
        <v>3</v>
      </c>
      <c r="AT145" s="6">
        <f>IF(最佳化斷筋點!V145="","",最佳化斷筋點!V145)</f>
        <v>3</v>
      </c>
      <c r="AU145" s="6">
        <f>IF(最佳化斷筋點!W145="","",最佳化斷筋點!W145)</f>
        <v>3</v>
      </c>
      <c r="AV145" s="6">
        <f>IF(最佳化斷筋點!X145="","",最佳化斷筋點!X145)</f>
        <v>3</v>
      </c>
      <c r="AX145" s="6" t="s">
        <v>51</v>
      </c>
      <c r="AY145" s="6">
        <v>3</v>
      </c>
      <c r="AZ145" s="6">
        <v>3</v>
      </c>
      <c r="BA145" s="6">
        <v>3</v>
      </c>
      <c r="BB145" s="6">
        <v>3</v>
      </c>
      <c r="BC145" s="6">
        <v>2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2</v>
      </c>
      <c r="BP145" s="6">
        <v>3</v>
      </c>
      <c r="BQ145" s="6">
        <v>3</v>
      </c>
      <c r="BR145" s="6">
        <v>3</v>
      </c>
      <c r="BS145" s="6">
        <v>3</v>
      </c>
    </row>
    <row r="146" spans="4:71" x14ac:dyDescent="0.25">
      <c r="E146" s="6">
        <f t="shared" si="43"/>
        <v>0</v>
      </c>
      <c r="F146" s="6">
        <f t="shared" si="44"/>
        <v>0</v>
      </c>
      <c r="G146" s="6">
        <f t="shared" si="45"/>
        <v>0</v>
      </c>
      <c r="H146" s="6">
        <f t="shared" si="46"/>
        <v>0</v>
      </c>
      <c r="I146" s="6">
        <f t="shared" si="47"/>
        <v>0</v>
      </c>
      <c r="J146" s="6">
        <f t="shared" si="48"/>
        <v>0</v>
      </c>
      <c r="K146" s="6">
        <f t="shared" si="49"/>
        <v>0</v>
      </c>
      <c r="L146" s="6">
        <f t="shared" si="50"/>
        <v>0</v>
      </c>
      <c r="M146" s="6">
        <f t="shared" si="51"/>
        <v>0</v>
      </c>
      <c r="N146" s="6">
        <f t="shared" si="52"/>
        <v>0</v>
      </c>
      <c r="O146" s="6">
        <f t="shared" si="53"/>
        <v>0</v>
      </c>
      <c r="P146" s="6">
        <f t="shared" si="54"/>
        <v>0</v>
      </c>
      <c r="Q146" s="6">
        <f t="shared" si="55"/>
        <v>0</v>
      </c>
      <c r="R146" s="6">
        <f t="shared" si="56"/>
        <v>0</v>
      </c>
      <c r="S146" s="6">
        <f t="shared" si="57"/>
        <v>0</v>
      </c>
      <c r="T146" s="6">
        <f t="shared" si="58"/>
        <v>0</v>
      </c>
      <c r="U146" s="6">
        <f t="shared" si="59"/>
        <v>0</v>
      </c>
      <c r="V146" s="6">
        <f t="shared" si="60"/>
        <v>0</v>
      </c>
      <c r="W146" s="6">
        <f t="shared" si="61"/>
        <v>0</v>
      </c>
      <c r="X146" s="6">
        <f t="shared" si="62"/>
        <v>0</v>
      </c>
      <c r="Y146" s="6">
        <f t="shared" si="63"/>
        <v>0</v>
      </c>
      <c r="AA146" s="6" t="str">
        <f>IF(最佳化斷筋點!C146="","",最佳化斷筋點!C146)</f>
        <v/>
      </c>
      <c r="AB146" s="6" t="str">
        <f>IF(最佳化斷筋點!D146="","",最佳化斷筋點!D146)</f>
        <v/>
      </c>
      <c r="AC146" s="6" t="str">
        <f>IF(最佳化斷筋點!E146="","",最佳化斷筋點!E146)</f>
        <v/>
      </c>
      <c r="AD146" s="6" t="str">
        <f>IF(最佳化斷筋點!F146="","",最佳化斷筋點!F146)</f>
        <v/>
      </c>
      <c r="AE146" s="6" t="str">
        <f>IF(最佳化斷筋點!G146="","",最佳化斷筋點!G146)</f>
        <v/>
      </c>
      <c r="AF146" s="6" t="str">
        <f>IF(最佳化斷筋點!H146="","",最佳化斷筋點!H146)</f>
        <v/>
      </c>
      <c r="AG146" s="6" t="str">
        <f>IF(最佳化斷筋點!I146="","",最佳化斷筋點!I146)</f>
        <v/>
      </c>
      <c r="AH146" s="6" t="str">
        <f>IF(最佳化斷筋點!J146="","",最佳化斷筋點!J146)</f>
        <v/>
      </c>
      <c r="AI146" s="6" t="str">
        <f>IF(最佳化斷筋點!K146="","",最佳化斷筋點!K146)</f>
        <v/>
      </c>
      <c r="AJ146" s="6" t="str">
        <f>IF(最佳化斷筋點!L146="","",最佳化斷筋點!L146)</f>
        <v/>
      </c>
      <c r="AK146" s="6" t="str">
        <f>IF(最佳化斷筋點!M146="","",最佳化斷筋點!M146)</f>
        <v/>
      </c>
      <c r="AL146" s="6" t="str">
        <f>IF(最佳化斷筋點!N146="","",最佳化斷筋點!N146)</f>
        <v/>
      </c>
      <c r="AM146" s="6" t="str">
        <f>IF(最佳化斷筋點!O146="","",最佳化斷筋點!O146)</f>
        <v/>
      </c>
      <c r="AN146" s="6" t="str">
        <f>IF(最佳化斷筋點!P146="","",最佳化斷筋點!P146)</f>
        <v/>
      </c>
      <c r="AO146" s="6" t="str">
        <f>IF(最佳化斷筋點!Q146="","",最佳化斷筋點!Q146)</f>
        <v/>
      </c>
      <c r="AP146" s="6" t="str">
        <f>IF(最佳化斷筋點!R146="","",最佳化斷筋點!R146)</f>
        <v/>
      </c>
      <c r="AQ146" s="6" t="str">
        <f>IF(最佳化斷筋點!S146="","",最佳化斷筋點!S146)</f>
        <v/>
      </c>
      <c r="AR146" s="6" t="str">
        <f>IF(最佳化斷筋點!T146="","",最佳化斷筋點!T146)</f>
        <v/>
      </c>
      <c r="AS146" s="6" t="str">
        <f>IF(最佳化斷筋點!U146="","",最佳化斷筋點!U146)</f>
        <v/>
      </c>
      <c r="AT146" s="6" t="str">
        <f>IF(最佳化斷筋點!V146="","",最佳化斷筋點!V146)</f>
        <v/>
      </c>
      <c r="AU146" s="6" t="str">
        <f>IF(最佳化斷筋點!W146="","",最佳化斷筋點!W146)</f>
        <v/>
      </c>
      <c r="AV146" s="6" t="str">
        <f>IF(最佳化斷筋點!X146="","",最佳化斷筋點!X146)</f>
        <v/>
      </c>
    </row>
    <row r="147" spans="4:71" x14ac:dyDescent="0.25">
      <c r="D147" s="6" t="s">
        <v>50</v>
      </c>
      <c r="E147" s="6">
        <f t="shared" si="43"/>
        <v>0</v>
      </c>
      <c r="F147" s="6">
        <f t="shared" si="44"/>
        <v>0</v>
      </c>
      <c r="G147" s="6">
        <f t="shared" si="45"/>
        <v>0</v>
      </c>
      <c r="H147" s="6">
        <f t="shared" si="46"/>
        <v>0</v>
      </c>
      <c r="I147" s="6">
        <f t="shared" si="47"/>
        <v>0</v>
      </c>
      <c r="J147" s="6">
        <f t="shared" si="48"/>
        <v>0</v>
      </c>
      <c r="K147" s="6">
        <f t="shared" si="49"/>
        <v>0</v>
      </c>
      <c r="L147" s="6">
        <f t="shared" si="50"/>
        <v>0</v>
      </c>
      <c r="M147" s="6">
        <f t="shared" si="51"/>
        <v>0</v>
      </c>
      <c r="N147" s="6">
        <f t="shared" si="52"/>
        <v>0</v>
      </c>
      <c r="O147" s="6">
        <f t="shared" si="53"/>
        <v>0</v>
      </c>
      <c r="P147" s="6">
        <f t="shared" si="54"/>
        <v>0</v>
      </c>
      <c r="Q147" s="6">
        <f t="shared" si="55"/>
        <v>0</v>
      </c>
      <c r="R147" s="6">
        <f t="shared" si="56"/>
        <v>0</v>
      </c>
      <c r="S147" s="6">
        <f t="shared" si="57"/>
        <v>0</v>
      </c>
      <c r="T147" s="6">
        <f t="shared" si="58"/>
        <v>0</v>
      </c>
      <c r="U147" s="6">
        <f t="shared" si="59"/>
        <v>0</v>
      </c>
      <c r="V147" s="6">
        <f t="shared" si="60"/>
        <v>0</v>
      </c>
      <c r="W147" s="6">
        <f t="shared" si="61"/>
        <v>0</v>
      </c>
      <c r="X147" s="6">
        <f t="shared" si="62"/>
        <v>0</v>
      </c>
      <c r="Y147" s="6">
        <f t="shared" si="63"/>
        <v>0</v>
      </c>
      <c r="AA147" s="6" t="str">
        <f>IF(最佳化斷筋點!C147="","",最佳化斷筋點!C147)</f>
        <v>上層</v>
      </c>
      <c r="AB147" s="6">
        <f>IF(最佳化斷筋點!D147="","",最佳化斷筋點!D147)</f>
        <v>2</v>
      </c>
      <c r="AC147" s="6">
        <f>IF(最佳化斷筋點!E147="","",最佳化斷筋點!E147)</f>
        <v>2</v>
      </c>
      <c r="AD147" s="6">
        <f>IF(最佳化斷筋點!F147="","",最佳化斷筋點!F147)</f>
        <v>2</v>
      </c>
      <c r="AE147" s="6">
        <f>IF(最佳化斷筋點!G147="","",最佳化斷筋點!G147)</f>
        <v>2</v>
      </c>
      <c r="AF147" s="6">
        <f>IF(最佳化斷筋點!H147="","",最佳化斷筋點!H147)</f>
        <v>2</v>
      </c>
      <c r="AG147" s="6">
        <f>IF(最佳化斷筋點!I147="","",最佳化斷筋點!I147)</f>
        <v>2</v>
      </c>
      <c r="AH147" s="6">
        <f>IF(最佳化斷筋點!J147="","",最佳化斷筋點!J147)</f>
        <v>2</v>
      </c>
      <c r="AI147" s="6">
        <f>IF(最佳化斷筋點!K147="","",最佳化斷筋點!K147)</f>
        <v>2</v>
      </c>
      <c r="AJ147" s="6">
        <f>IF(最佳化斷筋點!L147="","",最佳化斷筋點!L147)</f>
        <v>2</v>
      </c>
      <c r="AK147" s="6">
        <f>IF(最佳化斷筋點!M147="","",最佳化斷筋點!M147)</f>
        <v>2</v>
      </c>
      <c r="AL147" s="6">
        <f>IF(最佳化斷筋點!N147="","",最佳化斷筋點!N147)</f>
        <v>2</v>
      </c>
      <c r="AM147" s="6">
        <f>IF(最佳化斷筋點!O147="","",最佳化斷筋點!O147)</f>
        <v>2</v>
      </c>
      <c r="AN147" s="6">
        <f>IF(最佳化斷筋點!P147="","",最佳化斷筋點!P147)</f>
        <v>2</v>
      </c>
      <c r="AO147" s="6">
        <f>IF(最佳化斷筋點!Q147="","",最佳化斷筋點!Q147)</f>
        <v>2</v>
      </c>
      <c r="AP147" s="6">
        <f>IF(最佳化斷筋點!R147="","",最佳化斷筋點!R147)</f>
        <v>2</v>
      </c>
      <c r="AQ147" s="6">
        <f>IF(最佳化斷筋點!S147="","",最佳化斷筋點!S147)</f>
        <v>2</v>
      </c>
      <c r="AR147" s="6">
        <f>IF(最佳化斷筋點!T147="","",最佳化斷筋點!T147)</f>
        <v>2</v>
      </c>
      <c r="AS147" s="6">
        <f>IF(最佳化斷筋點!U147="","",最佳化斷筋點!U147)</f>
        <v>2</v>
      </c>
      <c r="AT147" s="6">
        <f>IF(最佳化斷筋點!V147="","",最佳化斷筋點!V147)</f>
        <v>2</v>
      </c>
      <c r="AU147" s="6">
        <f>IF(最佳化斷筋點!W147="","",最佳化斷筋點!W147)</f>
        <v>2</v>
      </c>
      <c r="AV147" s="6">
        <f>IF(最佳化斷筋點!X147="","",最佳化斷筋點!X147)</f>
        <v>2</v>
      </c>
      <c r="AX147" s="6" t="s">
        <v>50</v>
      </c>
      <c r="AY147" s="6">
        <v>2</v>
      </c>
      <c r="AZ147" s="6">
        <v>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</row>
    <row r="148" spans="4:71" x14ac:dyDescent="0.25">
      <c r="E148" s="6">
        <f t="shared" si="43"/>
        <v>0</v>
      </c>
      <c r="F148" s="6">
        <f t="shared" si="44"/>
        <v>0</v>
      </c>
      <c r="G148" s="6">
        <f t="shared" si="45"/>
        <v>0</v>
      </c>
      <c r="H148" s="6">
        <f t="shared" si="46"/>
        <v>0</v>
      </c>
      <c r="I148" s="6">
        <f t="shared" si="47"/>
        <v>0</v>
      </c>
      <c r="J148" s="6">
        <f t="shared" si="48"/>
        <v>0</v>
      </c>
      <c r="K148" s="6">
        <f t="shared" si="49"/>
        <v>0</v>
      </c>
      <c r="L148" s="6">
        <f t="shared" si="50"/>
        <v>0</v>
      </c>
      <c r="M148" s="6">
        <f t="shared" si="51"/>
        <v>0</v>
      </c>
      <c r="N148" s="6">
        <f t="shared" si="52"/>
        <v>0</v>
      </c>
      <c r="O148" s="6">
        <f t="shared" si="53"/>
        <v>0</v>
      </c>
      <c r="P148" s="6">
        <f t="shared" si="54"/>
        <v>0</v>
      </c>
      <c r="Q148" s="6">
        <f t="shared" si="55"/>
        <v>0</v>
      </c>
      <c r="R148" s="6">
        <f t="shared" si="56"/>
        <v>0</v>
      </c>
      <c r="S148" s="6">
        <f t="shared" si="57"/>
        <v>0</v>
      </c>
      <c r="T148" s="6">
        <f t="shared" si="58"/>
        <v>0</v>
      </c>
      <c r="U148" s="6">
        <f t="shared" si="59"/>
        <v>0</v>
      </c>
      <c r="V148" s="6">
        <f t="shared" si="60"/>
        <v>0</v>
      </c>
      <c r="W148" s="6">
        <f t="shared" si="61"/>
        <v>0</v>
      </c>
      <c r="X148" s="6">
        <f t="shared" si="62"/>
        <v>0</v>
      </c>
      <c r="Y148" s="6">
        <f t="shared" si="63"/>
        <v>0</v>
      </c>
      <c r="AA148" s="6" t="str">
        <f>IF(最佳化斷筋點!C148="","",最佳化斷筋點!C148)</f>
        <v/>
      </c>
      <c r="AB148" s="6" t="str">
        <f>IF(最佳化斷筋點!D148="","",最佳化斷筋點!D148)</f>
        <v/>
      </c>
      <c r="AC148" s="6" t="str">
        <f>IF(最佳化斷筋點!E148="","",最佳化斷筋點!E148)</f>
        <v/>
      </c>
      <c r="AD148" s="6" t="str">
        <f>IF(最佳化斷筋點!F148="","",最佳化斷筋點!F148)</f>
        <v/>
      </c>
      <c r="AE148" s="6" t="str">
        <f>IF(最佳化斷筋點!G148="","",最佳化斷筋點!G148)</f>
        <v/>
      </c>
      <c r="AF148" s="6" t="str">
        <f>IF(最佳化斷筋點!H148="","",最佳化斷筋點!H148)</f>
        <v/>
      </c>
      <c r="AG148" s="6" t="str">
        <f>IF(最佳化斷筋點!I148="","",最佳化斷筋點!I148)</f>
        <v/>
      </c>
      <c r="AH148" s="6" t="str">
        <f>IF(最佳化斷筋點!J148="","",最佳化斷筋點!J148)</f>
        <v/>
      </c>
      <c r="AI148" s="6" t="str">
        <f>IF(最佳化斷筋點!K148="","",最佳化斷筋點!K148)</f>
        <v/>
      </c>
      <c r="AJ148" s="6" t="str">
        <f>IF(最佳化斷筋點!L148="","",最佳化斷筋點!L148)</f>
        <v/>
      </c>
      <c r="AK148" s="6" t="str">
        <f>IF(最佳化斷筋點!M148="","",最佳化斷筋點!M148)</f>
        <v/>
      </c>
      <c r="AL148" s="6" t="str">
        <f>IF(最佳化斷筋點!N148="","",最佳化斷筋點!N148)</f>
        <v/>
      </c>
      <c r="AM148" s="6" t="str">
        <f>IF(最佳化斷筋點!O148="","",最佳化斷筋點!O148)</f>
        <v/>
      </c>
      <c r="AN148" s="6" t="str">
        <f>IF(最佳化斷筋點!P148="","",最佳化斷筋點!P148)</f>
        <v/>
      </c>
      <c r="AO148" s="6" t="str">
        <f>IF(最佳化斷筋點!Q148="","",最佳化斷筋點!Q148)</f>
        <v/>
      </c>
      <c r="AP148" s="6" t="str">
        <f>IF(最佳化斷筋點!R148="","",最佳化斷筋點!R148)</f>
        <v/>
      </c>
      <c r="AQ148" s="6" t="str">
        <f>IF(最佳化斷筋點!S148="","",最佳化斷筋點!S148)</f>
        <v/>
      </c>
      <c r="AR148" s="6" t="str">
        <f>IF(最佳化斷筋點!T148="","",最佳化斷筋點!T148)</f>
        <v/>
      </c>
      <c r="AS148" s="6" t="str">
        <f>IF(最佳化斷筋點!U148="","",最佳化斷筋點!U148)</f>
        <v/>
      </c>
      <c r="AT148" s="6" t="str">
        <f>IF(最佳化斷筋點!V148="","",最佳化斷筋點!V148)</f>
        <v/>
      </c>
      <c r="AU148" s="6" t="str">
        <f>IF(最佳化斷筋點!W148="","",最佳化斷筋點!W148)</f>
        <v/>
      </c>
      <c r="AV148" s="6" t="str">
        <f>IF(最佳化斷筋點!X148="","",最佳化斷筋點!X148)</f>
        <v/>
      </c>
    </row>
    <row r="149" spans="4:71" x14ac:dyDescent="0.25">
      <c r="D149" s="6" t="s">
        <v>51</v>
      </c>
      <c r="E149" s="6">
        <f t="shared" si="43"/>
        <v>0</v>
      </c>
      <c r="F149" s="6">
        <f t="shared" si="44"/>
        <v>0</v>
      </c>
      <c r="G149" s="6">
        <f t="shared" si="45"/>
        <v>0</v>
      </c>
      <c r="H149" s="6">
        <f t="shared" si="46"/>
        <v>0</v>
      </c>
      <c r="I149" s="6">
        <f t="shared" si="47"/>
        <v>0</v>
      </c>
      <c r="J149" s="6">
        <f t="shared" si="48"/>
        <v>0</v>
      </c>
      <c r="K149" s="6">
        <f t="shared" si="49"/>
        <v>0</v>
      </c>
      <c r="L149" s="6">
        <f t="shared" si="50"/>
        <v>0</v>
      </c>
      <c r="M149" s="6">
        <f t="shared" si="51"/>
        <v>0</v>
      </c>
      <c r="N149" s="6">
        <f t="shared" si="52"/>
        <v>0</v>
      </c>
      <c r="O149" s="6">
        <f t="shared" si="53"/>
        <v>0</v>
      </c>
      <c r="P149" s="6">
        <f t="shared" si="54"/>
        <v>0</v>
      </c>
      <c r="Q149" s="6">
        <f t="shared" si="55"/>
        <v>0</v>
      </c>
      <c r="R149" s="6">
        <f t="shared" si="56"/>
        <v>0</v>
      </c>
      <c r="S149" s="6">
        <f t="shared" si="57"/>
        <v>0</v>
      </c>
      <c r="T149" s="6">
        <f t="shared" si="58"/>
        <v>0</v>
      </c>
      <c r="U149" s="6">
        <f t="shared" si="59"/>
        <v>0</v>
      </c>
      <c r="V149" s="6">
        <f t="shared" si="60"/>
        <v>0</v>
      </c>
      <c r="W149" s="6">
        <f t="shared" si="61"/>
        <v>0</v>
      </c>
      <c r="X149" s="6">
        <f t="shared" si="62"/>
        <v>0</v>
      </c>
      <c r="Y149" s="6">
        <f t="shared" si="63"/>
        <v>0</v>
      </c>
      <c r="AA149" s="6" t="str">
        <f>IF(最佳化斷筋點!C149="","",最佳化斷筋點!C149)</f>
        <v>下層</v>
      </c>
      <c r="AB149" s="6">
        <f>IF(最佳化斷筋點!D149="","",最佳化斷筋點!D149)</f>
        <v>3</v>
      </c>
      <c r="AC149" s="6">
        <f>IF(最佳化斷筋點!E149="","",最佳化斷筋點!E149)</f>
        <v>3</v>
      </c>
      <c r="AD149" s="6">
        <f>IF(最佳化斷筋點!F149="","",最佳化斷筋點!F149)</f>
        <v>3</v>
      </c>
      <c r="AE149" s="6">
        <f>IF(最佳化斷筋點!G149="","",最佳化斷筋點!G149)</f>
        <v>3</v>
      </c>
      <c r="AF149" s="6">
        <f>IF(最佳化斷筋點!H149="","",最佳化斷筋點!H149)</f>
        <v>2</v>
      </c>
      <c r="AG149" s="6">
        <f>IF(最佳化斷筋點!I149="","",最佳化斷筋點!I149)</f>
        <v>3</v>
      </c>
      <c r="AH149" s="6">
        <f>IF(最佳化斷筋點!J149="","",最佳化斷筋點!J149)</f>
        <v>3</v>
      </c>
      <c r="AI149" s="6">
        <f>IF(最佳化斷筋點!K149="","",最佳化斷筋點!K149)</f>
        <v>3</v>
      </c>
      <c r="AJ149" s="6">
        <f>IF(最佳化斷筋點!L149="","",最佳化斷筋點!L149)</f>
        <v>3</v>
      </c>
      <c r="AK149" s="6">
        <f>IF(最佳化斷筋點!M149="","",最佳化斷筋點!M149)</f>
        <v>3</v>
      </c>
      <c r="AL149" s="6">
        <f>IF(最佳化斷筋點!N149="","",最佳化斷筋點!N149)</f>
        <v>3</v>
      </c>
      <c r="AM149" s="6">
        <f>IF(最佳化斷筋點!O149="","",最佳化斷筋點!O149)</f>
        <v>3</v>
      </c>
      <c r="AN149" s="6">
        <f>IF(最佳化斷筋點!P149="","",最佳化斷筋點!P149)</f>
        <v>3</v>
      </c>
      <c r="AO149" s="6">
        <f>IF(最佳化斷筋點!Q149="","",最佳化斷筋點!Q149)</f>
        <v>3</v>
      </c>
      <c r="AP149" s="6">
        <f>IF(最佳化斷筋點!R149="","",最佳化斷筋點!R149)</f>
        <v>3</v>
      </c>
      <c r="AQ149" s="6">
        <f>IF(最佳化斷筋點!S149="","",最佳化斷筋點!S149)</f>
        <v>3</v>
      </c>
      <c r="AR149" s="6">
        <f>IF(最佳化斷筋點!T149="","",最佳化斷筋點!T149)</f>
        <v>2</v>
      </c>
      <c r="AS149" s="6">
        <f>IF(最佳化斷筋點!U149="","",最佳化斷筋點!U149)</f>
        <v>3</v>
      </c>
      <c r="AT149" s="6">
        <f>IF(最佳化斷筋點!V149="","",最佳化斷筋點!V149)</f>
        <v>3</v>
      </c>
      <c r="AU149" s="6">
        <f>IF(最佳化斷筋點!W149="","",最佳化斷筋點!W149)</f>
        <v>3</v>
      </c>
      <c r="AV149" s="6">
        <f>IF(最佳化斷筋點!X149="","",最佳化斷筋點!X149)</f>
        <v>3</v>
      </c>
      <c r="AX149" s="6" t="s">
        <v>51</v>
      </c>
      <c r="AY149" s="6">
        <v>3</v>
      </c>
      <c r="AZ149" s="6">
        <v>3</v>
      </c>
      <c r="BA149" s="6">
        <v>3</v>
      </c>
      <c r="BB149" s="6">
        <v>3</v>
      </c>
      <c r="BC149" s="6">
        <v>2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2</v>
      </c>
      <c r="BP149" s="6">
        <v>3</v>
      </c>
      <c r="BQ149" s="6">
        <v>3</v>
      </c>
      <c r="BR149" s="6">
        <v>3</v>
      </c>
      <c r="BS149" s="6">
        <v>3</v>
      </c>
    </row>
    <row r="150" spans="4:71" x14ac:dyDescent="0.25">
      <c r="E150" s="6">
        <f t="shared" si="43"/>
        <v>0</v>
      </c>
      <c r="F150" s="6">
        <f t="shared" si="44"/>
        <v>0</v>
      </c>
      <c r="G150" s="6">
        <f t="shared" si="45"/>
        <v>0</v>
      </c>
      <c r="H150" s="6">
        <f t="shared" si="46"/>
        <v>0</v>
      </c>
      <c r="I150" s="6">
        <f t="shared" si="47"/>
        <v>0</v>
      </c>
      <c r="J150" s="6">
        <f t="shared" si="48"/>
        <v>0</v>
      </c>
      <c r="K150" s="6">
        <f t="shared" si="49"/>
        <v>0</v>
      </c>
      <c r="L150" s="6">
        <f t="shared" si="50"/>
        <v>0</v>
      </c>
      <c r="M150" s="6">
        <f t="shared" si="51"/>
        <v>0</v>
      </c>
      <c r="N150" s="6">
        <f t="shared" si="52"/>
        <v>0</v>
      </c>
      <c r="O150" s="6">
        <f t="shared" si="53"/>
        <v>0</v>
      </c>
      <c r="P150" s="6">
        <f t="shared" si="54"/>
        <v>0</v>
      </c>
      <c r="Q150" s="6">
        <f t="shared" si="55"/>
        <v>0</v>
      </c>
      <c r="R150" s="6">
        <f t="shared" si="56"/>
        <v>0</v>
      </c>
      <c r="S150" s="6">
        <f t="shared" si="57"/>
        <v>0</v>
      </c>
      <c r="T150" s="6">
        <f t="shared" si="58"/>
        <v>0</v>
      </c>
      <c r="U150" s="6">
        <f t="shared" si="59"/>
        <v>0</v>
      </c>
      <c r="V150" s="6">
        <f t="shared" si="60"/>
        <v>0</v>
      </c>
      <c r="W150" s="6">
        <f t="shared" si="61"/>
        <v>0</v>
      </c>
      <c r="X150" s="6">
        <f t="shared" si="62"/>
        <v>0</v>
      </c>
      <c r="Y150" s="6">
        <f t="shared" si="63"/>
        <v>0</v>
      </c>
      <c r="AA150" s="6" t="str">
        <f>IF(最佳化斷筋點!C150="","",最佳化斷筋點!C150)</f>
        <v/>
      </c>
      <c r="AB150" s="6" t="str">
        <f>IF(最佳化斷筋點!D150="","",最佳化斷筋點!D150)</f>
        <v/>
      </c>
      <c r="AC150" s="6" t="str">
        <f>IF(最佳化斷筋點!E150="","",最佳化斷筋點!E150)</f>
        <v/>
      </c>
      <c r="AD150" s="6" t="str">
        <f>IF(最佳化斷筋點!F150="","",最佳化斷筋點!F150)</f>
        <v/>
      </c>
      <c r="AE150" s="6" t="str">
        <f>IF(最佳化斷筋點!G150="","",最佳化斷筋點!G150)</f>
        <v/>
      </c>
      <c r="AF150" s="6" t="str">
        <f>IF(最佳化斷筋點!H150="","",最佳化斷筋點!H150)</f>
        <v/>
      </c>
      <c r="AG150" s="6" t="str">
        <f>IF(最佳化斷筋點!I150="","",最佳化斷筋點!I150)</f>
        <v/>
      </c>
      <c r="AH150" s="6" t="str">
        <f>IF(最佳化斷筋點!J150="","",最佳化斷筋點!J150)</f>
        <v/>
      </c>
      <c r="AI150" s="6" t="str">
        <f>IF(最佳化斷筋點!K150="","",最佳化斷筋點!K150)</f>
        <v/>
      </c>
      <c r="AJ150" s="6" t="str">
        <f>IF(最佳化斷筋點!L150="","",最佳化斷筋點!L150)</f>
        <v/>
      </c>
      <c r="AK150" s="6" t="str">
        <f>IF(最佳化斷筋點!M150="","",最佳化斷筋點!M150)</f>
        <v/>
      </c>
      <c r="AL150" s="6" t="str">
        <f>IF(最佳化斷筋點!N150="","",最佳化斷筋點!N150)</f>
        <v/>
      </c>
      <c r="AM150" s="6" t="str">
        <f>IF(最佳化斷筋點!O150="","",最佳化斷筋點!O150)</f>
        <v/>
      </c>
      <c r="AN150" s="6" t="str">
        <f>IF(最佳化斷筋點!P150="","",最佳化斷筋點!P150)</f>
        <v/>
      </c>
      <c r="AO150" s="6" t="str">
        <f>IF(最佳化斷筋點!Q150="","",最佳化斷筋點!Q150)</f>
        <v/>
      </c>
      <c r="AP150" s="6" t="str">
        <f>IF(最佳化斷筋點!R150="","",最佳化斷筋點!R150)</f>
        <v/>
      </c>
      <c r="AQ150" s="6" t="str">
        <f>IF(最佳化斷筋點!S150="","",最佳化斷筋點!S150)</f>
        <v/>
      </c>
      <c r="AR150" s="6" t="str">
        <f>IF(最佳化斷筋點!T150="","",最佳化斷筋點!T150)</f>
        <v/>
      </c>
      <c r="AS150" s="6" t="str">
        <f>IF(最佳化斷筋點!U150="","",最佳化斷筋點!U150)</f>
        <v/>
      </c>
      <c r="AT150" s="6" t="str">
        <f>IF(最佳化斷筋點!V150="","",最佳化斷筋點!V150)</f>
        <v/>
      </c>
      <c r="AU150" s="6" t="str">
        <f>IF(最佳化斷筋點!W150="","",最佳化斷筋點!W150)</f>
        <v/>
      </c>
      <c r="AV150" s="6" t="str">
        <f>IF(最佳化斷筋點!X150="","",最佳化斷筋點!X150)</f>
        <v/>
      </c>
    </row>
    <row r="151" spans="4:71" x14ac:dyDescent="0.25">
      <c r="D151" s="6" t="s">
        <v>50</v>
      </c>
      <c r="E151" s="6">
        <f t="shared" si="43"/>
        <v>0</v>
      </c>
      <c r="F151" s="6">
        <f t="shared" si="44"/>
        <v>0</v>
      </c>
      <c r="G151" s="6">
        <f t="shared" si="45"/>
        <v>0</v>
      </c>
      <c r="H151" s="6">
        <f t="shared" si="46"/>
        <v>0</v>
      </c>
      <c r="I151" s="6">
        <f t="shared" si="47"/>
        <v>0</v>
      </c>
      <c r="J151" s="6">
        <f t="shared" si="48"/>
        <v>0</v>
      </c>
      <c r="K151" s="6">
        <f t="shared" si="49"/>
        <v>0</v>
      </c>
      <c r="L151" s="6">
        <f t="shared" si="50"/>
        <v>0</v>
      </c>
      <c r="M151" s="6">
        <f t="shared" si="51"/>
        <v>0</v>
      </c>
      <c r="N151" s="6">
        <f t="shared" si="52"/>
        <v>0</v>
      </c>
      <c r="O151" s="6">
        <f t="shared" si="53"/>
        <v>0</v>
      </c>
      <c r="P151" s="6">
        <f t="shared" si="54"/>
        <v>0</v>
      </c>
      <c r="Q151" s="6">
        <f t="shared" si="55"/>
        <v>0</v>
      </c>
      <c r="R151" s="6">
        <f t="shared" si="56"/>
        <v>0</v>
      </c>
      <c r="S151" s="6">
        <f t="shared" si="57"/>
        <v>0</v>
      </c>
      <c r="T151" s="6">
        <f t="shared" si="58"/>
        <v>0</v>
      </c>
      <c r="U151" s="6">
        <f t="shared" si="59"/>
        <v>0</v>
      </c>
      <c r="V151" s="6">
        <f t="shared" si="60"/>
        <v>0</v>
      </c>
      <c r="W151" s="6">
        <f t="shared" si="61"/>
        <v>0</v>
      </c>
      <c r="X151" s="6">
        <f t="shared" si="62"/>
        <v>0</v>
      </c>
      <c r="Y151" s="6">
        <f t="shared" si="63"/>
        <v>0</v>
      </c>
      <c r="AA151" s="6" t="str">
        <f>IF(最佳化斷筋點!C151="","",最佳化斷筋點!C151)</f>
        <v>上層</v>
      </c>
      <c r="AB151" s="6">
        <f>IF(最佳化斷筋點!D151="","",最佳化斷筋點!D151)</f>
        <v>2</v>
      </c>
      <c r="AC151" s="6">
        <f>IF(最佳化斷筋點!E151="","",最佳化斷筋點!E151)</f>
        <v>2</v>
      </c>
      <c r="AD151" s="6">
        <f>IF(最佳化斷筋點!F151="","",最佳化斷筋點!F151)</f>
        <v>2</v>
      </c>
      <c r="AE151" s="6">
        <f>IF(最佳化斷筋點!G151="","",最佳化斷筋點!G151)</f>
        <v>2</v>
      </c>
      <c r="AF151" s="6">
        <f>IF(最佳化斷筋點!H151="","",最佳化斷筋點!H151)</f>
        <v>2</v>
      </c>
      <c r="AG151" s="6">
        <f>IF(最佳化斷筋點!I151="","",最佳化斷筋點!I151)</f>
        <v>2</v>
      </c>
      <c r="AH151" s="6">
        <f>IF(最佳化斷筋點!J151="","",最佳化斷筋點!J151)</f>
        <v>2</v>
      </c>
      <c r="AI151" s="6">
        <f>IF(最佳化斷筋點!K151="","",最佳化斷筋點!K151)</f>
        <v>2</v>
      </c>
      <c r="AJ151" s="6">
        <f>IF(最佳化斷筋點!L151="","",最佳化斷筋點!L151)</f>
        <v>2</v>
      </c>
      <c r="AK151" s="6">
        <f>IF(最佳化斷筋點!M151="","",最佳化斷筋點!M151)</f>
        <v>2</v>
      </c>
      <c r="AL151" s="6">
        <f>IF(最佳化斷筋點!N151="","",最佳化斷筋點!N151)</f>
        <v>2</v>
      </c>
      <c r="AM151" s="6">
        <f>IF(最佳化斷筋點!O151="","",最佳化斷筋點!O151)</f>
        <v>2</v>
      </c>
      <c r="AN151" s="6">
        <f>IF(最佳化斷筋點!P151="","",最佳化斷筋點!P151)</f>
        <v>2</v>
      </c>
      <c r="AO151" s="6">
        <f>IF(最佳化斷筋點!Q151="","",最佳化斷筋點!Q151)</f>
        <v>3</v>
      </c>
      <c r="AP151" s="6">
        <f>IF(最佳化斷筋點!R151="","",最佳化斷筋點!R151)</f>
        <v>4</v>
      </c>
      <c r="AQ151" s="6">
        <f>IF(最佳化斷筋點!S151="","",最佳化斷筋點!S151)</f>
        <v>4</v>
      </c>
      <c r="AR151" s="6">
        <f>IF(最佳化斷筋點!T151="","",最佳化斷筋點!T151)</f>
        <v>5</v>
      </c>
      <c r="AS151" s="6">
        <f>IF(最佳化斷筋點!U151="","",最佳化斷筋點!U151)</f>
        <v>6</v>
      </c>
      <c r="AT151" s="6">
        <f>IF(最佳化斷筋點!V151="","",最佳化斷筋點!V151)</f>
        <v>7</v>
      </c>
      <c r="AU151" s="6">
        <f>IF(最佳化斷筋點!W151="","",最佳化斷筋點!W151)</f>
        <v>8</v>
      </c>
      <c r="AV151" s="6">
        <f>IF(最佳化斷筋點!X151="","",最佳化斷筋點!X151)</f>
        <v>8</v>
      </c>
      <c r="AX151" s="6" t="s">
        <v>50</v>
      </c>
      <c r="AY151" s="6">
        <v>2</v>
      </c>
      <c r="AZ151" s="6">
        <v>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3</v>
      </c>
      <c r="BM151" s="6">
        <v>4</v>
      </c>
      <c r="BN151" s="6">
        <v>4</v>
      </c>
      <c r="BO151" s="6">
        <v>5</v>
      </c>
      <c r="BP151" s="6">
        <v>6</v>
      </c>
      <c r="BQ151" s="6">
        <v>7</v>
      </c>
      <c r="BR151" s="6">
        <v>8</v>
      </c>
      <c r="BS151" s="6">
        <v>8</v>
      </c>
    </row>
    <row r="152" spans="4:71" x14ac:dyDescent="0.25">
      <c r="E152" s="6">
        <f t="shared" si="43"/>
        <v>0</v>
      </c>
      <c r="F152" s="6">
        <f t="shared" si="44"/>
        <v>0</v>
      </c>
      <c r="G152" s="6">
        <f t="shared" si="45"/>
        <v>0</v>
      </c>
      <c r="H152" s="6">
        <f t="shared" si="46"/>
        <v>0</v>
      </c>
      <c r="I152" s="6">
        <f t="shared" si="47"/>
        <v>0</v>
      </c>
      <c r="J152" s="6">
        <f t="shared" si="48"/>
        <v>0</v>
      </c>
      <c r="K152" s="6">
        <f t="shared" si="49"/>
        <v>0</v>
      </c>
      <c r="L152" s="6">
        <f t="shared" si="50"/>
        <v>0</v>
      </c>
      <c r="M152" s="6">
        <f t="shared" si="51"/>
        <v>0</v>
      </c>
      <c r="N152" s="6">
        <f t="shared" si="52"/>
        <v>0</v>
      </c>
      <c r="O152" s="6">
        <f t="shared" si="53"/>
        <v>0</v>
      </c>
      <c r="P152" s="6">
        <f t="shared" si="54"/>
        <v>0</v>
      </c>
      <c r="Q152" s="6">
        <f t="shared" si="55"/>
        <v>0</v>
      </c>
      <c r="R152" s="6">
        <f t="shared" si="56"/>
        <v>0</v>
      </c>
      <c r="S152" s="6">
        <f t="shared" si="57"/>
        <v>0</v>
      </c>
      <c r="T152" s="6">
        <f t="shared" si="58"/>
        <v>0</v>
      </c>
      <c r="U152" s="6">
        <f t="shared" si="59"/>
        <v>0</v>
      </c>
      <c r="V152" s="6">
        <f t="shared" si="60"/>
        <v>0</v>
      </c>
      <c r="W152" s="6">
        <f t="shared" si="61"/>
        <v>0</v>
      </c>
      <c r="X152" s="6">
        <f t="shared" si="62"/>
        <v>0</v>
      </c>
      <c r="Y152" s="6">
        <f t="shared" si="63"/>
        <v>0</v>
      </c>
      <c r="AA152" s="6" t="str">
        <f>IF(最佳化斷筋點!C152="","",最佳化斷筋點!C152)</f>
        <v/>
      </c>
      <c r="AB152" s="6" t="str">
        <f>IF(最佳化斷筋點!D152="","",最佳化斷筋點!D152)</f>
        <v/>
      </c>
      <c r="AC152" s="6" t="str">
        <f>IF(最佳化斷筋點!E152="","",最佳化斷筋點!E152)</f>
        <v/>
      </c>
      <c r="AD152" s="6" t="str">
        <f>IF(最佳化斷筋點!F152="","",最佳化斷筋點!F152)</f>
        <v/>
      </c>
      <c r="AE152" s="6" t="str">
        <f>IF(最佳化斷筋點!G152="","",最佳化斷筋點!G152)</f>
        <v/>
      </c>
      <c r="AF152" s="6" t="str">
        <f>IF(最佳化斷筋點!H152="","",最佳化斷筋點!H152)</f>
        <v/>
      </c>
      <c r="AG152" s="6" t="str">
        <f>IF(最佳化斷筋點!I152="","",最佳化斷筋點!I152)</f>
        <v/>
      </c>
      <c r="AH152" s="6" t="str">
        <f>IF(最佳化斷筋點!J152="","",最佳化斷筋點!J152)</f>
        <v/>
      </c>
      <c r="AI152" s="6" t="str">
        <f>IF(最佳化斷筋點!K152="","",最佳化斷筋點!K152)</f>
        <v/>
      </c>
      <c r="AJ152" s="6" t="str">
        <f>IF(最佳化斷筋點!L152="","",最佳化斷筋點!L152)</f>
        <v/>
      </c>
      <c r="AK152" s="6" t="str">
        <f>IF(最佳化斷筋點!M152="","",最佳化斷筋點!M152)</f>
        <v/>
      </c>
      <c r="AL152" s="6" t="str">
        <f>IF(最佳化斷筋點!N152="","",最佳化斷筋點!N152)</f>
        <v/>
      </c>
      <c r="AM152" s="6" t="str">
        <f>IF(最佳化斷筋點!O152="","",最佳化斷筋點!O152)</f>
        <v/>
      </c>
      <c r="AN152" s="6" t="str">
        <f>IF(最佳化斷筋點!P152="","",最佳化斷筋點!P152)</f>
        <v/>
      </c>
      <c r="AO152" s="6" t="str">
        <f>IF(最佳化斷筋點!Q152="","",最佳化斷筋點!Q152)</f>
        <v/>
      </c>
      <c r="AP152" s="6" t="str">
        <f>IF(最佳化斷筋點!R152="","",最佳化斷筋點!R152)</f>
        <v/>
      </c>
      <c r="AQ152" s="6" t="str">
        <f>IF(最佳化斷筋點!S152="","",最佳化斷筋點!S152)</f>
        <v/>
      </c>
      <c r="AR152" s="6" t="str">
        <f>IF(最佳化斷筋點!T152="","",最佳化斷筋點!T152)</f>
        <v/>
      </c>
      <c r="AS152" s="6" t="str">
        <f>IF(最佳化斷筋點!U152="","",最佳化斷筋點!U152)</f>
        <v/>
      </c>
      <c r="AT152" s="6" t="str">
        <f>IF(最佳化斷筋點!V152="","",最佳化斷筋點!V152)</f>
        <v/>
      </c>
      <c r="AU152" s="6" t="str">
        <f>IF(最佳化斷筋點!W152="","",最佳化斷筋點!W152)</f>
        <v/>
      </c>
      <c r="AV152" s="6" t="str">
        <f>IF(最佳化斷筋點!X152="","",最佳化斷筋點!X152)</f>
        <v/>
      </c>
    </row>
    <row r="153" spans="4:71" x14ac:dyDescent="0.25">
      <c r="D153" s="6" t="s">
        <v>51</v>
      </c>
      <c r="E153" s="6">
        <f t="shared" si="43"/>
        <v>0</v>
      </c>
      <c r="F153" s="6">
        <f t="shared" si="44"/>
        <v>0</v>
      </c>
      <c r="G153" s="6">
        <f t="shared" si="45"/>
        <v>0</v>
      </c>
      <c r="H153" s="6">
        <f t="shared" si="46"/>
        <v>0</v>
      </c>
      <c r="I153" s="6">
        <f t="shared" si="47"/>
        <v>0</v>
      </c>
      <c r="J153" s="6">
        <f t="shared" si="48"/>
        <v>0</v>
      </c>
      <c r="K153" s="6">
        <f t="shared" si="49"/>
        <v>0</v>
      </c>
      <c r="L153" s="6">
        <f t="shared" si="50"/>
        <v>0</v>
      </c>
      <c r="M153" s="6">
        <f t="shared" si="51"/>
        <v>0</v>
      </c>
      <c r="N153" s="6">
        <f t="shared" si="52"/>
        <v>0</v>
      </c>
      <c r="O153" s="6">
        <f t="shared" si="53"/>
        <v>0</v>
      </c>
      <c r="P153" s="6">
        <f t="shared" si="54"/>
        <v>0</v>
      </c>
      <c r="Q153" s="6">
        <f t="shared" si="55"/>
        <v>0</v>
      </c>
      <c r="R153" s="6">
        <f t="shared" si="56"/>
        <v>0</v>
      </c>
      <c r="S153" s="6">
        <f t="shared" si="57"/>
        <v>0</v>
      </c>
      <c r="T153" s="6">
        <f t="shared" si="58"/>
        <v>0</v>
      </c>
      <c r="U153" s="6">
        <f t="shared" si="59"/>
        <v>0</v>
      </c>
      <c r="V153" s="6">
        <f t="shared" si="60"/>
        <v>0</v>
      </c>
      <c r="W153" s="6">
        <f t="shared" si="61"/>
        <v>0</v>
      </c>
      <c r="X153" s="6">
        <f t="shared" si="62"/>
        <v>0</v>
      </c>
      <c r="Y153" s="6">
        <f t="shared" si="63"/>
        <v>0</v>
      </c>
      <c r="AA153" s="6" t="str">
        <f>IF(最佳化斷筋點!C153="","",最佳化斷筋點!C153)</f>
        <v>下層</v>
      </c>
      <c r="AB153" s="6">
        <f>IF(最佳化斷筋點!D153="","",最佳化斷筋點!D153)</f>
        <v>4</v>
      </c>
      <c r="AC153" s="6">
        <f>IF(最佳化斷筋點!E153="","",最佳化斷筋點!E153)</f>
        <v>4</v>
      </c>
      <c r="AD153" s="6">
        <f>IF(最佳化斷筋點!F153="","",最佳化斷筋點!F153)</f>
        <v>4</v>
      </c>
      <c r="AE153" s="6">
        <f>IF(最佳化斷筋點!G153="","",最佳化斷筋點!G153)</f>
        <v>3</v>
      </c>
      <c r="AF153" s="6">
        <f>IF(最佳化斷筋點!H153="","",最佳化斷筋點!H153)</f>
        <v>3</v>
      </c>
      <c r="AG153" s="6">
        <f>IF(最佳化斷筋點!I153="","",最佳化斷筋點!I153)</f>
        <v>3</v>
      </c>
      <c r="AH153" s="6">
        <f>IF(最佳化斷筋點!J153="","",最佳化斷筋點!J153)</f>
        <v>4</v>
      </c>
      <c r="AI153" s="6">
        <f>IF(最佳化斷筋點!K153="","",最佳化斷筋點!K153)</f>
        <v>4</v>
      </c>
      <c r="AJ153" s="6">
        <f>IF(最佳化斷筋點!L153="","",最佳化斷筋點!L153)</f>
        <v>4</v>
      </c>
      <c r="AK153" s="6">
        <f>IF(最佳化斷筋點!M153="","",最佳化斷筋點!M153)</f>
        <v>4</v>
      </c>
      <c r="AL153" s="6">
        <f>IF(最佳化斷筋點!N153="","",最佳化斷筋點!N153)</f>
        <v>4</v>
      </c>
      <c r="AM153" s="6">
        <f>IF(最佳化斷筋點!O153="","",最佳化斷筋點!O153)</f>
        <v>4</v>
      </c>
      <c r="AN153" s="6">
        <f>IF(最佳化斷筋點!P153="","",最佳化斷筋點!P153)</f>
        <v>4</v>
      </c>
      <c r="AO153" s="6">
        <f>IF(最佳化斷筋點!Q153="","",最佳化斷筋點!Q153)</f>
        <v>4</v>
      </c>
      <c r="AP153" s="6">
        <f>IF(最佳化斷筋點!R153="","",最佳化斷筋點!R153)</f>
        <v>4</v>
      </c>
      <c r="AQ153" s="6">
        <f>IF(最佳化斷筋點!S153="","",最佳化斷筋點!S153)</f>
        <v>3</v>
      </c>
      <c r="AR153" s="6">
        <f>IF(最佳化斷筋點!T153="","",最佳化斷筋點!T153)</f>
        <v>3</v>
      </c>
      <c r="AS153" s="6">
        <f>IF(最佳化斷筋點!U153="","",最佳化斷筋點!U153)</f>
        <v>3</v>
      </c>
      <c r="AT153" s="6">
        <f>IF(最佳化斷筋點!V153="","",最佳化斷筋點!V153)</f>
        <v>3</v>
      </c>
      <c r="AU153" s="6">
        <f>IF(最佳化斷筋點!W153="","",最佳化斷筋點!W153)</f>
        <v>3</v>
      </c>
      <c r="AV153" s="6">
        <f>IF(最佳化斷筋點!X153="","",最佳化斷筋點!X153)</f>
        <v>3</v>
      </c>
      <c r="AX153" s="6" t="s">
        <v>51</v>
      </c>
      <c r="AY153" s="6">
        <v>4</v>
      </c>
      <c r="AZ153" s="6">
        <v>4</v>
      </c>
      <c r="BA153" s="6">
        <v>4</v>
      </c>
      <c r="BB153" s="6">
        <v>3</v>
      </c>
      <c r="BC153" s="6">
        <v>3</v>
      </c>
      <c r="BD153" s="6">
        <v>3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</row>
    <row r="154" spans="4:71" x14ac:dyDescent="0.25">
      <c r="E154" s="6">
        <f t="shared" si="43"/>
        <v>0</v>
      </c>
      <c r="F154" s="6">
        <f t="shared" si="44"/>
        <v>0</v>
      </c>
      <c r="G154" s="6">
        <f t="shared" si="45"/>
        <v>0</v>
      </c>
      <c r="H154" s="6">
        <f t="shared" si="46"/>
        <v>0</v>
      </c>
      <c r="I154" s="6">
        <f t="shared" si="47"/>
        <v>0</v>
      </c>
      <c r="J154" s="6">
        <f t="shared" si="48"/>
        <v>0</v>
      </c>
      <c r="K154" s="6">
        <f t="shared" si="49"/>
        <v>0</v>
      </c>
      <c r="L154" s="6">
        <f t="shared" si="50"/>
        <v>0</v>
      </c>
      <c r="M154" s="6">
        <f t="shared" si="51"/>
        <v>0</v>
      </c>
      <c r="N154" s="6">
        <f t="shared" si="52"/>
        <v>0</v>
      </c>
      <c r="O154" s="6">
        <f t="shared" si="53"/>
        <v>0</v>
      </c>
      <c r="P154" s="6">
        <f t="shared" si="54"/>
        <v>0</v>
      </c>
      <c r="Q154" s="6">
        <f t="shared" si="55"/>
        <v>0</v>
      </c>
      <c r="R154" s="6">
        <f t="shared" si="56"/>
        <v>0</v>
      </c>
      <c r="S154" s="6">
        <f t="shared" si="57"/>
        <v>0</v>
      </c>
      <c r="T154" s="6">
        <f t="shared" si="58"/>
        <v>0</v>
      </c>
      <c r="U154" s="6">
        <f t="shared" si="59"/>
        <v>0</v>
      </c>
      <c r="V154" s="6">
        <f t="shared" si="60"/>
        <v>0</v>
      </c>
      <c r="W154" s="6">
        <f t="shared" si="61"/>
        <v>0</v>
      </c>
      <c r="X154" s="6">
        <f t="shared" si="62"/>
        <v>0</v>
      </c>
      <c r="Y154" s="6">
        <f t="shared" si="63"/>
        <v>0</v>
      </c>
      <c r="AA154" s="6" t="str">
        <f>IF(最佳化斷筋點!C154="","",最佳化斷筋點!C154)</f>
        <v/>
      </c>
      <c r="AB154" s="6" t="str">
        <f>IF(最佳化斷筋點!D154="","",最佳化斷筋點!D154)</f>
        <v/>
      </c>
      <c r="AC154" s="6" t="str">
        <f>IF(最佳化斷筋點!E154="","",最佳化斷筋點!E154)</f>
        <v/>
      </c>
      <c r="AD154" s="6" t="str">
        <f>IF(最佳化斷筋點!F154="","",最佳化斷筋點!F154)</f>
        <v/>
      </c>
      <c r="AE154" s="6" t="str">
        <f>IF(最佳化斷筋點!G154="","",最佳化斷筋點!G154)</f>
        <v/>
      </c>
      <c r="AF154" s="6" t="str">
        <f>IF(最佳化斷筋點!H154="","",最佳化斷筋點!H154)</f>
        <v/>
      </c>
      <c r="AG154" s="6" t="str">
        <f>IF(最佳化斷筋點!I154="","",最佳化斷筋點!I154)</f>
        <v/>
      </c>
      <c r="AH154" s="6" t="str">
        <f>IF(最佳化斷筋點!J154="","",最佳化斷筋點!J154)</f>
        <v/>
      </c>
      <c r="AI154" s="6" t="str">
        <f>IF(最佳化斷筋點!K154="","",最佳化斷筋點!K154)</f>
        <v/>
      </c>
      <c r="AJ154" s="6" t="str">
        <f>IF(最佳化斷筋點!L154="","",最佳化斷筋點!L154)</f>
        <v/>
      </c>
      <c r="AK154" s="6" t="str">
        <f>IF(最佳化斷筋點!M154="","",最佳化斷筋點!M154)</f>
        <v/>
      </c>
      <c r="AL154" s="6" t="str">
        <f>IF(最佳化斷筋點!N154="","",最佳化斷筋點!N154)</f>
        <v/>
      </c>
      <c r="AM154" s="6" t="str">
        <f>IF(最佳化斷筋點!O154="","",最佳化斷筋點!O154)</f>
        <v/>
      </c>
      <c r="AN154" s="6" t="str">
        <f>IF(最佳化斷筋點!P154="","",最佳化斷筋點!P154)</f>
        <v/>
      </c>
      <c r="AO154" s="6" t="str">
        <f>IF(最佳化斷筋點!Q154="","",最佳化斷筋點!Q154)</f>
        <v/>
      </c>
      <c r="AP154" s="6" t="str">
        <f>IF(最佳化斷筋點!R154="","",最佳化斷筋點!R154)</f>
        <v/>
      </c>
      <c r="AQ154" s="6" t="str">
        <f>IF(最佳化斷筋點!S154="","",最佳化斷筋點!S154)</f>
        <v/>
      </c>
      <c r="AR154" s="6" t="str">
        <f>IF(最佳化斷筋點!T154="","",最佳化斷筋點!T154)</f>
        <v/>
      </c>
      <c r="AS154" s="6" t="str">
        <f>IF(最佳化斷筋點!U154="","",最佳化斷筋點!U154)</f>
        <v/>
      </c>
      <c r="AT154" s="6" t="str">
        <f>IF(最佳化斷筋點!V154="","",最佳化斷筋點!V154)</f>
        <v/>
      </c>
      <c r="AU154" s="6" t="str">
        <f>IF(最佳化斷筋點!W154="","",最佳化斷筋點!W154)</f>
        <v/>
      </c>
      <c r="AV154" s="6" t="str">
        <f>IF(最佳化斷筋點!X154="","",最佳化斷筋點!X154)</f>
        <v/>
      </c>
    </row>
    <row r="155" spans="4:71" x14ac:dyDescent="0.25">
      <c r="D155" s="6" t="s">
        <v>50</v>
      </c>
      <c r="E155" s="6">
        <f t="shared" si="43"/>
        <v>0</v>
      </c>
      <c r="F155" s="6">
        <f t="shared" si="44"/>
        <v>0</v>
      </c>
      <c r="G155" s="6">
        <f t="shared" si="45"/>
        <v>0</v>
      </c>
      <c r="H155" s="6">
        <f t="shared" si="46"/>
        <v>0</v>
      </c>
      <c r="I155" s="6">
        <f t="shared" si="47"/>
        <v>0</v>
      </c>
      <c r="J155" s="6">
        <f t="shared" si="48"/>
        <v>0</v>
      </c>
      <c r="K155" s="6">
        <f t="shared" si="49"/>
        <v>0</v>
      </c>
      <c r="L155" s="6">
        <f t="shared" si="50"/>
        <v>0</v>
      </c>
      <c r="M155" s="6">
        <f t="shared" si="51"/>
        <v>0</v>
      </c>
      <c r="N155" s="6">
        <f t="shared" si="52"/>
        <v>0</v>
      </c>
      <c r="O155" s="6">
        <f t="shared" si="53"/>
        <v>0</v>
      </c>
      <c r="P155" s="6">
        <f t="shared" si="54"/>
        <v>0</v>
      </c>
      <c r="Q155" s="6">
        <f t="shared" si="55"/>
        <v>0</v>
      </c>
      <c r="R155" s="6">
        <f t="shared" si="56"/>
        <v>0</v>
      </c>
      <c r="S155" s="6">
        <f t="shared" si="57"/>
        <v>0</v>
      </c>
      <c r="T155" s="6">
        <f t="shared" si="58"/>
        <v>0</v>
      </c>
      <c r="U155" s="6">
        <f t="shared" si="59"/>
        <v>0</v>
      </c>
      <c r="V155" s="6">
        <f t="shared" si="60"/>
        <v>0</v>
      </c>
      <c r="W155" s="6">
        <f t="shared" si="61"/>
        <v>0</v>
      </c>
      <c r="X155" s="6">
        <f t="shared" si="62"/>
        <v>0</v>
      </c>
      <c r="Y155" s="6">
        <f t="shared" si="63"/>
        <v>0</v>
      </c>
      <c r="AA155" s="6" t="str">
        <f>IF(最佳化斷筋點!C155="","",最佳化斷筋點!C155)</f>
        <v>上層</v>
      </c>
      <c r="AB155" s="6">
        <f>IF(最佳化斷筋點!D155="","",最佳化斷筋點!D155)</f>
        <v>2</v>
      </c>
      <c r="AC155" s="6">
        <f>IF(最佳化斷筋點!E155="","",最佳化斷筋點!E155)</f>
        <v>2</v>
      </c>
      <c r="AD155" s="6">
        <f>IF(最佳化斷筋點!F155="","",最佳化斷筋點!F155)</f>
        <v>2</v>
      </c>
      <c r="AE155" s="6">
        <f>IF(最佳化斷筋點!G155="","",最佳化斷筋點!G155)</f>
        <v>2</v>
      </c>
      <c r="AF155" s="6">
        <f>IF(最佳化斷筋點!H155="","",最佳化斷筋點!H155)</f>
        <v>2</v>
      </c>
      <c r="AG155" s="6">
        <f>IF(最佳化斷筋點!I155="","",最佳化斷筋點!I155)</f>
        <v>2</v>
      </c>
      <c r="AH155" s="6">
        <f>IF(最佳化斷筋點!J155="","",最佳化斷筋點!J155)</f>
        <v>2</v>
      </c>
      <c r="AI155" s="6">
        <f>IF(最佳化斷筋點!K155="","",最佳化斷筋點!K155)</f>
        <v>2</v>
      </c>
      <c r="AJ155" s="6">
        <f>IF(最佳化斷筋點!L155="","",最佳化斷筋點!L155)</f>
        <v>2</v>
      </c>
      <c r="AK155" s="6">
        <f>IF(最佳化斷筋點!M155="","",最佳化斷筋點!M155)</f>
        <v>2</v>
      </c>
      <c r="AL155" s="6">
        <f>IF(最佳化斷筋點!N155="","",最佳化斷筋點!N155)</f>
        <v>2</v>
      </c>
      <c r="AM155" s="6">
        <f>IF(最佳化斷筋點!O155="","",最佳化斷筋點!O155)</f>
        <v>2</v>
      </c>
      <c r="AN155" s="6">
        <f>IF(最佳化斷筋點!P155="","",最佳化斷筋點!P155)</f>
        <v>2</v>
      </c>
      <c r="AO155" s="6">
        <f>IF(最佳化斷筋點!Q155="","",最佳化斷筋點!Q155)</f>
        <v>3</v>
      </c>
      <c r="AP155" s="6">
        <f>IF(最佳化斷筋點!R155="","",最佳化斷筋點!R155)</f>
        <v>3</v>
      </c>
      <c r="AQ155" s="6">
        <f>IF(最佳化斷筋點!S155="","",最佳化斷筋點!S155)</f>
        <v>4</v>
      </c>
      <c r="AR155" s="6">
        <f>IF(最佳化斷筋點!T155="","",最佳化斷筋點!T155)</f>
        <v>5</v>
      </c>
      <c r="AS155" s="6">
        <f>IF(最佳化斷筋點!U155="","",最佳化斷筋點!U155)</f>
        <v>5</v>
      </c>
      <c r="AT155" s="6">
        <f>IF(最佳化斷筋點!V155="","",最佳化斷筋點!V155)</f>
        <v>6</v>
      </c>
      <c r="AU155" s="6">
        <f>IF(最佳化斷筋點!W155="","",最佳化斷筋點!W155)</f>
        <v>7</v>
      </c>
      <c r="AV155" s="6">
        <f>IF(最佳化斷筋點!X155="","",最佳化斷筋點!X155)</f>
        <v>7</v>
      </c>
      <c r="AX155" s="6" t="s">
        <v>50</v>
      </c>
      <c r="AY155" s="6">
        <v>2</v>
      </c>
      <c r="AZ155" s="6">
        <v>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3</v>
      </c>
      <c r="BN155" s="6">
        <v>4</v>
      </c>
      <c r="BO155" s="6">
        <v>5</v>
      </c>
      <c r="BP155" s="6">
        <v>5</v>
      </c>
      <c r="BQ155" s="6">
        <v>6</v>
      </c>
      <c r="BR155" s="6">
        <v>7</v>
      </c>
      <c r="BS155" s="6">
        <v>7</v>
      </c>
    </row>
    <row r="156" spans="4:71" x14ac:dyDescent="0.25">
      <c r="E156" s="6">
        <f t="shared" si="43"/>
        <v>0</v>
      </c>
      <c r="F156" s="6">
        <f t="shared" si="44"/>
        <v>0</v>
      </c>
      <c r="G156" s="6">
        <f t="shared" si="45"/>
        <v>0</v>
      </c>
      <c r="H156" s="6">
        <f t="shared" si="46"/>
        <v>0</v>
      </c>
      <c r="I156" s="6">
        <f t="shared" si="47"/>
        <v>0</v>
      </c>
      <c r="J156" s="6">
        <f t="shared" si="48"/>
        <v>0</v>
      </c>
      <c r="K156" s="6">
        <f t="shared" si="49"/>
        <v>0</v>
      </c>
      <c r="L156" s="6">
        <f t="shared" si="50"/>
        <v>0</v>
      </c>
      <c r="M156" s="6">
        <f t="shared" si="51"/>
        <v>0</v>
      </c>
      <c r="N156" s="6">
        <f t="shared" si="52"/>
        <v>0</v>
      </c>
      <c r="O156" s="6">
        <f t="shared" si="53"/>
        <v>0</v>
      </c>
      <c r="P156" s="6">
        <f t="shared" si="54"/>
        <v>0</v>
      </c>
      <c r="Q156" s="6">
        <f t="shared" si="55"/>
        <v>0</v>
      </c>
      <c r="R156" s="6">
        <f t="shared" si="56"/>
        <v>0</v>
      </c>
      <c r="S156" s="6">
        <f t="shared" si="57"/>
        <v>0</v>
      </c>
      <c r="T156" s="6">
        <f t="shared" si="58"/>
        <v>0</v>
      </c>
      <c r="U156" s="6">
        <f t="shared" si="59"/>
        <v>0</v>
      </c>
      <c r="V156" s="6">
        <f t="shared" si="60"/>
        <v>0</v>
      </c>
      <c r="W156" s="6">
        <f t="shared" si="61"/>
        <v>0</v>
      </c>
      <c r="X156" s="6">
        <f t="shared" si="62"/>
        <v>0</v>
      </c>
      <c r="Y156" s="6">
        <f t="shared" si="63"/>
        <v>0</v>
      </c>
      <c r="AA156" s="6" t="str">
        <f>IF(最佳化斷筋點!C156="","",最佳化斷筋點!C156)</f>
        <v/>
      </c>
      <c r="AB156" s="6" t="str">
        <f>IF(最佳化斷筋點!D156="","",最佳化斷筋點!D156)</f>
        <v/>
      </c>
      <c r="AC156" s="6" t="str">
        <f>IF(最佳化斷筋點!E156="","",最佳化斷筋點!E156)</f>
        <v/>
      </c>
      <c r="AD156" s="6" t="str">
        <f>IF(最佳化斷筋點!F156="","",最佳化斷筋點!F156)</f>
        <v/>
      </c>
      <c r="AE156" s="6" t="str">
        <f>IF(最佳化斷筋點!G156="","",最佳化斷筋點!G156)</f>
        <v/>
      </c>
      <c r="AF156" s="6" t="str">
        <f>IF(最佳化斷筋點!H156="","",最佳化斷筋點!H156)</f>
        <v/>
      </c>
      <c r="AG156" s="6" t="str">
        <f>IF(最佳化斷筋點!I156="","",最佳化斷筋點!I156)</f>
        <v/>
      </c>
      <c r="AH156" s="6" t="str">
        <f>IF(最佳化斷筋點!J156="","",最佳化斷筋點!J156)</f>
        <v/>
      </c>
      <c r="AI156" s="6" t="str">
        <f>IF(最佳化斷筋點!K156="","",最佳化斷筋點!K156)</f>
        <v/>
      </c>
      <c r="AJ156" s="6" t="str">
        <f>IF(最佳化斷筋點!L156="","",最佳化斷筋點!L156)</f>
        <v/>
      </c>
      <c r="AK156" s="6" t="str">
        <f>IF(最佳化斷筋點!M156="","",最佳化斷筋點!M156)</f>
        <v/>
      </c>
      <c r="AL156" s="6" t="str">
        <f>IF(最佳化斷筋點!N156="","",最佳化斷筋點!N156)</f>
        <v/>
      </c>
      <c r="AM156" s="6" t="str">
        <f>IF(最佳化斷筋點!O156="","",最佳化斷筋點!O156)</f>
        <v/>
      </c>
      <c r="AN156" s="6" t="str">
        <f>IF(最佳化斷筋點!P156="","",最佳化斷筋點!P156)</f>
        <v/>
      </c>
      <c r="AO156" s="6" t="str">
        <f>IF(最佳化斷筋點!Q156="","",最佳化斷筋點!Q156)</f>
        <v/>
      </c>
      <c r="AP156" s="6" t="str">
        <f>IF(最佳化斷筋點!R156="","",最佳化斷筋點!R156)</f>
        <v/>
      </c>
      <c r="AQ156" s="6" t="str">
        <f>IF(最佳化斷筋點!S156="","",最佳化斷筋點!S156)</f>
        <v/>
      </c>
      <c r="AR156" s="6" t="str">
        <f>IF(最佳化斷筋點!T156="","",最佳化斷筋點!T156)</f>
        <v/>
      </c>
      <c r="AS156" s="6" t="str">
        <f>IF(最佳化斷筋點!U156="","",最佳化斷筋點!U156)</f>
        <v/>
      </c>
      <c r="AT156" s="6" t="str">
        <f>IF(最佳化斷筋點!V156="","",最佳化斷筋點!V156)</f>
        <v/>
      </c>
      <c r="AU156" s="6" t="str">
        <f>IF(最佳化斷筋點!W156="","",最佳化斷筋點!W156)</f>
        <v/>
      </c>
      <c r="AV156" s="6" t="str">
        <f>IF(最佳化斷筋點!X156="","",最佳化斷筋點!X156)</f>
        <v/>
      </c>
    </row>
    <row r="157" spans="4:71" x14ac:dyDescent="0.25">
      <c r="D157" s="6" t="s">
        <v>51</v>
      </c>
      <c r="E157" s="6">
        <f t="shared" si="43"/>
        <v>0</v>
      </c>
      <c r="F157" s="6">
        <f t="shared" si="44"/>
        <v>0</v>
      </c>
      <c r="G157" s="6">
        <f t="shared" si="45"/>
        <v>0</v>
      </c>
      <c r="H157" s="6">
        <f t="shared" si="46"/>
        <v>0</v>
      </c>
      <c r="I157" s="6">
        <f t="shared" si="47"/>
        <v>0</v>
      </c>
      <c r="J157" s="6">
        <f t="shared" si="48"/>
        <v>0</v>
      </c>
      <c r="K157" s="6">
        <f t="shared" si="49"/>
        <v>0</v>
      </c>
      <c r="L157" s="6">
        <f t="shared" si="50"/>
        <v>0</v>
      </c>
      <c r="M157" s="6">
        <f t="shared" si="51"/>
        <v>0</v>
      </c>
      <c r="N157" s="6">
        <f t="shared" si="52"/>
        <v>0</v>
      </c>
      <c r="O157" s="6">
        <f t="shared" si="53"/>
        <v>0</v>
      </c>
      <c r="P157" s="6">
        <f t="shared" si="54"/>
        <v>0</v>
      </c>
      <c r="Q157" s="6">
        <f t="shared" si="55"/>
        <v>0</v>
      </c>
      <c r="R157" s="6">
        <f t="shared" si="56"/>
        <v>0</v>
      </c>
      <c r="S157" s="6">
        <f t="shared" si="57"/>
        <v>0</v>
      </c>
      <c r="T157" s="6">
        <f t="shared" si="58"/>
        <v>0</v>
      </c>
      <c r="U157" s="6">
        <f t="shared" si="59"/>
        <v>0</v>
      </c>
      <c r="V157" s="6">
        <f t="shared" si="60"/>
        <v>0</v>
      </c>
      <c r="W157" s="6">
        <f t="shared" si="61"/>
        <v>0</v>
      </c>
      <c r="X157" s="6">
        <f t="shared" si="62"/>
        <v>0</v>
      </c>
      <c r="Y157" s="6">
        <f t="shared" si="63"/>
        <v>0</v>
      </c>
      <c r="AA157" s="6" t="str">
        <f>IF(最佳化斷筋點!C157="","",最佳化斷筋點!C157)</f>
        <v>下層</v>
      </c>
      <c r="AB157" s="6">
        <f>IF(最佳化斷筋點!D157="","",最佳化斷筋點!D157)</f>
        <v>3</v>
      </c>
      <c r="AC157" s="6">
        <f>IF(最佳化斷筋點!E157="","",最佳化斷筋點!E157)</f>
        <v>3</v>
      </c>
      <c r="AD157" s="6">
        <f>IF(最佳化斷筋點!F157="","",最佳化斷筋點!F157)</f>
        <v>3</v>
      </c>
      <c r="AE157" s="6">
        <f>IF(最佳化斷筋點!G157="","",最佳化斷筋點!G157)</f>
        <v>3</v>
      </c>
      <c r="AF157" s="6">
        <f>IF(最佳化斷筋點!H157="","",最佳化斷筋點!H157)</f>
        <v>2</v>
      </c>
      <c r="AG157" s="6">
        <f>IF(最佳化斷筋點!I157="","",最佳化斷筋點!I157)</f>
        <v>3</v>
      </c>
      <c r="AH157" s="6">
        <f>IF(最佳化斷筋點!J157="","",最佳化斷筋點!J157)</f>
        <v>3</v>
      </c>
      <c r="AI157" s="6">
        <f>IF(最佳化斷筋點!K157="","",最佳化斷筋點!K157)</f>
        <v>3</v>
      </c>
      <c r="AJ157" s="6">
        <f>IF(最佳化斷筋點!L157="","",最佳化斷筋點!L157)</f>
        <v>3</v>
      </c>
      <c r="AK157" s="6">
        <f>IF(最佳化斷筋點!M157="","",最佳化斷筋點!M157)</f>
        <v>3</v>
      </c>
      <c r="AL157" s="6">
        <f>IF(最佳化斷筋點!N157="","",最佳化斷筋點!N157)</f>
        <v>3</v>
      </c>
      <c r="AM157" s="6">
        <f>IF(最佳化斷筋點!O157="","",最佳化斷筋點!O157)</f>
        <v>3</v>
      </c>
      <c r="AN157" s="6">
        <f>IF(最佳化斷筋點!P157="","",最佳化斷筋點!P157)</f>
        <v>3</v>
      </c>
      <c r="AO157" s="6">
        <f>IF(最佳化斷筋點!Q157="","",最佳化斷筋點!Q157)</f>
        <v>3</v>
      </c>
      <c r="AP157" s="6">
        <f>IF(最佳化斷筋點!R157="","",最佳化斷筋點!R157)</f>
        <v>3</v>
      </c>
      <c r="AQ157" s="6">
        <f>IF(最佳化斷筋點!S157="","",最佳化斷筋點!S157)</f>
        <v>3</v>
      </c>
      <c r="AR157" s="6">
        <f>IF(最佳化斷筋點!T157="","",最佳化斷筋點!T157)</f>
        <v>2</v>
      </c>
      <c r="AS157" s="6">
        <f>IF(最佳化斷筋點!U157="","",最佳化斷筋點!U157)</f>
        <v>3</v>
      </c>
      <c r="AT157" s="6">
        <f>IF(最佳化斷筋點!V157="","",最佳化斷筋點!V157)</f>
        <v>3</v>
      </c>
      <c r="AU157" s="6">
        <f>IF(最佳化斷筋點!W157="","",最佳化斷筋點!W157)</f>
        <v>3</v>
      </c>
      <c r="AV157" s="6">
        <f>IF(最佳化斷筋點!X157="","",最佳化斷筋點!X157)</f>
        <v>3</v>
      </c>
      <c r="AX157" s="6" t="s">
        <v>51</v>
      </c>
      <c r="AY157" s="6">
        <v>3</v>
      </c>
      <c r="AZ157" s="6">
        <v>3</v>
      </c>
      <c r="BA157" s="6">
        <v>3</v>
      </c>
      <c r="BB157" s="6">
        <v>3</v>
      </c>
      <c r="BC157" s="6">
        <v>2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2</v>
      </c>
      <c r="BP157" s="6">
        <v>3</v>
      </c>
      <c r="BQ157" s="6">
        <v>3</v>
      </c>
      <c r="BR157" s="6">
        <v>3</v>
      </c>
      <c r="BS157" s="6">
        <v>3</v>
      </c>
    </row>
    <row r="158" spans="4:71" x14ac:dyDescent="0.25">
      <c r="E158" s="6">
        <f t="shared" si="43"/>
        <v>0</v>
      </c>
      <c r="F158" s="6">
        <f t="shared" si="44"/>
        <v>0</v>
      </c>
      <c r="G158" s="6">
        <f t="shared" si="45"/>
        <v>0</v>
      </c>
      <c r="H158" s="6">
        <f t="shared" si="46"/>
        <v>0</v>
      </c>
      <c r="I158" s="6">
        <f t="shared" si="47"/>
        <v>0</v>
      </c>
      <c r="J158" s="6">
        <f t="shared" si="48"/>
        <v>0</v>
      </c>
      <c r="K158" s="6">
        <f t="shared" si="49"/>
        <v>0</v>
      </c>
      <c r="L158" s="6">
        <f t="shared" si="50"/>
        <v>0</v>
      </c>
      <c r="M158" s="6">
        <f t="shared" si="51"/>
        <v>0</v>
      </c>
      <c r="N158" s="6">
        <f t="shared" si="52"/>
        <v>0</v>
      </c>
      <c r="O158" s="6">
        <f t="shared" si="53"/>
        <v>0</v>
      </c>
      <c r="P158" s="6">
        <f t="shared" si="54"/>
        <v>0</v>
      </c>
      <c r="Q158" s="6">
        <f t="shared" si="55"/>
        <v>0</v>
      </c>
      <c r="R158" s="6">
        <f t="shared" si="56"/>
        <v>0</v>
      </c>
      <c r="S158" s="6">
        <f t="shared" si="57"/>
        <v>0</v>
      </c>
      <c r="T158" s="6">
        <f t="shared" si="58"/>
        <v>0</v>
      </c>
      <c r="U158" s="6">
        <f t="shared" si="59"/>
        <v>0</v>
      </c>
      <c r="V158" s="6">
        <f t="shared" si="60"/>
        <v>0</v>
      </c>
      <c r="W158" s="6">
        <f t="shared" si="61"/>
        <v>0</v>
      </c>
      <c r="X158" s="6">
        <f t="shared" si="62"/>
        <v>0</v>
      </c>
      <c r="Y158" s="6">
        <f t="shared" si="63"/>
        <v>0</v>
      </c>
      <c r="AA158" s="6" t="str">
        <f>IF(最佳化斷筋點!C158="","",最佳化斷筋點!C158)</f>
        <v/>
      </c>
      <c r="AB158" s="6" t="str">
        <f>IF(最佳化斷筋點!D158="","",最佳化斷筋點!D158)</f>
        <v/>
      </c>
      <c r="AC158" s="6" t="str">
        <f>IF(最佳化斷筋點!E158="","",最佳化斷筋點!E158)</f>
        <v/>
      </c>
      <c r="AD158" s="6" t="str">
        <f>IF(最佳化斷筋點!F158="","",最佳化斷筋點!F158)</f>
        <v/>
      </c>
      <c r="AE158" s="6" t="str">
        <f>IF(最佳化斷筋點!G158="","",最佳化斷筋點!G158)</f>
        <v/>
      </c>
      <c r="AF158" s="6" t="str">
        <f>IF(最佳化斷筋點!H158="","",最佳化斷筋點!H158)</f>
        <v/>
      </c>
      <c r="AG158" s="6" t="str">
        <f>IF(最佳化斷筋點!I158="","",最佳化斷筋點!I158)</f>
        <v/>
      </c>
      <c r="AH158" s="6" t="str">
        <f>IF(最佳化斷筋點!J158="","",最佳化斷筋點!J158)</f>
        <v/>
      </c>
      <c r="AI158" s="6" t="str">
        <f>IF(最佳化斷筋點!K158="","",最佳化斷筋點!K158)</f>
        <v/>
      </c>
      <c r="AJ158" s="6" t="str">
        <f>IF(最佳化斷筋點!L158="","",最佳化斷筋點!L158)</f>
        <v/>
      </c>
      <c r="AK158" s="6" t="str">
        <f>IF(最佳化斷筋點!M158="","",最佳化斷筋點!M158)</f>
        <v/>
      </c>
      <c r="AL158" s="6" t="str">
        <f>IF(最佳化斷筋點!N158="","",最佳化斷筋點!N158)</f>
        <v/>
      </c>
      <c r="AM158" s="6" t="str">
        <f>IF(最佳化斷筋點!O158="","",最佳化斷筋點!O158)</f>
        <v/>
      </c>
      <c r="AN158" s="6" t="str">
        <f>IF(最佳化斷筋點!P158="","",最佳化斷筋點!P158)</f>
        <v/>
      </c>
      <c r="AO158" s="6" t="str">
        <f>IF(最佳化斷筋點!Q158="","",最佳化斷筋點!Q158)</f>
        <v/>
      </c>
      <c r="AP158" s="6" t="str">
        <f>IF(最佳化斷筋點!R158="","",最佳化斷筋點!R158)</f>
        <v/>
      </c>
      <c r="AQ158" s="6" t="str">
        <f>IF(最佳化斷筋點!S158="","",最佳化斷筋點!S158)</f>
        <v/>
      </c>
      <c r="AR158" s="6" t="str">
        <f>IF(最佳化斷筋點!T158="","",最佳化斷筋點!T158)</f>
        <v/>
      </c>
      <c r="AS158" s="6" t="str">
        <f>IF(最佳化斷筋點!U158="","",最佳化斷筋點!U158)</f>
        <v/>
      </c>
      <c r="AT158" s="6" t="str">
        <f>IF(最佳化斷筋點!V158="","",最佳化斷筋點!V158)</f>
        <v/>
      </c>
      <c r="AU158" s="6" t="str">
        <f>IF(最佳化斷筋點!W158="","",最佳化斷筋點!W158)</f>
        <v/>
      </c>
      <c r="AV158" s="6" t="str">
        <f>IF(最佳化斷筋點!X158="","",最佳化斷筋點!X158)</f>
        <v/>
      </c>
    </row>
    <row r="159" spans="4:71" x14ac:dyDescent="0.25">
      <c r="D159" s="6" t="s">
        <v>50</v>
      </c>
      <c r="E159" s="6">
        <f t="shared" si="43"/>
        <v>0</v>
      </c>
      <c r="F159" s="6">
        <f t="shared" si="44"/>
        <v>0</v>
      </c>
      <c r="G159" s="6">
        <f t="shared" si="45"/>
        <v>0</v>
      </c>
      <c r="H159" s="6">
        <f t="shared" si="46"/>
        <v>0</v>
      </c>
      <c r="I159" s="6">
        <f t="shared" si="47"/>
        <v>0</v>
      </c>
      <c r="J159" s="6">
        <f t="shared" si="48"/>
        <v>0</v>
      </c>
      <c r="K159" s="6">
        <f t="shared" si="49"/>
        <v>0</v>
      </c>
      <c r="L159" s="6">
        <f t="shared" si="50"/>
        <v>0</v>
      </c>
      <c r="M159" s="6">
        <f t="shared" si="51"/>
        <v>0</v>
      </c>
      <c r="N159" s="6">
        <f t="shared" si="52"/>
        <v>0</v>
      </c>
      <c r="O159" s="6">
        <f t="shared" si="53"/>
        <v>0</v>
      </c>
      <c r="P159" s="6">
        <f t="shared" si="54"/>
        <v>0</v>
      </c>
      <c r="Q159" s="6">
        <f t="shared" si="55"/>
        <v>0</v>
      </c>
      <c r="R159" s="6">
        <f t="shared" si="56"/>
        <v>0</v>
      </c>
      <c r="S159" s="6">
        <f t="shared" si="57"/>
        <v>0</v>
      </c>
      <c r="T159" s="6">
        <f t="shared" si="58"/>
        <v>0</v>
      </c>
      <c r="U159" s="6">
        <f t="shared" si="59"/>
        <v>0</v>
      </c>
      <c r="V159" s="6">
        <f t="shared" si="60"/>
        <v>0</v>
      </c>
      <c r="W159" s="6">
        <f t="shared" si="61"/>
        <v>0</v>
      </c>
      <c r="X159" s="6">
        <f t="shared" si="62"/>
        <v>0</v>
      </c>
      <c r="Y159" s="6">
        <f t="shared" si="63"/>
        <v>0</v>
      </c>
      <c r="AA159" s="6" t="str">
        <f>IF(最佳化斷筋點!C159="","",最佳化斷筋點!C159)</f>
        <v>上層</v>
      </c>
      <c r="AB159" s="6">
        <f>IF(最佳化斷筋點!D159="","",最佳化斷筋點!D159)</f>
        <v>2</v>
      </c>
      <c r="AC159" s="6">
        <f>IF(最佳化斷筋點!E159="","",最佳化斷筋點!E159)</f>
        <v>2</v>
      </c>
      <c r="AD159" s="6">
        <f>IF(最佳化斷筋點!F159="","",最佳化斷筋點!F159)</f>
        <v>2</v>
      </c>
      <c r="AE159" s="6">
        <f>IF(最佳化斷筋點!G159="","",最佳化斷筋點!G159)</f>
        <v>2</v>
      </c>
      <c r="AF159" s="6">
        <f>IF(最佳化斷筋點!H159="","",最佳化斷筋點!H159)</f>
        <v>2</v>
      </c>
      <c r="AG159" s="6">
        <f>IF(最佳化斷筋點!I159="","",最佳化斷筋點!I159)</f>
        <v>2</v>
      </c>
      <c r="AH159" s="6">
        <f>IF(最佳化斷筋點!J159="","",最佳化斷筋點!J159)</f>
        <v>2</v>
      </c>
      <c r="AI159" s="6">
        <f>IF(最佳化斷筋點!K159="","",最佳化斷筋點!K159)</f>
        <v>2</v>
      </c>
      <c r="AJ159" s="6">
        <f>IF(最佳化斷筋點!L159="","",最佳化斷筋點!L159)</f>
        <v>2</v>
      </c>
      <c r="AK159" s="6">
        <f>IF(最佳化斷筋點!M159="","",最佳化斷筋點!M159)</f>
        <v>2</v>
      </c>
      <c r="AL159" s="6">
        <f>IF(最佳化斷筋點!N159="","",最佳化斷筋點!N159)</f>
        <v>2</v>
      </c>
      <c r="AM159" s="6">
        <f>IF(最佳化斷筋點!O159="","",最佳化斷筋點!O159)</f>
        <v>2</v>
      </c>
      <c r="AN159" s="6">
        <f>IF(最佳化斷筋點!P159="","",最佳化斷筋點!P159)</f>
        <v>2</v>
      </c>
      <c r="AO159" s="6">
        <f>IF(最佳化斷筋點!Q159="","",最佳化斷筋點!Q159)</f>
        <v>3</v>
      </c>
      <c r="AP159" s="6">
        <f>IF(最佳化斷筋點!R159="","",最佳化斷筋點!R159)</f>
        <v>4</v>
      </c>
      <c r="AQ159" s="6">
        <f>IF(最佳化斷筋點!S159="","",最佳化斷筋點!S159)</f>
        <v>4</v>
      </c>
      <c r="AR159" s="6">
        <f>IF(最佳化斷筋點!T159="","",最佳化斷筋點!T159)</f>
        <v>5</v>
      </c>
      <c r="AS159" s="6">
        <f>IF(最佳化斷筋點!U159="","",最佳化斷筋點!U159)</f>
        <v>6</v>
      </c>
      <c r="AT159" s="6">
        <f>IF(最佳化斷筋點!V159="","",最佳化斷筋點!V159)</f>
        <v>7</v>
      </c>
      <c r="AU159" s="6">
        <f>IF(最佳化斷筋點!W159="","",最佳化斷筋點!W159)</f>
        <v>8</v>
      </c>
      <c r="AV159" s="6">
        <f>IF(最佳化斷筋點!X159="","",最佳化斷筋點!X159)</f>
        <v>8</v>
      </c>
      <c r="AX159" s="6" t="s">
        <v>50</v>
      </c>
      <c r="AY159" s="6">
        <v>2</v>
      </c>
      <c r="AZ159" s="6">
        <v>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3</v>
      </c>
      <c r="BM159" s="6">
        <v>4</v>
      </c>
      <c r="BN159" s="6">
        <v>4</v>
      </c>
      <c r="BO159" s="6">
        <v>5</v>
      </c>
      <c r="BP159" s="6">
        <v>6</v>
      </c>
      <c r="BQ159" s="6">
        <v>7</v>
      </c>
      <c r="BR159" s="6">
        <v>8</v>
      </c>
      <c r="BS159" s="6">
        <v>8</v>
      </c>
    </row>
    <row r="160" spans="4:71" x14ac:dyDescent="0.25">
      <c r="E160" s="6">
        <f t="shared" si="43"/>
        <v>0</v>
      </c>
      <c r="F160" s="6">
        <f t="shared" si="44"/>
        <v>0</v>
      </c>
      <c r="G160" s="6">
        <f t="shared" si="45"/>
        <v>0</v>
      </c>
      <c r="H160" s="6">
        <f t="shared" si="46"/>
        <v>0</v>
      </c>
      <c r="I160" s="6">
        <f t="shared" si="47"/>
        <v>0</v>
      </c>
      <c r="J160" s="6">
        <f t="shared" si="48"/>
        <v>0</v>
      </c>
      <c r="K160" s="6">
        <f t="shared" si="49"/>
        <v>0</v>
      </c>
      <c r="L160" s="6">
        <f t="shared" si="50"/>
        <v>0</v>
      </c>
      <c r="M160" s="6">
        <f t="shared" si="51"/>
        <v>0</v>
      </c>
      <c r="N160" s="6">
        <f t="shared" si="52"/>
        <v>0</v>
      </c>
      <c r="O160" s="6">
        <f t="shared" si="53"/>
        <v>0</v>
      </c>
      <c r="P160" s="6">
        <f t="shared" si="54"/>
        <v>0</v>
      </c>
      <c r="Q160" s="6">
        <f t="shared" si="55"/>
        <v>0</v>
      </c>
      <c r="R160" s="6">
        <f t="shared" si="56"/>
        <v>0</v>
      </c>
      <c r="S160" s="6">
        <f t="shared" si="57"/>
        <v>0</v>
      </c>
      <c r="T160" s="6">
        <f t="shared" si="58"/>
        <v>0</v>
      </c>
      <c r="U160" s="6">
        <f t="shared" si="59"/>
        <v>0</v>
      </c>
      <c r="V160" s="6">
        <f t="shared" si="60"/>
        <v>0</v>
      </c>
      <c r="W160" s="6">
        <f t="shared" si="61"/>
        <v>0</v>
      </c>
      <c r="X160" s="6">
        <f t="shared" si="62"/>
        <v>0</v>
      </c>
      <c r="Y160" s="6">
        <f t="shared" si="63"/>
        <v>0</v>
      </c>
      <c r="AA160" s="6" t="str">
        <f>IF(最佳化斷筋點!C160="","",最佳化斷筋點!C160)</f>
        <v/>
      </c>
      <c r="AB160" s="6" t="str">
        <f>IF(最佳化斷筋點!D160="","",最佳化斷筋點!D160)</f>
        <v/>
      </c>
      <c r="AC160" s="6" t="str">
        <f>IF(最佳化斷筋點!E160="","",最佳化斷筋點!E160)</f>
        <v/>
      </c>
      <c r="AD160" s="6" t="str">
        <f>IF(最佳化斷筋點!F160="","",最佳化斷筋點!F160)</f>
        <v/>
      </c>
      <c r="AE160" s="6" t="str">
        <f>IF(最佳化斷筋點!G160="","",最佳化斷筋點!G160)</f>
        <v/>
      </c>
      <c r="AF160" s="6" t="str">
        <f>IF(最佳化斷筋點!H160="","",最佳化斷筋點!H160)</f>
        <v/>
      </c>
      <c r="AG160" s="6" t="str">
        <f>IF(最佳化斷筋點!I160="","",最佳化斷筋點!I160)</f>
        <v/>
      </c>
      <c r="AH160" s="6" t="str">
        <f>IF(最佳化斷筋點!J160="","",最佳化斷筋點!J160)</f>
        <v/>
      </c>
      <c r="AI160" s="6" t="str">
        <f>IF(最佳化斷筋點!K160="","",最佳化斷筋點!K160)</f>
        <v/>
      </c>
      <c r="AJ160" s="6" t="str">
        <f>IF(最佳化斷筋點!L160="","",最佳化斷筋點!L160)</f>
        <v/>
      </c>
      <c r="AK160" s="6" t="str">
        <f>IF(最佳化斷筋點!M160="","",最佳化斷筋點!M160)</f>
        <v/>
      </c>
      <c r="AL160" s="6" t="str">
        <f>IF(最佳化斷筋點!N160="","",最佳化斷筋點!N160)</f>
        <v/>
      </c>
      <c r="AM160" s="6" t="str">
        <f>IF(最佳化斷筋點!O160="","",最佳化斷筋點!O160)</f>
        <v/>
      </c>
      <c r="AN160" s="6" t="str">
        <f>IF(最佳化斷筋點!P160="","",最佳化斷筋點!P160)</f>
        <v/>
      </c>
      <c r="AO160" s="6" t="str">
        <f>IF(最佳化斷筋點!Q160="","",最佳化斷筋點!Q160)</f>
        <v/>
      </c>
      <c r="AP160" s="6" t="str">
        <f>IF(最佳化斷筋點!R160="","",最佳化斷筋點!R160)</f>
        <v/>
      </c>
      <c r="AQ160" s="6" t="str">
        <f>IF(最佳化斷筋點!S160="","",最佳化斷筋點!S160)</f>
        <v/>
      </c>
      <c r="AR160" s="6" t="str">
        <f>IF(最佳化斷筋點!T160="","",最佳化斷筋點!T160)</f>
        <v/>
      </c>
      <c r="AS160" s="6" t="str">
        <f>IF(最佳化斷筋點!U160="","",最佳化斷筋點!U160)</f>
        <v/>
      </c>
      <c r="AT160" s="6" t="str">
        <f>IF(最佳化斷筋點!V160="","",最佳化斷筋點!V160)</f>
        <v/>
      </c>
      <c r="AU160" s="6" t="str">
        <f>IF(最佳化斷筋點!W160="","",最佳化斷筋點!W160)</f>
        <v/>
      </c>
      <c r="AV160" s="6" t="str">
        <f>IF(最佳化斷筋點!X160="","",最佳化斷筋點!X160)</f>
        <v/>
      </c>
    </row>
    <row r="161" spans="4:71" x14ac:dyDescent="0.25">
      <c r="D161" s="6" t="s">
        <v>51</v>
      </c>
      <c r="E161" s="6">
        <f t="shared" si="43"/>
        <v>0</v>
      </c>
      <c r="F161" s="6">
        <f t="shared" si="44"/>
        <v>0</v>
      </c>
      <c r="G161" s="6">
        <f t="shared" si="45"/>
        <v>0</v>
      </c>
      <c r="H161" s="6">
        <f t="shared" si="46"/>
        <v>0</v>
      </c>
      <c r="I161" s="6">
        <f t="shared" si="47"/>
        <v>0</v>
      </c>
      <c r="J161" s="6">
        <f t="shared" si="48"/>
        <v>0</v>
      </c>
      <c r="K161" s="6">
        <f t="shared" si="49"/>
        <v>0</v>
      </c>
      <c r="L161" s="6">
        <f t="shared" si="50"/>
        <v>0</v>
      </c>
      <c r="M161" s="6">
        <f t="shared" si="51"/>
        <v>0</v>
      </c>
      <c r="N161" s="6">
        <f t="shared" si="52"/>
        <v>0</v>
      </c>
      <c r="O161" s="6">
        <f t="shared" si="53"/>
        <v>0</v>
      </c>
      <c r="P161" s="6">
        <f t="shared" si="54"/>
        <v>0</v>
      </c>
      <c r="Q161" s="6">
        <f t="shared" si="55"/>
        <v>0</v>
      </c>
      <c r="R161" s="6">
        <f t="shared" si="56"/>
        <v>0</v>
      </c>
      <c r="S161" s="6">
        <f t="shared" si="57"/>
        <v>0</v>
      </c>
      <c r="T161" s="6">
        <f t="shared" si="58"/>
        <v>0</v>
      </c>
      <c r="U161" s="6">
        <f t="shared" si="59"/>
        <v>0</v>
      </c>
      <c r="V161" s="6">
        <f t="shared" si="60"/>
        <v>0</v>
      </c>
      <c r="W161" s="6">
        <f t="shared" si="61"/>
        <v>0</v>
      </c>
      <c r="X161" s="6">
        <f t="shared" si="62"/>
        <v>0</v>
      </c>
      <c r="Y161" s="6">
        <f t="shared" si="63"/>
        <v>0</v>
      </c>
      <c r="AA161" s="6" t="str">
        <f>IF(最佳化斷筋點!C161="","",最佳化斷筋點!C161)</f>
        <v>下層</v>
      </c>
      <c r="AB161" s="6">
        <f>IF(最佳化斷筋點!D161="","",最佳化斷筋點!D161)</f>
        <v>4</v>
      </c>
      <c r="AC161" s="6">
        <f>IF(最佳化斷筋點!E161="","",最佳化斷筋點!E161)</f>
        <v>4</v>
      </c>
      <c r="AD161" s="6">
        <f>IF(最佳化斷筋點!F161="","",最佳化斷筋點!F161)</f>
        <v>4</v>
      </c>
      <c r="AE161" s="6">
        <f>IF(最佳化斷筋點!G161="","",最佳化斷筋點!G161)</f>
        <v>3</v>
      </c>
      <c r="AF161" s="6">
        <f>IF(最佳化斷筋點!H161="","",最佳化斷筋點!H161)</f>
        <v>3</v>
      </c>
      <c r="AG161" s="6">
        <f>IF(最佳化斷筋點!I161="","",最佳化斷筋點!I161)</f>
        <v>3</v>
      </c>
      <c r="AH161" s="6">
        <f>IF(最佳化斷筋點!J161="","",最佳化斷筋點!J161)</f>
        <v>4</v>
      </c>
      <c r="AI161" s="6">
        <f>IF(最佳化斷筋點!K161="","",最佳化斷筋點!K161)</f>
        <v>4</v>
      </c>
      <c r="AJ161" s="6">
        <f>IF(最佳化斷筋點!L161="","",最佳化斷筋點!L161)</f>
        <v>4</v>
      </c>
      <c r="AK161" s="6">
        <f>IF(最佳化斷筋點!M161="","",最佳化斷筋點!M161)</f>
        <v>4</v>
      </c>
      <c r="AL161" s="6">
        <f>IF(最佳化斷筋點!N161="","",最佳化斷筋點!N161)</f>
        <v>4</v>
      </c>
      <c r="AM161" s="6">
        <f>IF(最佳化斷筋點!O161="","",最佳化斷筋點!O161)</f>
        <v>4</v>
      </c>
      <c r="AN161" s="6">
        <f>IF(最佳化斷筋點!P161="","",最佳化斷筋點!P161)</f>
        <v>4</v>
      </c>
      <c r="AO161" s="6">
        <f>IF(最佳化斷筋點!Q161="","",最佳化斷筋點!Q161)</f>
        <v>4</v>
      </c>
      <c r="AP161" s="6">
        <f>IF(最佳化斷筋點!R161="","",最佳化斷筋點!R161)</f>
        <v>4</v>
      </c>
      <c r="AQ161" s="6">
        <f>IF(最佳化斷筋點!S161="","",最佳化斷筋點!S161)</f>
        <v>3</v>
      </c>
      <c r="AR161" s="6">
        <f>IF(最佳化斷筋點!T161="","",最佳化斷筋點!T161)</f>
        <v>3</v>
      </c>
      <c r="AS161" s="6">
        <f>IF(最佳化斷筋點!U161="","",最佳化斷筋點!U161)</f>
        <v>3</v>
      </c>
      <c r="AT161" s="6">
        <f>IF(最佳化斷筋點!V161="","",最佳化斷筋點!V161)</f>
        <v>3</v>
      </c>
      <c r="AU161" s="6">
        <f>IF(最佳化斷筋點!W161="","",最佳化斷筋點!W161)</f>
        <v>3</v>
      </c>
      <c r="AV161" s="6">
        <f>IF(最佳化斷筋點!X161="","",最佳化斷筋點!X161)</f>
        <v>3</v>
      </c>
      <c r="AX161" s="6" t="s">
        <v>51</v>
      </c>
      <c r="AY161" s="6">
        <v>4</v>
      </c>
      <c r="AZ161" s="6">
        <v>4</v>
      </c>
      <c r="BA161" s="6">
        <v>4</v>
      </c>
      <c r="BB161" s="6">
        <v>3</v>
      </c>
      <c r="BC161" s="6">
        <v>3</v>
      </c>
      <c r="BD161" s="6">
        <v>3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3</v>
      </c>
      <c r="BO161" s="6">
        <v>3</v>
      </c>
      <c r="BP161" s="6">
        <v>3</v>
      </c>
      <c r="BQ161" s="6">
        <v>3</v>
      </c>
      <c r="BR161" s="6">
        <v>3</v>
      </c>
      <c r="BS161" s="6">
        <v>3</v>
      </c>
    </row>
    <row r="162" spans="4:71" x14ac:dyDescent="0.25">
      <c r="E162" s="6">
        <f t="shared" si="43"/>
        <v>0</v>
      </c>
      <c r="F162" s="6">
        <f t="shared" si="44"/>
        <v>0</v>
      </c>
      <c r="G162" s="6">
        <f t="shared" si="45"/>
        <v>0</v>
      </c>
      <c r="H162" s="6">
        <f t="shared" si="46"/>
        <v>0</v>
      </c>
      <c r="I162" s="6">
        <f t="shared" si="47"/>
        <v>0</v>
      </c>
      <c r="J162" s="6">
        <f t="shared" si="48"/>
        <v>0</v>
      </c>
      <c r="K162" s="6">
        <f t="shared" si="49"/>
        <v>0</v>
      </c>
      <c r="L162" s="6">
        <f t="shared" si="50"/>
        <v>0</v>
      </c>
      <c r="M162" s="6">
        <f t="shared" si="51"/>
        <v>0</v>
      </c>
      <c r="N162" s="6">
        <f t="shared" si="52"/>
        <v>0</v>
      </c>
      <c r="O162" s="6">
        <f t="shared" si="53"/>
        <v>0</v>
      </c>
      <c r="P162" s="6">
        <f t="shared" si="54"/>
        <v>0</v>
      </c>
      <c r="Q162" s="6">
        <f t="shared" si="55"/>
        <v>0</v>
      </c>
      <c r="R162" s="6">
        <f t="shared" si="56"/>
        <v>0</v>
      </c>
      <c r="S162" s="6">
        <f t="shared" si="57"/>
        <v>0</v>
      </c>
      <c r="T162" s="6">
        <f t="shared" si="58"/>
        <v>0</v>
      </c>
      <c r="U162" s="6">
        <f t="shared" si="59"/>
        <v>0</v>
      </c>
      <c r="V162" s="6">
        <f t="shared" si="60"/>
        <v>0</v>
      </c>
      <c r="W162" s="6">
        <f t="shared" si="61"/>
        <v>0</v>
      </c>
      <c r="X162" s="6">
        <f t="shared" si="62"/>
        <v>0</v>
      </c>
      <c r="Y162" s="6">
        <f t="shared" si="63"/>
        <v>0</v>
      </c>
      <c r="AA162" s="6" t="str">
        <f>IF(最佳化斷筋點!C162="","",最佳化斷筋點!C162)</f>
        <v/>
      </c>
      <c r="AB162" s="6" t="str">
        <f>IF(最佳化斷筋點!D162="","",最佳化斷筋點!D162)</f>
        <v/>
      </c>
      <c r="AC162" s="6" t="str">
        <f>IF(最佳化斷筋點!E162="","",最佳化斷筋點!E162)</f>
        <v/>
      </c>
      <c r="AD162" s="6" t="str">
        <f>IF(最佳化斷筋點!F162="","",最佳化斷筋點!F162)</f>
        <v/>
      </c>
      <c r="AE162" s="6" t="str">
        <f>IF(最佳化斷筋點!G162="","",最佳化斷筋點!G162)</f>
        <v/>
      </c>
      <c r="AF162" s="6" t="str">
        <f>IF(最佳化斷筋點!H162="","",最佳化斷筋點!H162)</f>
        <v/>
      </c>
      <c r="AG162" s="6" t="str">
        <f>IF(最佳化斷筋點!I162="","",最佳化斷筋點!I162)</f>
        <v/>
      </c>
      <c r="AH162" s="6" t="str">
        <f>IF(最佳化斷筋點!J162="","",最佳化斷筋點!J162)</f>
        <v/>
      </c>
      <c r="AI162" s="6" t="str">
        <f>IF(最佳化斷筋點!K162="","",最佳化斷筋點!K162)</f>
        <v/>
      </c>
      <c r="AJ162" s="6" t="str">
        <f>IF(最佳化斷筋點!L162="","",最佳化斷筋點!L162)</f>
        <v/>
      </c>
      <c r="AK162" s="6" t="str">
        <f>IF(最佳化斷筋點!M162="","",最佳化斷筋點!M162)</f>
        <v/>
      </c>
      <c r="AL162" s="6" t="str">
        <f>IF(最佳化斷筋點!N162="","",最佳化斷筋點!N162)</f>
        <v/>
      </c>
      <c r="AM162" s="6" t="str">
        <f>IF(最佳化斷筋點!O162="","",最佳化斷筋點!O162)</f>
        <v/>
      </c>
      <c r="AN162" s="6" t="str">
        <f>IF(最佳化斷筋點!P162="","",最佳化斷筋點!P162)</f>
        <v/>
      </c>
      <c r="AO162" s="6" t="str">
        <f>IF(最佳化斷筋點!Q162="","",最佳化斷筋點!Q162)</f>
        <v/>
      </c>
      <c r="AP162" s="6" t="str">
        <f>IF(最佳化斷筋點!R162="","",最佳化斷筋點!R162)</f>
        <v/>
      </c>
      <c r="AQ162" s="6" t="str">
        <f>IF(最佳化斷筋點!S162="","",最佳化斷筋點!S162)</f>
        <v/>
      </c>
      <c r="AR162" s="6" t="str">
        <f>IF(最佳化斷筋點!T162="","",最佳化斷筋點!T162)</f>
        <v/>
      </c>
      <c r="AS162" s="6" t="str">
        <f>IF(最佳化斷筋點!U162="","",最佳化斷筋點!U162)</f>
        <v/>
      </c>
      <c r="AT162" s="6" t="str">
        <f>IF(最佳化斷筋點!V162="","",最佳化斷筋點!V162)</f>
        <v/>
      </c>
      <c r="AU162" s="6" t="str">
        <f>IF(最佳化斷筋點!W162="","",最佳化斷筋點!W162)</f>
        <v/>
      </c>
      <c r="AV162" s="6" t="str">
        <f>IF(最佳化斷筋點!X162="","",最佳化斷筋點!X162)</f>
        <v/>
      </c>
    </row>
    <row r="163" spans="4:71" x14ac:dyDescent="0.25">
      <c r="D163" s="6" t="s">
        <v>50</v>
      </c>
      <c r="E163" s="6">
        <f t="shared" si="43"/>
        <v>0</v>
      </c>
      <c r="F163" s="6">
        <f t="shared" si="44"/>
        <v>0</v>
      </c>
      <c r="G163" s="6">
        <f t="shared" si="45"/>
        <v>0</v>
      </c>
      <c r="H163" s="6">
        <f t="shared" si="46"/>
        <v>0</v>
      </c>
      <c r="I163" s="6">
        <f t="shared" si="47"/>
        <v>0</v>
      </c>
      <c r="J163" s="6">
        <f t="shared" si="48"/>
        <v>0</v>
      </c>
      <c r="K163" s="6">
        <f t="shared" si="49"/>
        <v>0</v>
      </c>
      <c r="L163" s="6">
        <f t="shared" si="50"/>
        <v>0</v>
      </c>
      <c r="M163" s="6">
        <f t="shared" si="51"/>
        <v>0</v>
      </c>
      <c r="N163" s="6">
        <f t="shared" si="52"/>
        <v>0</v>
      </c>
      <c r="O163" s="6">
        <f t="shared" si="53"/>
        <v>0</v>
      </c>
      <c r="P163" s="6">
        <f t="shared" si="54"/>
        <v>0</v>
      </c>
      <c r="Q163" s="6">
        <f t="shared" si="55"/>
        <v>0</v>
      </c>
      <c r="R163" s="6">
        <f t="shared" si="56"/>
        <v>0</v>
      </c>
      <c r="S163" s="6">
        <f t="shared" si="57"/>
        <v>0</v>
      </c>
      <c r="T163" s="6">
        <f t="shared" si="58"/>
        <v>0</v>
      </c>
      <c r="U163" s="6">
        <f t="shared" si="59"/>
        <v>0</v>
      </c>
      <c r="V163" s="6">
        <f t="shared" si="60"/>
        <v>0</v>
      </c>
      <c r="W163" s="6">
        <f t="shared" si="61"/>
        <v>0</v>
      </c>
      <c r="X163" s="6">
        <f t="shared" si="62"/>
        <v>0</v>
      </c>
      <c r="Y163" s="6">
        <f t="shared" si="63"/>
        <v>0</v>
      </c>
      <c r="AA163" s="6" t="str">
        <f>IF(最佳化斷筋點!C163="","",最佳化斷筋點!C163)</f>
        <v>上層</v>
      </c>
      <c r="AB163" s="6">
        <f>IF(最佳化斷筋點!D163="","",最佳化斷筋點!D163)</f>
        <v>2</v>
      </c>
      <c r="AC163" s="6">
        <f>IF(最佳化斷筋點!E163="","",最佳化斷筋點!E163)</f>
        <v>2</v>
      </c>
      <c r="AD163" s="6">
        <f>IF(最佳化斷筋點!F163="","",最佳化斷筋點!F163)</f>
        <v>2</v>
      </c>
      <c r="AE163" s="6">
        <f>IF(最佳化斷筋點!G163="","",最佳化斷筋點!G163)</f>
        <v>2</v>
      </c>
      <c r="AF163" s="6">
        <f>IF(最佳化斷筋點!H163="","",最佳化斷筋點!H163)</f>
        <v>2</v>
      </c>
      <c r="AG163" s="6">
        <f>IF(最佳化斷筋點!I163="","",最佳化斷筋點!I163)</f>
        <v>2</v>
      </c>
      <c r="AH163" s="6">
        <f>IF(最佳化斷筋點!J163="","",最佳化斷筋點!J163)</f>
        <v>2</v>
      </c>
      <c r="AI163" s="6">
        <f>IF(最佳化斷筋點!K163="","",最佳化斷筋點!K163)</f>
        <v>2</v>
      </c>
      <c r="AJ163" s="6">
        <f>IF(最佳化斷筋點!L163="","",最佳化斷筋點!L163)</f>
        <v>2</v>
      </c>
      <c r="AK163" s="6">
        <f>IF(最佳化斷筋點!M163="","",最佳化斷筋點!M163)</f>
        <v>2</v>
      </c>
      <c r="AL163" s="6">
        <f>IF(最佳化斷筋點!N163="","",最佳化斷筋點!N163)</f>
        <v>2</v>
      </c>
      <c r="AM163" s="6">
        <f>IF(最佳化斷筋點!O163="","",最佳化斷筋點!O163)</f>
        <v>2</v>
      </c>
      <c r="AN163" s="6">
        <f>IF(最佳化斷筋點!P163="","",最佳化斷筋點!P163)</f>
        <v>2</v>
      </c>
      <c r="AO163" s="6">
        <f>IF(最佳化斷筋點!Q163="","",最佳化斷筋點!Q163)</f>
        <v>3</v>
      </c>
      <c r="AP163" s="6">
        <f>IF(最佳化斷筋點!R163="","",最佳化斷筋點!R163)</f>
        <v>3</v>
      </c>
      <c r="AQ163" s="6">
        <f>IF(最佳化斷筋點!S163="","",最佳化斷筋點!S163)</f>
        <v>4</v>
      </c>
      <c r="AR163" s="6">
        <f>IF(最佳化斷筋點!T163="","",最佳化斷筋點!T163)</f>
        <v>5</v>
      </c>
      <c r="AS163" s="6">
        <f>IF(最佳化斷筋點!U163="","",最佳化斷筋點!U163)</f>
        <v>5</v>
      </c>
      <c r="AT163" s="6">
        <f>IF(最佳化斷筋點!V163="","",最佳化斷筋點!V163)</f>
        <v>6</v>
      </c>
      <c r="AU163" s="6">
        <f>IF(最佳化斷筋點!W163="","",最佳化斷筋點!W163)</f>
        <v>7</v>
      </c>
      <c r="AV163" s="6">
        <f>IF(最佳化斷筋點!X163="","",最佳化斷筋點!X163)</f>
        <v>7</v>
      </c>
      <c r="AX163" s="6" t="s">
        <v>50</v>
      </c>
      <c r="AY163" s="6">
        <v>2</v>
      </c>
      <c r="AZ163" s="6">
        <v>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3</v>
      </c>
      <c r="BN163" s="6">
        <v>4</v>
      </c>
      <c r="BO163" s="6">
        <v>5</v>
      </c>
      <c r="BP163" s="6">
        <v>5</v>
      </c>
      <c r="BQ163" s="6">
        <v>6</v>
      </c>
      <c r="BR163" s="6">
        <v>7</v>
      </c>
      <c r="BS163" s="6">
        <v>7</v>
      </c>
    </row>
    <row r="164" spans="4:71" x14ac:dyDescent="0.25">
      <c r="E164" s="6">
        <f t="shared" si="43"/>
        <v>0</v>
      </c>
      <c r="F164" s="6">
        <f t="shared" si="44"/>
        <v>0</v>
      </c>
      <c r="G164" s="6">
        <f t="shared" si="45"/>
        <v>0</v>
      </c>
      <c r="H164" s="6">
        <f t="shared" si="46"/>
        <v>0</v>
      </c>
      <c r="I164" s="6">
        <f t="shared" si="47"/>
        <v>0</v>
      </c>
      <c r="J164" s="6">
        <f t="shared" si="48"/>
        <v>0</v>
      </c>
      <c r="K164" s="6">
        <f t="shared" si="49"/>
        <v>0</v>
      </c>
      <c r="L164" s="6">
        <f t="shared" si="50"/>
        <v>0</v>
      </c>
      <c r="M164" s="6">
        <f t="shared" si="51"/>
        <v>0</v>
      </c>
      <c r="N164" s="6">
        <f t="shared" si="52"/>
        <v>0</v>
      </c>
      <c r="O164" s="6">
        <f t="shared" si="53"/>
        <v>0</v>
      </c>
      <c r="P164" s="6">
        <f t="shared" si="54"/>
        <v>0</v>
      </c>
      <c r="Q164" s="6">
        <f t="shared" si="55"/>
        <v>0</v>
      </c>
      <c r="R164" s="6">
        <f t="shared" si="56"/>
        <v>0</v>
      </c>
      <c r="S164" s="6">
        <f t="shared" si="57"/>
        <v>0</v>
      </c>
      <c r="T164" s="6">
        <f t="shared" si="58"/>
        <v>0</v>
      </c>
      <c r="U164" s="6">
        <f t="shared" si="59"/>
        <v>0</v>
      </c>
      <c r="V164" s="6">
        <f t="shared" si="60"/>
        <v>0</v>
      </c>
      <c r="W164" s="6">
        <f t="shared" si="61"/>
        <v>0</v>
      </c>
      <c r="X164" s="6">
        <f t="shared" si="62"/>
        <v>0</v>
      </c>
      <c r="Y164" s="6">
        <f t="shared" si="63"/>
        <v>0</v>
      </c>
      <c r="AA164" s="6" t="str">
        <f>IF(最佳化斷筋點!C164="","",最佳化斷筋點!C164)</f>
        <v/>
      </c>
      <c r="AB164" s="6" t="str">
        <f>IF(最佳化斷筋點!D164="","",最佳化斷筋點!D164)</f>
        <v/>
      </c>
      <c r="AC164" s="6" t="str">
        <f>IF(最佳化斷筋點!E164="","",最佳化斷筋點!E164)</f>
        <v/>
      </c>
      <c r="AD164" s="6" t="str">
        <f>IF(最佳化斷筋點!F164="","",最佳化斷筋點!F164)</f>
        <v/>
      </c>
      <c r="AE164" s="6" t="str">
        <f>IF(最佳化斷筋點!G164="","",最佳化斷筋點!G164)</f>
        <v/>
      </c>
      <c r="AF164" s="6" t="str">
        <f>IF(最佳化斷筋點!H164="","",最佳化斷筋點!H164)</f>
        <v/>
      </c>
      <c r="AG164" s="6" t="str">
        <f>IF(最佳化斷筋點!I164="","",最佳化斷筋點!I164)</f>
        <v/>
      </c>
      <c r="AH164" s="6" t="str">
        <f>IF(最佳化斷筋點!J164="","",最佳化斷筋點!J164)</f>
        <v/>
      </c>
      <c r="AI164" s="6" t="str">
        <f>IF(最佳化斷筋點!K164="","",最佳化斷筋點!K164)</f>
        <v/>
      </c>
      <c r="AJ164" s="6" t="str">
        <f>IF(最佳化斷筋點!L164="","",最佳化斷筋點!L164)</f>
        <v/>
      </c>
      <c r="AK164" s="6" t="str">
        <f>IF(最佳化斷筋點!M164="","",最佳化斷筋點!M164)</f>
        <v/>
      </c>
      <c r="AL164" s="6" t="str">
        <f>IF(最佳化斷筋點!N164="","",最佳化斷筋點!N164)</f>
        <v/>
      </c>
      <c r="AM164" s="6" t="str">
        <f>IF(最佳化斷筋點!O164="","",最佳化斷筋點!O164)</f>
        <v/>
      </c>
      <c r="AN164" s="6" t="str">
        <f>IF(最佳化斷筋點!P164="","",最佳化斷筋點!P164)</f>
        <v/>
      </c>
      <c r="AO164" s="6" t="str">
        <f>IF(最佳化斷筋點!Q164="","",最佳化斷筋點!Q164)</f>
        <v/>
      </c>
      <c r="AP164" s="6" t="str">
        <f>IF(最佳化斷筋點!R164="","",最佳化斷筋點!R164)</f>
        <v/>
      </c>
      <c r="AQ164" s="6" t="str">
        <f>IF(最佳化斷筋點!S164="","",最佳化斷筋點!S164)</f>
        <v/>
      </c>
      <c r="AR164" s="6" t="str">
        <f>IF(最佳化斷筋點!T164="","",最佳化斷筋點!T164)</f>
        <v/>
      </c>
      <c r="AS164" s="6" t="str">
        <f>IF(最佳化斷筋點!U164="","",最佳化斷筋點!U164)</f>
        <v/>
      </c>
      <c r="AT164" s="6" t="str">
        <f>IF(最佳化斷筋點!V164="","",最佳化斷筋點!V164)</f>
        <v/>
      </c>
      <c r="AU164" s="6" t="str">
        <f>IF(最佳化斷筋點!W164="","",最佳化斷筋點!W164)</f>
        <v/>
      </c>
      <c r="AV164" s="6" t="str">
        <f>IF(最佳化斷筋點!X164="","",最佳化斷筋點!X164)</f>
        <v/>
      </c>
    </row>
    <row r="165" spans="4:71" x14ac:dyDescent="0.25">
      <c r="D165" s="6" t="s">
        <v>51</v>
      </c>
      <c r="E165" s="6">
        <f t="shared" si="43"/>
        <v>0</v>
      </c>
      <c r="F165" s="6">
        <f t="shared" si="44"/>
        <v>0</v>
      </c>
      <c r="G165" s="6">
        <f t="shared" si="45"/>
        <v>0</v>
      </c>
      <c r="H165" s="6">
        <f t="shared" si="46"/>
        <v>0</v>
      </c>
      <c r="I165" s="6">
        <f t="shared" si="47"/>
        <v>0</v>
      </c>
      <c r="J165" s="6">
        <f t="shared" si="48"/>
        <v>0</v>
      </c>
      <c r="K165" s="6">
        <f t="shared" si="49"/>
        <v>0</v>
      </c>
      <c r="L165" s="6">
        <f t="shared" si="50"/>
        <v>0</v>
      </c>
      <c r="M165" s="6">
        <f t="shared" si="51"/>
        <v>0</v>
      </c>
      <c r="N165" s="6">
        <f t="shared" si="52"/>
        <v>0</v>
      </c>
      <c r="O165" s="6">
        <f t="shared" si="53"/>
        <v>0</v>
      </c>
      <c r="P165" s="6">
        <f t="shared" si="54"/>
        <v>0</v>
      </c>
      <c r="Q165" s="6">
        <f t="shared" si="55"/>
        <v>0</v>
      </c>
      <c r="R165" s="6">
        <f t="shared" si="56"/>
        <v>0</v>
      </c>
      <c r="S165" s="6">
        <f t="shared" si="57"/>
        <v>0</v>
      </c>
      <c r="T165" s="6">
        <f t="shared" si="58"/>
        <v>0</v>
      </c>
      <c r="U165" s="6">
        <f t="shared" si="59"/>
        <v>0</v>
      </c>
      <c r="V165" s="6">
        <f t="shared" si="60"/>
        <v>0</v>
      </c>
      <c r="W165" s="6">
        <f t="shared" si="61"/>
        <v>0</v>
      </c>
      <c r="X165" s="6">
        <f t="shared" si="62"/>
        <v>0</v>
      </c>
      <c r="Y165" s="6">
        <f t="shared" si="63"/>
        <v>0</v>
      </c>
      <c r="AA165" s="6" t="str">
        <f>IF(最佳化斷筋點!C165="","",最佳化斷筋點!C165)</f>
        <v>下層</v>
      </c>
      <c r="AB165" s="6">
        <f>IF(最佳化斷筋點!D165="","",最佳化斷筋點!D165)</f>
        <v>3</v>
      </c>
      <c r="AC165" s="6">
        <f>IF(最佳化斷筋點!E165="","",最佳化斷筋點!E165)</f>
        <v>3</v>
      </c>
      <c r="AD165" s="6">
        <f>IF(最佳化斷筋點!F165="","",最佳化斷筋點!F165)</f>
        <v>3</v>
      </c>
      <c r="AE165" s="6">
        <f>IF(最佳化斷筋點!G165="","",最佳化斷筋點!G165)</f>
        <v>3</v>
      </c>
      <c r="AF165" s="6">
        <f>IF(最佳化斷筋點!H165="","",最佳化斷筋點!H165)</f>
        <v>2</v>
      </c>
      <c r="AG165" s="6">
        <f>IF(最佳化斷筋點!I165="","",最佳化斷筋點!I165)</f>
        <v>3</v>
      </c>
      <c r="AH165" s="6">
        <f>IF(最佳化斷筋點!J165="","",最佳化斷筋點!J165)</f>
        <v>3</v>
      </c>
      <c r="AI165" s="6">
        <f>IF(最佳化斷筋點!K165="","",最佳化斷筋點!K165)</f>
        <v>3</v>
      </c>
      <c r="AJ165" s="6">
        <f>IF(最佳化斷筋點!L165="","",最佳化斷筋點!L165)</f>
        <v>3</v>
      </c>
      <c r="AK165" s="6">
        <f>IF(最佳化斷筋點!M165="","",最佳化斷筋點!M165)</f>
        <v>3</v>
      </c>
      <c r="AL165" s="6">
        <f>IF(最佳化斷筋點!N165="","",最佳化斷筋點!N165)</f>
        <v>3</v>
      </c>
      <c r="AM165" s="6">
        <f>IF(最佳化斷筋點!O165="","",最佳化斷筋點!O165)</f>
        <v>3</v>
      </c>
      <c r="AN165" s="6">
        <f>IF(最佳化斷筋點!P165="","",最佳化斷筋點!P165)</f>
        <v>3</v>
      </c>
      <c r="AO165" s="6">
        <f>IF(最佳化斷筋點!Q165="","",最佳化斷筋點!Q165)</f>
        <v>3</v>
      </c>
      <c r="AP165" s="6">
        <f>IF(最佳化斷筋點!R165="","",最佳化斷筋點!R165)</f>
        <v>3</v>
      </c>
      <c r="AQ165" s="6">
        <f>IF(最佳化斷筋點!S165="","",最佳化斷筋點!S165)</f>
        <v>3</v>
      </c>
      <c r="AR165" s="6">
        <f>IF(最佳化斷筋點!T165="","",最佳化斷筋點!T165)</f>
        <v>2</v>
      </c>
      <c r="AS165" s="6">
        <f>IF(最佳化斷筋點!U165="","",最佳化斷筋點!U165)</f>
        <v>3</v>
      </c>
      <c r="AT165" s="6">
        <f>IF(最佳化斷筋點!V165="","",最佳化斷筋點!V165)</f>
        <v>3</v>
      </c>
      <c r="AU165" s="6">
        <f>IF(最佳化斷筋點!W165="","",最佳化斷筋點!W165)</f>
        <v>3</v>
      </c>
      <c r="AV165" s="6">
        <f>IF(最佳化斷筋點!X165="","",最佳化斷筋點!X165)</f>
        <v>3</v>
      </c>
      <c r="AX165" s="6" t="s">
        <v>51</v>
      </c>
      <c r="AY165" s="6">
        <v>3</v>
      </c>
      <c r="AZ165" s="6">
        <v>3</v>
      </c>
      <c r="BA165" s="6">
        <v>3</v>
      </c>
      <c r="BB165" s="6">
        <v>3</v>
      </c>
      <c r="BC165" s="6">
        <v>2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2</v>
      </c>
      <c r="BP165" s="6">
        <v>3</v>
      </c>
      <c r="BQ165" s="6">
        <v>3</v>
      </c>
      <c r="BR165" s="6">
        <v>3</v>
      </c>
      <c r="BS165" s="6">
        <v>3</v>
      </c>
    </row>
    <row r="166" spans="4:71" x14ac:dyDescent="0.25">
      <c r="E166" s="6">
        <f t="shared" si="43"/>
        <v>0</v>
      </c>
      <c r="F166" s="6">
        <f t="shared" si="44"/>
        <v>0</v>
      </c>
      <c r="G166" s="6">
        <f t="shared" si="45"/>
        <v>0</v>
      </c>
      <c r="H166" s="6">
        <f t="shared" si="46"/>
        <v>0</v>
      </c>
      <c r="I166" s="6">
        <f t="shared" si="47"/>
        <v>0</v>
      </c>
      <c r="J166" s="6">
        <f t="shared" si="48"/>
        <v>0</v>
      </c>
      <c r="K166" s="6">
        <f t="shared" si="49"/>
        <v>0</v>
      </c>
      <c r="L166" s="6">
        <f t="shared" si="50"/>
        <v>0</v>
      </c>
      <c r="M166" s="6">
        <f t="shared" si="51"/>
        <v>0</v>
      </c>
      <c r="N166" s="6">
        <f t="shared" si="52"/>
        <v>0</v>
      </c>
      <c r="O166" s="6">
        <f t="shared" si="53"/>
        <v>0</v>
      </c>
      <c r="P166" s="6">
        <f t="shared" si="54"/>
        <v>0</v>
      </c>
      <c r="Q166" s="6">
        <f t="shared" si="55"/>
        <v>0</v>
      </c>
      <c r="R166" s="6">
        <f t="shared" si="56"/>
        <v>0</v>
      </c>
      <c r="S166" s="6">
        <f t="shared" si="57"/>
        <v>0</v>
      </c>
      <c r="T166" s="6">
        <f t="shared" si="58"/>
        <v>0</v>
      </c>
      <c r="U166" s="6">
        <f t="shared" si="59"/>
        <v>0</v>
      </c>
      <c r="V166" s="6">
        <f t="shared" si="60"/>
        <v>0</v>
      </c>
      <c r="W166" s="6">
        <f t="shared" si="61"/>
        <v>0</v>
      </c>
      <c r="X166" s="6">
        <f t="shared" si="62"/>
        <v>0</v>
      </c>
      <c r="Y166" s="6">
        <f t="shared" si="63"/>
        <v>0</v>
      </c>
      <c r="AA166" s="6" t="str">
        <f>IF(最佳化斷筋點!C166="","",最佳化斷筋點!C166)</f>
        <v/>
      </c>
      <c r="AB166" s="6" t="str">
        <f>IF(最佳化斷筋點!D166="","",最佳化斷筋點!D166)</f>
        <v/>
      </c>
      <c r="AC166" s="6" t="str">
        <f>IF(最佳化斷筋點!E166="","",最佳化斷筋點!E166)</f>
        <v/>
      </c>
      <c r="AD166" s="6" t="str">
        <f>IF(最佳化斷筋點!F166="","",最佳化斷筋點!F166)</f>
        <v/>
      </c>
      <c r="AE166" s="6" t="str">
        <f>IF(最佳化斷筋點!G166="","",最佳化斷筋點!G166)</f>
        <v/>
      </c>
      <c r="AF166" s="6" t="str">
        <f>IF(最佳化斷筋點!H166="","",最佳化斷筋點!H166)</f>
        <v/>
      </c>
      <c r="AG166" s="6" t="str">
        <f>IF(最佳化斷筋點!I166="","",最佳化斷筋點!I166)</f>
        <v/>
      </c>
      <c r="AH166" s="6" t="str">
        <f>IF(最佳化斷筋點!J166="","",最佳化斷筋點!J166)</f>
        <v/>
      </c>
      <c r="AI166" s="6" t="str">
        <f>IF(最佳化斷筋點!K166="","",最佳化斷筋點!K166)</f>
        <v/>
      </c>
      <c r="AJ166" s="6" t="str">
        <f>IF(最佳化斷筋點!L166="","",最佳化斷筋點!L166)</f>
        <v/>
      </c>
      <c r="AK166" s="6" t="str">
        <f>IF(最佳化斷筋點!M166="","",最佳化斷筋點!M166)</f>
        <v/>
      </c>
      <c r="AL166" s="6" t="str">
        <f>IF(最佳化斷筋點!N166="","",最佳化斷筋點!N166)</f>
        <v/>
      </c>
      <c r="AM166" s="6" t="str">
        <f>IF(最佳化斷筋點!O166="","",最佳化斷筋點!O166)</f>
        <v/>
      </c>
      <c r="AN166" s="6" t="str">
        <f>IF(最佳化斷筋點!P166="","",最佳化斷筋點!P166)</f>
        <v/>
      </c>
      <c r="AO166" s="6" t="str">
        <f>IF(最佳化斷筋點!Q166="","",最佳化斷筋點!Q166)</f>
        <v/>
      </c>
      <c r="AP166" s="6" t="str">
        <f>IF(最佳化斷筋點!R166="","",最佳化斷筋點!R166)</f>
        <v/>
      </c>
      <c r="AQ166" s="6" t="str">
        <f>IF(最佳化斷筋點!S166="","",最佳化斷筋點!S166)</f>
        <v/>
      </c>
      <c r="AR166" s="6" t="str">
        <f>IF(最佳化斷筋點!T166="","",最佳化斷筋點!T166)</f>
        <v/>
      </c>
      <c r="AS166" s="6" t="str">
        <f>IF(最佳化斷筋點!U166="","",最佳化斷筋點!U166)</f>
        <v/>
      </c>
      <c r="AT166" s="6" t="str">
        <f>IF(最佳化斷筋點!V166="","",最佳化斷筋點!V166)</f>
        <v/>
      </c>
      <c r="AU166" s="6" t="str">
        <f>IF(最佳化斷筋點!W166="","",最佳化斷筋點!W166)</f>
        <v/>
      </c>
      <c r="AV166" s="6" t="str">
        <f>IF(最佳化斷筋點!X166="","",最佳化斷筋點!X166)</f>
        <v/>
      </c>
    </row>
    <row r="167" spans="4:71" x14ac:dyDescent="0.25">
      <c r="D167" s="6" t="s">
        <v>50</v>
      </c>
      <c r="E167" s="6">
        <f t="shared" si="43"/>
        <v>0</v>
      </c>
      <c r="F167" s="6">
        <f t="shared" si="44"/>
        <v>0</v>
      </c>
      <c r="G167" s="6">
        <f t="shared" si="45"/>
        <v>0</v>
      </c>
      <c r="H167" s="6">
        <f t="shared" si="46"/>
        <v>0</v>
      </c>
      <c r="I167" s="6">
        <f t="shared" si="47"/>
        <v>0</v>
      </c>
      <c r="J167" s="6">
        <f t="shared" si="48"/>
        <v>0</v>
      </c>
      <c r="K167" s="6">
        <f t="shared" si="49"/>
        <v>0</v>
      </c>
      <c r="L167" s="6">
        <f t="shared" si="50"/>
        <v>0</v>
      </c>
      <c r="M167" s="6">
        <f t="shared" si="51"/>
        <v>0</v>
      </c>
      <c r="N167" s="6">
        <f t="shared" si="52"/>
        <v>0</v>
      </c>
      <c r="O167" s="6">
        <f t="shared" si="53"/>
        <v>0</v>
      </c>
      <c r="P167" s="6">
        <f t="shared" si="54"/>
        <v>0</v>
      </c>
      <c r="Q167" s="6">
        <f t="shared" si="55"/>
        <v>0</v>
      </c>
      <c r="R167" s="6">
        <f t="shared" si="56"/>
        <v>0</v>
      </c>
      <c r="S167" s="6">
        <f t="shared" si="57"/>
        <v>0</v>
      </c>
      <c r="T167" s="6">
        <f t="shared" si="58"/>
        <v>0</v>
      </c>
      <c r="U167" s="6">
        <f t="shared" si="59"/>
        <v>0</v>
      </c>
      <c r="V167" s="6">
        <f t="shared" si="60"/>
        <v>0</v>
      </c>
      <c r="W167" s="6">
        <f t="shared" si="61"/>
        <v>0</v>
      </c>
      <c r="X167" s="6">
        <f t="shared" si="62"/>
        <v>0</v>
      </c>
      <c r="Y167" s="6">
        <f t="shared" si="63"/>
        <v>0</v>
      </c>
      <c r="AA167" s="6" t="str">
        <f>IF(最佳化斷筋點!C167="","",最佳化斷筋點!C167)</f>
        <v>上層</v>
      </c>
      <c r="AB167" s="6">
        <f>IF(最佳化斷筋點!D167="","",最佳化斷筋點!D167)</f>
        <v>2</v>
      </c>
      <c r="AC167" s="6">
        <f>IF(最佳化斷筋點!E167="","",最佳化斷筋點!E167)</f>
        <v>2</v>
      </c>
      <c r="AD167" s="6">
        <f>IF(最佳化斷筋點!F167="","",最佳化斷筋點!F167)</f>
        <v>2</v>
      </c>
      <c r="AE167" s="6">
        <f>IF(最佳化斷筋點!G167="","",最佳化斷筋點!G167)</f>
        <v>2</v>
      </c>
      <c r="AF167" s="6">
        <f>IF(最佳化斷筋點!H167="","",最佳化斷筋點!H167)</f>
        <v>2</v>
      </c>
      <c r="AG167" s="6">
        <f>IF(最佳化斷筋點!I167="","",最佳化斷筋點!I167)</f>
        <v>2</v>
      </c>
      <c r="AH167" s="6">
        <f>IF(最佳化斷筋點!J167="","",最佳化斷筋點!J167)</f>
        <v>2</v>
      </c>
      <c r="AI167" s="6">
        <f>IF(最佳化斷筋點!K167="","",最佳化斷筋點!K167)</f>
        <v>2</v>
      </c>
      <c r="AJ167" s="6">
        <f>IF(最佳化斷筋點!L167="","",最佳化斷筋點!L167)</f>
        <v>2</v>
      </c>
      <c r="AK167" s="6">
        <f>IF(最佳化斷筋點!M167="","",最佳化斷筋點!M167)</f>
        <v>2</v>
      </c>
      <c r="AL167" s="6">
        <f>IF(最佳化斷筋點!N167="","",最佳化斷筋點!N167)</f>
        <v>2</v>
      </c>
      <c r="AM167" s="6">
        <f>IF(最佳化斷筋點!O167="","",最佳化斷筋點!O167)</f>
        <v>2</v>
      </c>
      <c r="AN167" s="6">
        <f>IF(最佳化斷筋點!P167="","",最佳化斷筋點!P167)</f>
        <v>2</v>
      </c>
      <c r="AO167" s="6">
        <f>IF(最佳化斷筋點!Q167="","",最佳化斷筋點!Q167)</f>
        <v>3</v>
      </c>
      <c r="AP167" s="6">
        <f>IF(最佳化斷筋點!R167="","",最佳化斷筋點!R167)</f>
        <v>4</v>
      </c>
      <c r="AQ167" s="6">
        <f>IF(最佳化斷筋點!S167="","",最佳化斷筋點!S167)</f>
        <v>4</v>
      </c>
      <c r="AR167" s="6">
        <f>IF(最佳化斷筋點!T167="","",最佳化斷筋點!T167)</f>
        <v>5</v>
      </c>
      <c r="AS167" s="6">
        <f>IF(最佳化斷筋點!U167="","",最佳化斷筋點!U167)</f>
        <v>6</v>
      </c>
      <c r="AT167" s="6">
        <f>IF(最佳化斷筋點!V167="","",最佳化斷筋點!V167)</f>
        <v>7</v>
      </c>
      <c r="AU167" s="6">
        <f>IF(最佳化斷筋點!W167="","",最佳化斷筋點!W167)</f>
        <v>8</v>
      </c>
      <c r="AV167" s="6">
        <f>IF(最佳化斷筋點!X167="","",最佳化斷筋點!X167)</f>
        <v>8</v>
      </c>
      <c r="AX167" s="6" t="s">
        <v>50</v>
      </c>
      <c r="AY167" s="6">
        <v>2</v>
      </c>
      <c r="AZ167" s="6">
        <v>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3</v>
      </c>
      <c r="BM167" s="6">
        <v>4</v>
      </c>
      <c r="BN167" s="6">
        <v>4</v>
      </c>
      <c r="BO167" s="6">
        <v>5</v>
      </c>
      <c r="BP167" s="6">
        <v>6</v>
      </c>
      <c r="BQ167" s="6">
        <v>7</v>
      </c>
      <c r="BR167" s="6">
        <v>8</v>
      </c>
      <c r="BS167" s="6">
        <v>8</v>
      </c>
    </row>
    <row r="168" spans="4:71" x14ac:dyDescent="0.25">
      <c r="E168" s="6">
        <f t="shared" si="43"/>
        <v>0</v>
      </c>
      <c r="F168" s="6">
        <f t="shared" si="44"/>
        <v>0</v>
      </c>
      <c r="G168" s="6">
        <f t="shared" si="45"/>
        <v>0</v>
      </c>
      <c r="H168" s="6">
        <f t="shared" si="46"/>
        <v>0</v>
      </c>
      <c r="I168" s="6">
        <f t="shared" si="47"/>
        <v>0</v>
      </c>
      <c r="J168" s="6">
        <f t="shared" si="48"/>
        <v>0</v>
      </c>
      <c r="K168" s="6">
        <f t="shared" si="49"/>
        <v>0</v>
      </c>
      <c r="L168" s="6">
        <f t="shared" si="50"/>
        <v>0</v>
      </c>
      <c r="M168" s="6">
        <f t="shared" si="51"/>
        <v>0</v>
      </c>
      <c r="N168" s="6">
        <f t="shared" si="52"/>
        <v>0</v>
      </c>
      <c r="O168" s="6">
        <f t="shared" si="53"/>
        <v>0</v>
      </c>
      <c r="P168" s="6">
        <f t="shared" si="54"/>
        <v>0</v>
      </c>
      <c r="Q168" s="6">
        <f t="shared" si="55"/>
        <v>0</v>
      </c>
      <c r="R168" s="6">
        <f t="shared" si="56"/>
        <v>0</v>
      </c>
      <c r="S168" s="6">
        <f t="shared" si="57"/>
        <v>0</v>
      </c>
      <c r="T168" s="6">
        <f t="shared" si="58"/>
        <v>0</v>
      </c>
      <c r="U168" s="6">
        <f t="shared" si="59"/>
        <v>0</v>
      </c>
      <c r="V168" s="6">
        <f t="shared" si="60"/>
        <v>0</v>
      </c>
      <c r="W168" s="6">
        <f t="shared" si="61"/>
        <v>0</v>
      </c>
      <c r="X168" s="6">
        <f t="shared" si="62"/>
        <v>0</v>
      </c>
      <c r="Y168" s="6">
        <f t="shared" si="63"/>
        <v>0</v>
      </c>
      <c r="AA168" s="6" t="str">
        <f>IF(最佳化斷筋點!C168="","",最佳化斷筋點!C168)</f>
        <v/>
      </c>
      <c r="AB168" s="6" t="str">
        <f>IF(最佳化斷筋點!D168="","",最佳化斷筋點!D168)</f>
        <v/>
      </c>
      <c r="AC168" s="6" t="str">
        <f>IF(最佳化斷筋點!E168="","",最佳化斷筋點!E168)</f>
        <v/>
      </c>
      <c r="AD168" s="6" t="str">
        <f>IF(最佳化斷筋點!F168="","",最佳化斷筋點!F168)</f>
        <v/>
      </c>
      <c r="AE168" s="6" t="str">
        <f>IF(最佳化斷筋點!G168="","",最佳化斷筋點!G168)</f>
        <v/>
      </c>
      <c r="AF168" s="6" t="str">
        <f>IF(最佳化斷筋點!H168="","",最佳化斷筋點!H168)</f>
        <v/>
      </c>
      <c r="AG168" s="6" t="str">
        <f>IF(最佳化斷筋點!I168="","",最佳化斷筋點!I168)</f>
        <v/>
      </c>
      <c r="AH168" s="6" t="str">
        <f>IF(最佳化斷筋點!J168="","",最佳化斷筋點!J168)</f>
        <v/>
      </c>
      <c r="AI168" s="6" t="str">
        <f>IF(最佳化斷筋點!K168="","",最佳化斷筋點!K168)</f>
        <v/>
      </c>
      <c r="AJ168" s="6" t="str">
        <f>IF(最佳化斷筋點!L168="","",最佳化斷筋點!L168)</f>
        <v/>
      </c>
      <c r="AK168" s="6" t="str">
        <f>IF(最佳化斷筋點!M168="","",最佳化斷筋點!M168)</f>
        <v/>
      </c>
      <c r="AL168" s="6" t="str">
        <f>IF(最佳化斷筋點!N168="","",最佳化斷筋點!N168)</f>
        <v/>
      </c>
      <c r="AM168" s="6" t="str">
        <f>IF(最佳化斷筋點!O168="","",最佳化斷筋點!O168)</f>
        <v/>
      </c>
      <c r="AN168" s="6" t="str">
        <f>IF(最佳化斷筋點!P168="","",最佳化斷筋點!P168)</f>
        <v/>
      </c>
      <c r="AO168" s="6" t="str">
        <f>IF(最佳化斷筋點!Q168="","",最佳化斷筋點!Q168)</f>
        <v/>
      </c>
      <c r="AP168" s="6" t="str">
        <f>IF(最佳化斷筋點!R168="","",最佳化斷筋點!R168)</f>
        <v/>
      </c>
      <c r="AQ168" s="6" t="str">
        <f>IF(最佳化斷筋點!S168="","",最佳化斷筋點!S168)</f>
        <v/>
      </c>
      <c r="AR168" s="6" t="str">
        <f>IF(最佳化斷筋點!T168="","",最佳化斷筋點!T168)</f>
        <v/>
      </c>
      <c r="AS168" s="6" t="str">
        <f>IF(最佳化斷筋點!U168="","",最佳化斷筋點!U168)</f>
        <v/>
      </c>
      <c r="AT168" s="6" t="str">
        <f>IF(最佳化斷筋點!V168="","",最佳化斷筋點!V168)</f>
        <v/>
      </c>
      <c r="AU168" s="6" t="str">
        <f>IF(最佳化斷筋點!W168="","",最佳化斷筋點!W168)</f>
        <v/>
      </c>
      <c r="AV168" s="6" t="str">
        <f>IF(最佳化斷筋點!X168="","",最佳化斷筋點!X168)</f>
        <v/>
      </c>
    </row>
    <row r="169" spans="4:71" x14ac:dyDescent="0.25">
      <c r="D169" s="6" t="s">
        <v>51</v>
      </c>
      <c r="E169" s="6">
        <f t="shared" si="43"/>
        <v>0</v>
      </c>
      <c r="F169" s="6">
        <f t="shared" si="44"/>
        <v>0</v>
      </c>
      <c r="G169" s="6">
        <f t="shared" si="45"/>
        <v>0</v>
      </c>
      <c r="H169" s="6">
        <f t="shared" si="46"/>
        <v>0</v>
      </c>
      <c r="I169" s="6">
        <f t="shared" si="47"/>
        <v>0</v>
      </c>
      <c r="J169" s="6">
        <f t="shared" si="48"/>
        <v>0</v>
      </c>
      <c r="K169" s="6">
        <f t="shared" si="49"/>
        <v>0</v>
      </c>
      <c r="L169" s="6">
        <f t="shared" si="50"/>
        <v>0</v>
      </c>
      <c r="M169" s="6">
        <f t="shared" si="51"/>
        <v>0</v>
      </c>
      <c r="N169" s="6">
        <f t="shared" si="52"/>
        <v>0</v>
      </c>
      <c r="O169" s="6">
        <f t="shared" si="53"/>
        <v>0</v>
      </c>
      <c r="P169" s="6">
        <f t="shared" si="54"/>
        <v>0</v>
      </c>
      <c r="Q169" s="6">
        <f t="shared" si="55"/>
        <v>0</v>
      </c>
      <c r="R169" s="6">
        <f t="shared" si="56"/>
        <v>0</v>
      </c>
      <c r="S169" s="6">
        <f t="shared" si="57"/>
        <v>0</v>
      </c>
      <c r="T169" s="6">
        <f t="shared" si="58"/>
        <v>0</v>
      </c>
      <c r="U169" s="6">
        <f t="shared" si="59"/>
        <v>0</v>
      </c>
      <c r="V169" s="6">
        <f t="shared" si="60"/>
        <v>0</v>
      </c>
      <c r="W169" s="6">
        <f t="shared" si="61"/>
        <v>0</v>
      </c>
      <c r="X169" s="6">
        <f t="shared" si="62"/>
        <v>0</v>
      </c>
      <c r="Y169" s="6">
        <f t="shared" si="63"/>
        <v>0</v>
      </c>
      <c r="AA169" s="6" t="str">
        <f>IF(最佳化斷筋點!C169="","",最佳化斷筋點!C169)</f>
        <v>下層</v>
      </c>
      <c r="AB169" s="6">
        <f>IF(最佳化斷筋點!D169="","",最佳化斷筋點!D169)</f>
        <v>4</v>
      </c>
      <c r="AC169" s="6">
        <f>IF(最佳化斷筋點!E169="","",最佳化斷筋點!E169)</f>
        <v>4</v>
      </c>
      <c r="AD169" s="6">
        <f>IF(最佳化斷筋點!F169="","",最佳化斷筋點!F169)</f>
        <v>4</v>
      </c>
      <c r="AE169" s="6">
        <f>IF(最佳化斷筋點!G169="","",最佳化斷筋點!G169)</f>
        <v>3</v>
      </c>
      <c r="AF169" s="6">
        <f>IF(最佳化斷筋點!H169="","",最佳化斷筋點!H169)</f>
        <v>3</v>
      </c>
      <c r="AG169" s="6">
        <f>IF(最佳化斷筋點!I169="","",最佳化斷筋點!I169)</f>
        <v>3</v>
      </c>
      <c r="AH169" s="6">
        <f>IF(最佳化斷筋點!J169="","",最佳化斷筋點!J169)</f>
        <v>4</v>
      </c>
      <c r="AI169" s="6">
        <f>IF(最佳化斷筋點!K169="","",最佳化斷筋點!K169)</f>
        <v>4</v>
      </c>
      <c r="AJ169" s="6">
        <f>IF(最佳化斷筋點!L169="","",最佳化斷筋點!L169)</f>
        <v>4</v>
      </c>
      <c r="AK169" s="6">
        <f>IF(最佳化斷筋點!M169="","",最佳化斷筋點!M169)</f>
        <v>4</v>
      </c>
      <c r="AL169" s="6">
        <f>IF(最佳化斷筋點!N169="","",最佳化斷筋點!N169)</f>
        <v>4</v>
      </c>
      <c r="AM169" s="6">
        <f>IF(最佳化斷筋點!O169="","",最佳化斷筋點!O169)</f>
        <v>4</v>
      </c>
      <c r="AN169" s="6">
        <f>IF(最佳化斷筋點!P169="","",最佳化斷筋點!P169)</f>
        <v>4</v>
      </c>
      <c r="AO169" s="6">
        <f>IF(最佳化斷筋點!Q169="","",最佳化斷筋點!Q169)</f>
        <v>4</v>
      </c>
      <c r="AP169" s="6">
        <f>IF(最佳化斷筋點!R169="","",最佳化斷筋點!R169)</f>
        <v>4</v>
      </c>
      <c r="AQ169" s="6">
        <f>IF(最佳化斷筋點!S169="","",最佳化斷筋點!S169)</f>
        <v>3</v>
      </c>
      <c r="AR169" s="6">
        <f>IF(最佳化斷筋點!T169="","",最佳化斷筋點!T169)</f>
        <v>3</v>
      </c>
      <c r="AS169" s="6">
        <f>IF(最佳化斷筋點!U169="","",最佳化斷筋點!U169)</f>
        <v>3</v>
      </c>
      <c r="AT169" s="6">
        <f>IF(最佳化斷筋點!V169="","",最佳化斷筋點!V169)</f>
        <v>3</v>
      </c>
      <c r="AU169" s="6">
        <f>IF(最佳化斷筋點!W169="","",最佳化斷筋點!W169)</f>
        <v>3</v>
      </c>
      <c r="AV169" s="6">
        <f>IF(最佳化斷筋點!X169="","",最佳化斷筋點!X169)</f>
        <v>3</v>
      </c>
      <c r="AX169" s="6" t="s">
        <v>51</v>
      </c>
      <c r="AY169" s="6">
        <v>4</v>
      </c>
      <c r="AZ169" s="6">
        <v>4</v>
      </c>
      <c r="BA169" s="6">
        <v>4</v>
      </c>
      <c r="BB169" s="6">
        <v>3</v>
      </c>
      <c r="BC169" s="6">
        <v>3</v>
      </c>
      <c r="BD169" s="6">
        <v>3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3</v>
      </c>
      <c r="BO169" s="6">
        <v>3</v>
      </c>
      <c r="BP169" s="6">
        <v>3</v>
      </c>
      <c r="BQ169" s="6">
        <v>3</v>
      </c>
      <c r="BR169" s="6">
        <v>3</v>
      </c>
      <c r="BS169" s="6">
        <v>3</v>
      </c>
    </row>
    <row r="170" spans="4:71" x14ac:dyDescent="0.25">
      <c r="E170" s="6">
        <f t="shared" si="43"/>
        <v>0</v>
      </c>
      <c r="F170" s="6">
        <f t="shared" si="44"/>
        <v>0</v>
      </c>
      <c r="G170" s="6">
        <f t="shared" si="45"/>
        <v>0</v>
      </c>
      <c r="H170" s="6">
        <f t="shared" si="46"/>
        <v>0</v>
      </c>
      <c r="I170" s="6">
        <f t="shared" si="47"/>
        <v>0</v>
      </c>
      <c r="J170" s="6">
        <f t="shared" si="48"/>
        <v>0</v>
      </c>
      <c r="K170" s="6">
        <f t="shared" si="49"/>
        <v>0</v>
      </c>
      <c r="L170" s="6">
        <f t="shared" si="50"/>
        <v>0</v>
      </c>
      <c r="M170" s="6">
        <f t="shared" si="51"/>
        <v>0</v>
      </c>
      <c r="N170" s="6">
        <f t="shared" si="52"/>
        <v>0</v>
      </c>
      <c r="O170" s="6">
        <f t="shared" si="53"/>
        <v>0</v>
      </c>
      <c r="P170" s="6">
        <f t="shared" si="54"/>
        <v>0</v>
      </c>
      <c r="Q170" s="6">
        <f t="shared" si="55"/>
        <v>0</v>
      </c>
      <c r="R170" s="6">
        <f t="shared" si="56"/>
        <v>0</v>
      </c>
      <c r="S170" s="6">
        <f t="shared" si="57"/>
        <v>0</v>
      </c>
      <c r="T170" s="6">
        <f t="shared" si="58"/>
        <v>0</v>
      </c>
      <c r="U170" s="6">
        <f t="shared" si="59"/>
        <v>0</v>
      </c>
      <c r="V170" s="6">
        <f t="shared" si="60"/>
        <v>0</v>
      </c>
      <c r="W170" s="6">
        <f t="shared" si="61"/>
        <v>0</v>
      </c>
      <c r="X170" s="6">
        <f t="shared" si="62"/>
        <v>0</v>
      </c>
      <c r="Y170" s="6">
        <f t="shared" si="63"/>
        <v>0</v>
      </c>
      <c r="AA170" s="6" t="str">
        <f>IF(最佳化斷筋點!C170="","",最佳化斷筋點!C170)</f>
        <v/>
      </c>
      <c r="AB170" s="6" t="str">
        <f>IF(最佳化斷筋點!D170="","",最佳化斷筋點!D170)</f>
        <v/>
      </c>
      <c r="AC170" s="6" t="str">
        <f>IF(最佳化斷筋點!E170="","",最佳化斷筋點!E170)</f>
        <v/>
      </c>
      <c r="AD170" s="6" t="str">
        <f>IF(最佳化斷筋點!F170="","",最佳化斷筋點!F170)</f>
        <v/>
      </c>
      <c r="AE170" s="6" t="str">
        <f>IF(最佳化斷筋點!G170="","",最佳化斷筋點!G170)</f>
        <v/>
      </c>
      <c r="AF170" s="6" t="str">
        <f>IF(最佳化斷筋點!H170="","",最佳化斷筋點!H170)</f>
        <v/>
      </c>
      <c r="AG170" s="6" t="str">
        <f>IF(最佳化斷筋點!I170="","",最佳化斷筋點!I170)</f>
        <v/>
      </c>
      <c r="AH170" s="6" t="str">
        <f>IF(最佳化斷筋點!J170="","",最佳化斷筋點!J170)</f>
        <v/>
      </c>
      <c r="AI170" s="6" t="str">
        <f>IF(最佳化斷筋點!K170="","",最佳化斷筋點!K170)</f>
        <v/>
      </c>
      <c r="AJ170" s="6" t="str">
        <f>IF(最佳化斷筋點!L170="","",最佳化斷筋點!L170)</f>
        <v/>
      </c>
      <c r="AK170" s="6" t="str">
        <f>IF(最佳化斷筋點!M170="","",最佳化斷筋點!M170)</f>
        <v/>
      </c>
      <c r="AL170" s="6" t="str">
        <f>IF(最佳化斷筋點!N170="","",最佳化斷筋點!N170)</f>
        <v/>
      </c>
      <c r="AM170" s="6" t="str">
        <f>IF(最佳化斷筋點!O170="","",最佳化斷筋點!O170)</f>
        <v/>
      </c>
      <c r="AN170" s="6" t="str">
        <f>IF(最佳化斷筋點!P170="","",最佳化斷筋點!P170)</f>
        <v/>
      </c>
      <c r="AO170" s="6" t="str">
        <f>IF(最佳化斷筋點!Q170="","",最佳化斷筋點!Q170)</f>
        <v/>
      </c>
      <c r="AP170" s="6" t="str">
        <f>IF(最佳化斷筋點!R170="","",最佳化斷筋點!R170)</f>
        <v/>
      </c>
      <c r="AQ170" s="6" t="str">
        <f>IF(最佳化斷筋點!S170="","",最佳化斷筋點!S170)</f>
        <v/>
      </c>
      <c r="AR170" s="6" t="str">
        <f>IF(最佳化斷筋點!T170="","",最佳化斷筋點!T170)</f>
        <v/>
      </c>
      <c r="AS170" s="6" t="str">
        <f>IF(最佳化斷筋點!U170="","",最佳化斷筋點!U170)</f>
        <v/>
      </c>
      <c r="AT170" s="6" t="str">
        <f>IF(最佳化斷筋點!V170="","",最佳化斷筋點!V170)</f>
        <v/>
      </c>
      <c r="AU170" s="6" t="str">
        <f>IF(最佳化斷筋點!W170="","",最佳化斷筋點!W170)</f>
        <v/>
      </c>
      <c r="AV170" s="6" t="str">
        <f>IF(最佳化斷筋點!X170="","",最佳化斷筋點!X170)</f>
        <v/>
      </c>
    </row>
    <row r="171" spans="4:71" x14ac:dyDescent="0.25">
      <c r="D171" s="6" t="s">
        <v>50</v>
      </c>
      <c r="E171" s="6">
        <f t="shared" si="43"/>
        <v>0</v>
      </c>
      <c r="F171" s="6">
        <f t="shared" si="44"/>
        <v>0</v>
      </c>
      <c r="G171" s="6">
        <f t="shared" si="45"/>
        <v>0</v>
      </c>
      <c r="H171" s="6">
        <f t="shared" si="46"/>
        <v>0</v>
      </c>
      <c r="I171" s="6">
        <f t="shared" si="47"/>
        <v>0</v>
      </c>
      <c r="J171" s="6">
        <f t="shared" si="48"/>
        <v>0</v>
      </c>
      <c r="K171" s="6">
        <f t="shared" si="49"/>
        <v>0</v>
      </c>
      <c r="L171" s="6">
        <f t="shared" si="50"/>
        <v>0</v>
      </c>
      <c r="M171" s="6">
        <f t="shared" si="51"/>
        <v>0</v>
      </c>
      <c r="N171" s="6">
        <f t="shared" si="52"/>
        <v>0</v>
      </c>
      <c r="O171" s="6">
        <f t="shared" si="53"/>
        <v>0</v>
      </c>
      <c r="P171" s="6">
        <f t="shared" si="54"/>
        <v>0</v>
      </c>
      <c r="Q171" s="6">
        <f t="shared" si="55"/>
        <v>0</v>
      </c>
      <c r="R171" s="6">
        <f t="shared" si="56"/>
        <v>0</v>
      </c>
      <c r="S171" s="6">
        <f t="shared" si="57"/>
        <v>0</v>
      </c>
      <c r="T171" s="6">
        <f t="shared" si="58"/>
        <v>0</v>
      </c>
      <c r="U171" s="6">
        <f t="shared" si="59"/>
        <v>0</v>
      </c>
      <c r="V171" s="6">
        <f t="shared" si="60"/>
        <v>0</v>
      </c>
      <c r="W171" s="6">
        <f t="shared" si="61"/>
        <v>0</v>
      </c>
      <c r="X171" s="6">
        <f t="shared" si="62"/>
        <v>0</v>
      </c>
      <c r="Y171" s="6">
        <f t="shared" si="63"/>
        <v>0</v>
      </c>
      <c r="AA171" s="6" t="str">
        <f>IF(最佳化斷筋點!C171="","",最佳化斷筋點!C171)</f>
        <v>上層</v>
      </c>
      <c r="AB171" s="6">
        <f>IF(最佳化斷筋點!D171="","",最佳化斷筋點!D171)</f>
        <v>2</v>
      </c>
      <c r="AC171" s="6">
        <f>IF(最佳化斷筋點!E171="","",最佳化斷筋點!E171)</f>
        <v>2</v>
      </c>
      <c r="AD171" s="6">
        <f>IF(最佳化斷筋點!F171="","",最佳化斷筋點!F171)</f>
        <v>2</v>
      </c>
      <c r="AE171" s="6">
        <f>IF(最佳化斷筋點!G171="","",最佳化斷筋點!G171)</f>
        <v>2</v>
      </c>
      <c r="AF171" s="6">
        <f>IF(最佳化斷筋點!H171="","",最佳化斷筋點!H171)</f>
        <v>2</v>
      </c>
      <c r="AG171" s="6">
        <f>IF(最佳化斷筋點!I171="","",最佳化斷筋點!I171)</f>
        <v>2</v>
      </c>
      <c r="AH171" s="6">
        <f>IF(最佳化斷筋點!J171="","",最佳化斷筋點!J171)</f>
        <v>2</v>
      </c>
      <c r="AI171" s="6">
        <f>IF(最佳化斷筋點!K171="","",最佳化斷筋點!K171)</f>
        <v>2</v>
      </c>
      <c r="AJ171" s="6">
        <f>IF(最佳化斷筋點!L171="","",最佳化斷筋點!L171)</f>
        <v>2</v>
      </c>
      <c r="AK171" s="6">
        <f>IF(最佳化斷筋點!M171="","",最佳化斷筋點!M171)</f>
        <v>2</v>
      </c>
      <c r="AL171" s="6">
        <f>IF(最佳化斷筋點!N171="","",最佳化斷筋點!N171)</f>
        <v>2</v>
      </c>
      <c r="AM171" s="6">
        <f>IF(最佳化斷筋點!O171="","",最佳化斷筋點!O171)</f>
        <v>2</v>
      </c>
      <c r="AN171" s="6">
        <f>IF(最佳化斷筋點!P171="","",最佳化斷筋點!P171)</f>
        <v>2</v>
      </c>
      <c r="AO171" s="6">
        <f>IF(最佳化斷筋點!Q171="","",最佳化斷筋點!Q171)</f>
        <v>3</v>
      </c>
      <c r="AP171" s="6">
        <f>IF(最佳化斷筋點!R171="","",最佳化斷筋點!R171)</f>
        <v>4</v>
      </c>
      <c r="AQ171" s="6">
        <f>IF(最佳化斷筋點!S171="","",最佳化斷筋點!S171)</f>
        <v>4</v>
      </c>
      <c r="AR171" s="6">
        <f>IF(最佳化斷筋點!T171="","",最佳化斷筋點!T171)</f>
        <v>5</v>
      </c>
      <c r="AS171" s="6">
        <f>IF(最佳化斷筋點!U171="","",最佳化斷筋點!U171)</f>
        <v>6</v>
      </c>
      <c r="AT171" s="6">
        <f>IF(最佳化斷筋點!V171="","",最佳化斷筋點!V171)</f>
        <v>7</v>
      </c>
      <c r="AU171" s="6">
        <f>IF(最佳化斷筋點!W171="","",最佳化斷筋點!W171)</f>
        <v>8</v>
      </c>
      <c r="AV171" s="6">
        <f>IF(最佳化斷筋點!X171="","",最佳化斷筋點!X171)</f>
        <v>8</v>
      </c>
      <c r="AX171" s="6" t="s">
        <v>50</v>
      </c>
      <c r="AY171" s="6">
        <v>2</v>
      </c>
      <c r="AZ171" s="6">
        <v>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3</v>
      </c>
      <c r="BM171" s="6">
        <v>4</v>
      </c>
      <c r="BN171" s="6">
        <v>4</v>
      </c>
      <c r="BO171" s="6">
        <v>5</v>
      </c>
      <c r="BP171" s="6">
        <v>6</v>
      </c>
      <c r="BQ171" s="6">
        <v>7</v>
      </c>
      <c r="BR171" s="6">
        <v>8</v>
      </c>
      <c r="BS171" s="6">
        <v>8</v>
      </c>
    </row>
    <row r="172" spans="4:71" x14ac:dyDescent="0.25">
      <c r="E172" s="6">
        <f t="shared" si="43"/>
        <v>0</v>
      </c>
      <c r="F172" s="6">
        <f t="shared" si="44"/>
        <v>0</v>
      </c>
      <c r="G172" s="6">
        <f t="shared" si="45"/>
        <v>0</v>
      </c>
      <c r="H172" s="6">
        <f t="shared" si="46"/>
        <v>0</v>
      </c>
      <c r="I172" s="6">
        <f t="shared" si="47"/>
        <v>0</v>
      </c>
      <c r="J172" s="6">
        <f t="shared" si="48"/>
        <v>0</v>
      </c>
      <c r="K172" s="6">
        <f t="shared" si="49"/>
        <v>0</v>
      </c>
      <c r="L172" s="6">
        <f t="shared" si="50"/>
        <v>0</v>
      </c>
      <c r="M172" s="6">
        <f t="shared" si="51"/>
        <v>0</v>
      </c>
      <c r="N172" s="6">
        <f t="shared" si="52"/>
        <v>0</v>
      </c>
      <c r="O172" s="6">
        <f t="shared" si="53"/>
        <v>0</v>
      </c>
      <c r="P172" s="6">
        <f t="shared" si="54"/>
        <v>0</v>
      </c>
      <c r="Q172" s="6">
        <f t="shared" si="55"/>
        <v>0</v>
      </c>
      <c r="R172" s="6">
        <f t="shared" si="56"/>
        <v>0</v>
      </c>
      <c r="S172" s="6">
        <f t="shared" si="57"/>
        <v>0</v>
      </c>
      <c r="T172" s="6">
        <f t="shared" si="58"/>
        <v>0</v>
      </c>
      <c r="U172" s="6">
        <f t="shared" si="59"/>
        <v>0</v>
      </c>
      <c r="V172" s="6">
        <f t="shared" si="60"/>
        <v>0</v>
      </c>
      <c r="W172" s="6">
        <f t="shared" si="61"/>
        <v>0</v>
      </c>
      <c r="X172" s="6">
        <f t="shared" si="62"/>
        <v>0</v>
      </c>
      <c r="Y172" s="6">
        <f t="shared" si="63"/>
        <v>0</v>
      </c>
      <c r="AA172" s="6" t="str">
        <f>IF(最佳化斷筋點!C172="","",最佳化斷筋點!C172)</f>
        <v/>
      </c>
      <c r="AB172" s="6" t="str">
        <f>IF(最佳化斷筋點!D172="","",最佳化斷筋點!D172)</f>
        <v/>
      </c>
      <c r="AC172" s="6" t="str">
        <f>IF(最佳化斷筋點!E172="","",最佳化斷筋點!E172)</f>
        <v/>
      </c>
      <c r="AD172" s="6" t="str">
        <f>IF(最佳化斷筋點!F172="","",最佳化斷筋點!F172)</f>
        <v/>
      </c>
      <c r="AE172" s="6" t="str">
        <f>IF(最佳化斷筋點!G172="","",最佳化斷筋點!G172)</f>
        <v/>
      </c>
      <c r="AF172" s="6" t="str">
        <f>IF(最佳化斷筋點!H172="","",最佳化斷筋點!H172)</f>
        <v/>
      </c>
      <c r="AG172" s="6" t="str">
        <f>IF(最佳化斷筋點!I172="","",最佳化斷筋點!I172)</f>
        <v/>
      </c>
      <c r="AH172" s="6" t="str">
        <f>IF(最佳化斷筋點!J172="","",最佳化斷筋點!J172)</f>
        <v/>
      </c>
      <c r="AI172" s="6" t="str">
        <f>IF(最佳化斷筋點!K172="","",最佳化斷筋點!K172)</f>
        <v/>
      </c>
      <c r="AJ172" s="6" t="str">
        <f>IF(最佳化斷筋點!L172="","",最佳化斷筋點!L172)</f>
        <v/>
      </c>
      <c r="AK172" s="6" t="str">
        <f>IF(最佳化斷筋點!M172="","",最佳化斷筋點!M172)</f>
        <v/>
      </c>
      <c r="AL172" s="6" t="str">
        <f>IF(最佳化斷筋點!N172="","",最佳化斷筋點!N172)</f>
        <v/>
      </c>
      <c r="AM172" s="6" t="str">
        <f>IF(最佳化斷筋點!O172="","",最佳化斷筋點!O172)</f>
        <v/>
      </c>
      <c r="AN172" s="6" t="str">
        <f>IF(最佳化斷筋點!P172="","",最佳化斷筋點!P172)</f>
        <v/>
      </c>
      <c r="AO172" s="6" t="str">
        <f>IF(最佳化斷筋點!Q172="","",最佳化斷筋點!Q172)</f>
        <v/>
      </c>
      <c r="AP172" s="6" t="str">
        <f>IF(最佳化斷筋點!R172="","",最佳化斷筋點!R172)</f>
        <v/>
      </c>
      <c r="AQ172" s="6" t="str">
        <f>IF(最佳化斷筋點!S172="","",最佳化斷筋點!S172)</f>
        <v/>
      </c>
      <c r="AR172" s="6" t="str">
        <f>IF(最佳化斷筋點!T172="","",最佳化斷筋點!T172)</f>
        <v/>
      </c>
      <c r="AS172" s="6" t="str">
        <f>IF(最佳化斷筋點!U172="","",最佳化斷筋點!U172)</f>
        <v/>
      </c>
      <c r="AT172" s="6" t="str">
        <f>IF(最佳化斷筋點!V172="","",最佳化斷筋點!V172)</f>
        <v/>
      </c>
      <c r="AU172" s="6" t="str">
        <f>IF(最佳化斷筋點!W172="","",最佳化斷筋點!W172)</f>
        <v/>
      </c>
      <c r="AV172" s="6" t="str">
        <f>IF(最佳化斷筋點!X172="","",最佳化斷筋點!X172)</f>
        <v/>
      </c>
    </row>
    <row r="173" spans="4:71" x14ac:dyDescent="0.25">
      <c r="D173" s="6" t="s">
        <v>51</v>
      </c>
      <c r="E173" s="6">
        <f t="shared" si="43"/>
        <v>0</v>
      </c>
      <c r="F173" s="6">
        <f t="shared" si="44"/>
        <v>0</v>
      </c>
      <c r="G173" s="6">
        <f t="shared" si="45"/>
        <v>0</v>
      </c>
      <c r="H173" s="6">
        <f t="shared" si="46"/>
        <v>0</v>
      </c>
      <c r="I173" s="6">
        <f t="shared" si="47"/>
        <v>0</v>
      </c>
      <c r="J173" s="6">
        <f t="shared" si="48"/>
        <v>0</v>
      </c>
      <c r="K173" s="6">
        <f t="shared" si="49"/>
        <v>0</v>
      </c>
      <c r="L173" s="6">
        <f t="shared" si="50"/>
        <v>0</v>
      </c>
      <c r="M173" s="6">
        <f t="shared" si="51"/>
        <v>0</v>
      </c>
      <c r="N173" s="6">
        <f t="shared" si="52"/>
        <v>0</v>
      </c>
      <c r="O173" s="6">
        <f t="shared" si="53"/>
        <v>0</v>
      </c>
      <c r="P173" s="6">
        <f t="shared" si="54"/>
        <v>0</v>
      </c>
      <c r="Q173" s="6">
        <f t="shared" si="55"/>
        <v>0</v>
      </c>
      <c r="R173" s="6">
        <f t="shared" si="56"/>
        <v>0</v>
      </c>
      <c r="S173" s="6">
        <f t="shared" si="57"/>
        <v>0</v>
      </c>
      <c r="T173" s="6">
        <f t="shared" si="58"/>
        <v>0</v>
      </c>
      <c r="U173" s="6">
        <f t="shared" si="59"/>
        <v>0</v>
      </c>
      <c r="V173" s="6">
        <f t="shared" si="60"/>
        <v>0</v>
      </c>
      <c r="W173" s="6">
        <f t="shared" si="61"/>
        <v>0</v>
      </c>
      <c r="X173" s="6">
        <f t="shared" si="62"/>
        <v>0</v>
      </c>
      <c r="Y173" s="6">
        <f t="shared" si="63"/>
        <v>0</v>
      </c>
      <c r="AA173" s="6" t="str">
        <f>IF(最佳化斷筋點!C173="","",最佳化斷筋點!C173)</f>
        <v>下層</v>
      </c>
      <c r="AB173" s="6">
        <f>IF(最佳化斷筋點!D173="","",最佳化斷筋點!D173)</f>
        <v>4</v>
      </c>
      <c r="AC173" s="6">
        <f>IF(最佳化斷筋點!E173="","",最佳化斷筋點!E173)</f>
        <v>4</v>
      </c>
      <c r="AD173" s="6">
        <f>IF(最佳化斷筋點!F173="","",最佳化斷筋點!F173)</f>
        <v>4</v>
      </c>
      <c r="AE173" s="6">
        <f>IF(最佳化斷筋點!G173="","",最佳化斷筋點!G173)</f>
        <v>3</v>
      </c>
      <c r="AF173" s="6">
        <f>IF(最佳化斷筋點!H173="","",最佳化斷筋點!H173)</f>
        <v>3</v>
      </c>
      <c r="AG173" s="6">
        <f>IF(最佳化斷筋點!I173="","",最佳化斷筋點!I173)</f>
        <v>3</v>
      </c>
      <c r="AH173" s="6">
        <f>IF(最佳化斷筋點!J173="","",最佳化斷筋點!J173)</f>
        <v>4</v>
      </c>
      <c r="AI173" s="6">
        <f>IF(最佳化斷筋點!K173="","",最佳化斷筋點!K173)</f>
        <v>4</v>
      </c>
      <c r="AJ173" s="6">
        <f>IF(最佳化斷筋點!L173="","",最佳化斷筋點!L173)</f>
        <v>4</v>
      </c>
      <c r="AK173" s="6">
        <f>IF(最佳化斷筋點!M173="","",最佳化斷筋點!M173)</f>
        <v>4</v>
      </c>
      <c r="AL173" s="6">
        <f>IF(最佳化斷筋點!N173="","",最佳化斷筋點!N173)</f>
        <v>4</v>
      </c>
      <c r="AM173" s="6">
        <f>IF(最佳化斷筋點!O173="","",最佳化斷筋點!O173)</f>
        <v>4</v>
      </c>
      <c r="AN173" s="6">
        <f>IF(最佳化斷筋點!P173="","",最佳化斷筋點!P173)</f>
        <v>4</v>
      </c>
      <c r="AO173" s="6">
        <f>IF(最佳化斷筋點!Q173="","",最佳化斷筋點!Q173)</f>
        <v>4</v>
      </c>
      <c r="AP173" s="6">
        <f>IF(最佳化斷筋點!R173="","",最佳化斷筋點!R173)</f>
        <v>4</v>
      </c>
      <c r="AQ173" s="6">
        <f>IF(最佳化斷筋點!S173="","",最佳化斷筋點!S173)</f>
        <v>3</v>
      </c>
      <c r="AR173" s="6">
        <f>IF(最佳化斷筋點!T173="","",最佳化斷筋點!T173)</f>
        <v>3</v>
      </c>
      <c r="AS173" s="6">
        <f>IF(最佳化斷筋點!U173="","",最佳化斷筋點!U173)</f>
        <v>3</v>
      </c>
      <c r="AT173" s="6">
        <f>IF(最佳化斷筋點!V173="","",最佳化斷筋點!V173)</f>
        <v>3</v>
      </c>
      <c r="AU173" s="6">
        <f>IF(最佳化斷筋點!W173="","",最佳化斷筋點!W173)</f>
        <v>3</v>
      </c>
      <c r="AV173" s="6">
        <f>IF(最佳化斷筋點!X173="","",最佳化斷筋點!X173)</f>
        <v>3</v>
      </c>
      <c r="AX173" s="6" t="s">
        <v>51</v>
      </c>
      <c r="AY173" s="6">
        <v>4</v>
      </c>
      <c r="AZ173" s="6">
        <v>4</v>
      </c>
      <c r="BA173" s="6">
        <v>4</v>
      </c>
      <c r="BB173" s="6">
        <v>3</v>
      </c>
      <c r="BC173" s="6">
        <v>3</v>
      </c>
      <c r="BD173" s="6">
        <v>3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3</v>
      </c>
      <c r="BO173" s="6">
        <v>3</v>
      </c>
      <c r="BP173" s="6">
        <v>3</v>
      </c>
      <c r="BQ173" s="6">
        <v>3</v>
      </c>
      <c r="BR173" s="6">
        <v>3</v>
      </c>
      <c r="BS173" s="6">
        <v>3</v>
      </c>
    </row>
    <row r="174" spans="4:71" x14ac:dyDescent="0.25">
      <c r="E174" s="6">
        <f t="shared" si="43"/>
        <v>0</v>
      </c>
      <c r="F174" s="6">
        <f t="shared" si="44"/>
        <v>0</v>
      </c>
      <c r="G174" s="6">
        <f t="shared" si="45"/>
        <v>0</v>
      </c>
      <c r="H174" s="6">
        <f t="shared" si="46"/>
        <v>0</v>
      </c>
      <c r="I174" s="6">
        <f t="shared" si="47"/>
        <v>0</v>
      </c>
      <c r="J174" s="6">
        <f t="shared" si="48"/>
        <v>0</v>
      </c>
      <c r="K174" s="6">
        <f t="shared" si="49"/>
        <v>0</v>
      </c>
      <c r="L174" s="6">
        <f t="shared" si="50"/>
        <v>0</v>
      </c>
      <c r="M174" s="6">
        <f t="shared" si="51"/>
        <v>0</v>
      </c>
      <c r="N174" s="6">
        <f t="shared" si="52"/>
        <v>0</v>
      </c>
      <c r="O174" s="6">
        <f t="shared" si="53"/>
        <v>0</v>
      </c>
      <c r="P174" s="6">
        <f t="shared" si="54"/>
        <v>0</v>
      </c>
      <c r="Q174" s="6">
        <f t="shared" si="55"/>
        <v>0</v>
      </c>
      <c r="R174" s="6">
        <f t="shared" si="56"/>
        <v>0</v>
      </c>
      <c r="S174" s="6">
        <f t="shared" si="57"/>
        <v>0</v>
      </c>
      <c r="T174" s="6">
        <f t="shared" si="58"/>
        <v>0</v>
      </c>
      <c r="U174" s="6">
        <f t="shared" si="59"/>
        <v>0</v>
      </c>
      <c r="V174" s="6">
        <f t="shared" si="60"/>
        <v>0</v>
      </c>
      <c r="W174" s="6">
        <f t="shared" si="61"/>
        <v>0</v>
      </c>
      <c r="X174" s="6">
        <f t="shared" si="62"/>
        <v>0</v>
      </c>
      <c r="Y174" s="6">
        <f t="shared" si="63"/>
        <v>0</v>
      </c>
      <c r="AA174" s="6" t="str">
        <f>IF(最佳化斷筋點!C174="","",最佳化斷筋點!C174)</f>
        <v/>
      </c>
      <c r="AB174" s="6" t="str">
        <f>IF(最佳化斷筋點!D174="","",最佳化斷筋點!D174)</f>
        <v/>
      </c>
      <c r="AC174" s="6" t="str">
        <f>IF(最佳化斷筋點!E174="","",最佳化斷筋點!E174)</f>
        <v/>
      </c>
      <c r="AD174" s="6" t="str">
        <f>IF(最佳化斷筋點!F174="","",最佳化斷筋點!F174)</f>
        <v/>
      </c>
      <c r="AE174" s="6" t="str">
        <f>IF(最佳化斷筋點!G174="","",最佳化斷筋點!G174)</f>
        <v/>
      </c>
      <c r="AF174" s="6" t="str">
        <f>IF(最佳化斷筋點!H174="","",最佳化斷筋點!H174)</f>
        <v/>
      </c>
      <c r="AG174" s="6" t="str">
        <f>IF(最佳化斷筋點!I174="","",最佳化斷筋點!I174)</f>
        <v/>
      </c>
      <c r="AH174" s="6" t="str">
        <f>IF(最佳化斷筋點!J174="","",最佳化斷筋點!J174)</f>
        <v/>
      </c>
      <c r="AI174" s="6" t="str">
        <f>IF(最佳化斷筋點!K174="","",最佳化斷筋點!K174)</f>
        <v/>
      </c>
      <c r="AJ174" s="6" t="str">
        <f>IF(最佳化斷筋點!L174="","",最佳化斷筋點!L174)</f>
        <v/>
      </c>
      <c r="AK174" s="6" t="str">
        <f>IF(最佳化斷筋點!M174="","",最佳化斷筋點!M174)</f>
        <v/>
      </c>
      <c r="AL174" s="6" t="str">
        <f>IF(最佳化斷筋點!N174="","",最佳化斷筋點!N174)</f>
        <v/>
      </c>
      <c r="AM174" s="6" t="str">
        <f>IF(最佳化斷筋點!O174="","",最佳化斷筋點!O174)</f>
        <v/>
      </c>
      <c r="AN174" s="6" t="str">
        <f>IF(最佳化斷筋點!P174="","",最佳化斷筋點!P174)</f>
        <v/>
      </c>
      <c r="AO174" s="6" t="str">
        <f>IF(最佳化斷筋點!Q174="","",最佳化斷筋點!Q174)</f>
        <v/>
      </c>
      <c r="AP174" s="6" t="str">
        <f>IF(最佳化斷筋點!R174="","",最佳化斷筋點!R174)</f>
        <v/>
      </c>
      <c r="AQ174" s="6" t="str">
        <f>IF(最佳化斷筋點!S174="","",最佳化斷筋點!S174)</f>
        <v/>
      </c>
      <c r="AR174" s="6" t="str">
        <f>IF(最佳化斷筋點!T174="","",最佳化斷筋點!T174)</f>
        <v/>
      </c>
      <c r="AS174" s="6" t="str">
        <f>IF(最佳化斷筋點!U174="","",最佳化斷筋點!U174)</f>
        <v/>
      </c>
      <c r="AT174" s="6" t="str">
        <f>IF(最佳化斷筋點!V174="","",最佳化斷筋點!V174)</f>
        <v/>
      </c>
      <c r="AU174" s="6" t="str">
        <f>IF(最佳化斷筋點!W174="","",最佳化斷筋點!W174)</f>
        <v/>
      </c>
      <c r="AV174" s="6" t="str">
        <f>IF(最佳化斷筋點!X174="","",最佳化斷筋點!X174)</f>
        <v/>
      </c>
    </row>
    <row r="175" spans="4:71" x14ac:dyDescent="0.25">
      <c r="D175" s="6" t="s">
        <v>50</v>
      </c>
      <c r="E175" s="6">
        <f t="shared" si="43"/>
        <v>0</v>
      </c>
      <c r="F175" s="6">
        <f t="shared" si="44"/>
        <v>0</v>
      </c>
      <c r="G175" s="6">
        <f t="shared" si="45"/>
        <v>0</v>
      </c>
      <c r="H175" s="6">
        <f t="shared" si="46"/>
        <v>0</v>
      </c>
      <c r="I175" s="6">
        <f t="shared" si="47"/>
        <v>0</v>
      </c>
      <c r="J175" s="6">
        <f t="shared" si="48"/>
        <v>0</v>
      </c>
      <c r="K175" s="6">
        <f t="shared" si="49"/>
        <v>0</v>
      </c>
      <c r="L175" s="6">
        <f t="shared" si="50"/>
        <v>0</v>
      </c>
      <c r="M175" s="6">
        <f t="shared" si="51"/>
        <v>0</v>
      </c>
      <c r="N175" s="6">
        <f t="shared" si="52"/>
        <v>0</v>
      </c>
      <c r="O175" s="6">
        <f t="shared" si="53"/>
        <v>0</v>
      </c>
      <c r="P175" s="6">
        <f t="shared" si="54"/>
        <v>0</v>
      </c>
      <c r="Q175" s="6">
        <f t="shared" si="55"/>
        <v>0</v>
      </c>
      <c r="R175" s="6">
        <f t="shared" si="56"/>
        <v>0</v>
      </c>
      <c r="S175" s="6">
        <f t="shared" si="57"/>
        <v>0</v>
      </c>
      <c r="T175" s="6">
        <f t="shared" si="58"/>
        <v>0</v>
      </c>
      <c r="U175" s="6">
        <f t="shared" si="59"/>
        <v>0</v>
      </c>
      <c r="V175" s="6">
        <f t="shared" si="60"/>
        <v>0</v>
      </c>
      <c r="W175" s="6">
        <f t="shared" si="61"/>
        <v>0</v>
      </c>
      <c r="X175" s="6">
        <f t="shared" si="62"/>
        <v>0</v>
      </c>
      <c r="Y175" s="6">
        <f t="shared" si="63"/>
        <v>0</v>
      </c>
      <c r="AA175" s="6" t="str">
        <f>IF(最佳化斷筋點!C175="","",最佳化斷筋點!C175)</f>
        <v>上層</v>
      </c>
      <c r="AB175" s="6">
        <f>IF(最佳化斷筋點!D175="","",最佳化斷筋點!D175)</f>
        <v>2</v>
      </c>
      <c r="AC175" s="6">
        <f>IF(最佳化斷筋點!E175="","",最佳化斷筋點!E175)</f>
        <v>2</v>
      </c>
      <c r="AD175" s="6">
        <f>IF(最佳化斷筋點!F175="","",最佳化斷筋點!F175)</f>
        <v>2</v>
      </c>
      <c r="AE175" s="6">
        <f>IF(最佳化斷筋點!G175="","",最佳化斷筋點!G175)</f>
        <v>2</v>
      </c>
      <c r="AF175" s="6">
        <f>IF(最佳化斷筋點!H175="","",最佳化斷筋點!H175)</f>
        <v>2</v>
      </c>
      <c r="AG175" s="6">
        <f>IF(最佳化斷筋點!I175="","",最佳化斷筋點!I175)</f>
        <v>2</v>
      </c>
      <c r="AH175" s="6">
        <f>IF(最佳化斷筋點!J175="","",最佳化斷筋點!J175)</f>
        <v>2</v>
      </c>
      <c r="AI175" s="6">
        <f>IF(最佳化斷筋點!K175="","",最佳化斷筋點!K175)</f>
        <v>2</v>
      </c>
      <c r="AJ175" s="6">
        <f>IF(最佳化斷筋點!L175="","",最佳化斷筋點!L175)</f>
        <v>2</v>
      </c>
      <c r="AK175" s="6">
        <f>IF(最佳化斷筋點!M175="","",最佳化斷筋點!M175)</f>
        <v>2</v>
      </c>
      <c r="AL175" s="6">
        <f>IF(最佳化斷筋點!N175="","",最佳化斷筋點!N175)</f>
        <v>2</v>
      </c>
      <c r="AM175" s="6">
        <f>IF(最佳化斷筋點!O175="","",最佳化斷筋點!O175)</f>
        <v>2</v>
      </c>
      <c r="AN175" s="6">
        <f>IF(最佳化斷筋點!P175="","",最佳化斷筋點!P175)</f>
        <v>2</v>
      </c>
      <c r="AO175" s="6">
        <f>IF(最佳化斷筋點!Q175="","",最佳化斷筋點!Q175)</f>
        <v>2</v>
      </c>
      <c r="AP175" s="6">
        <f>IF(最佳化斷筋點!R175="","",最佳化斷筋點!R175)</f>
        <v>2</v>
      </c>
      <c r="AQ175" s="6">
        <f>IF(最佳化斷筋點!S175="","",最佳化斷筋點!S175)</f>
        <v>3</v>
      </c>
      <c r="AR175" s="6">
        <f>IF(最佳化斷筋點!T175="","",最佳化斷筋點!T175)</f>
        <v>3</v>
      </c>
      <c r="AS175" s="6">
        <f>IF(最佳化斷筋點!U175="","",最佳化斷筋點!U175)</f>
        <v>4</v>
      </c>
      <c r="AT175" s="6">
        <f>IF(最佳化斷筋點!V175="","",最佳化斷筋點!V175)</f>
        <v>4</v>
      </c>
      <c r="AU175" s="6">
        <f>IF(最佳化斷筋點!W175="","",最佳化斷筋點!W175)</f>
        <v>5</v>
      </c>
      <c r="AV175" s="6">
        <f>IF(最佳化斷筋點!X175="","",最佳化斷筋點!X175)</f>
        <v>5</v>
      </c>
      <c r="AX175" s="6" t="s">
        <v>50</v>
      </c>
      <c r="AY175" s="6">
        <v>2</v>
      </c>
      <c r="AZ175" s="6">
        <v>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</row>
    <row r="176" spans="4:71" x14ac:dyDescent="0.25">
      <c r="E176" s="6">
        <f t="shared" si="43"/>
        <v>0</v>
      </c>
      <c r="F176" s="6">
        <f t="shared" si="44"/>
        <v>0</v>
      </c>
      <c r="G176" s="6">
        <f t="shared" si="45"/>
        <v>0</v>
      </c>
      <c r="H176" s="6">
        <f t="shared" si="46"/>
        <v>0</v>
      </c>
      <c r="I176" s="6">
        <f t="shared" si="47"/>
        <v>0</v>
      </c>
      <c r="J176" s="6">
        <f t="shared" si="48"/>
        <v>0</v>
      </c>
      <c r="K176" s="6">
        <f t="shared" si="49"/>
        <v>0</v>
      </c>
      <c r="L176" s="6">
        <f t="shared" si="50"/>
        <v>0</v>
      </c>
      <c r="M176" s="6">
        <f t="shared" si="51"/>
        <v>0</v>
      </c>
      <c r="N176" s="6">
        <f t="shared" si="52"/>
        <v>0</v>
      </c>
      <c r="O176" s="6">
        <f t="shared" si="53"/>
        <v>0</v>
      </c>
      <c r="P176" s="6">
        <f t="shared" si="54"/>
        <v>0</v>
      </c>
      <c r="Q176" s="6">
        <f t="shared" si="55"/>
        <v>0</v>
      </c>
      <c r="R176" s="6">
        <f t="shared" si="56"/>
        <v>0</v>
      </c>
      <c r="S176" s="6">
        <f t="shared" si="57"/>
        <v>0</v>
      </c>
      <c r="T176" s="6">
        <f t="shared" si="58"/>
        <v>0</v>
      </c>
      <c r="U176" s="6">
        <f t="shared" si="59"/>
        <v>0</v>
      </c>
      <c r="V176" s="6">
        <f t="shared" si="60"/>
        <v>0</v>
      </c>
      <c r="W176" s="6">
        <f t="shared" si="61"/>
        <v>0</v>
      </c>
      <c r="X176" s="6">
        <f t="shared" si="62"/>
        <v>0</v>
      </c>
      <c r="Y176" s="6">
        <f t="shared" si="63"/>
        <v>0</v>
      </c>
      <c r="AA176" s="6" t="str">
        <f>IF(最佳化斷筋點!C176="","",最佳化斷筋點!C176)</f>
        <v/>
      </c>
      <c r="AB176" s="6" t="str">
        <f>IF(最佳化斷筋點!D176="","",最佳化斷筋點!D176)</f>
        <v/>
      </c>
      <c r="AC176" s="6" t="str">
        <f>IF(最佳化斷筋點!E176="","",最佳化斷筋點!E176)</f>
        <v/>
      </c>
      <c r="AD176" s="6" t="str">
        <f>IF(最佳化斷筋點!F176="","",最佳化斷筋點!F176)</f>
        <v/>
      </c>
      <c r="AE176" s="6" t="str">
        <f>IF(最佳化斷筋點!G176="","",最佳化斷筋點!G176)</f>
        <v/>
      </c>
      <c r="AF176" s="6" t="str">
        <f>IF(最佳化斷筋點!H176="","",最佳化斷筋點!H176)</f>
        <v/>
      </c>
      <c r="AG176" s="6" t="str">
        <f>IF(最佳化斷筋點!I176="","",最佳化斷筋點!I176)</f>
        <v/>
      </c>
      <c r="AH176" s="6" t="str">
        <f>IF(最佳化斷筋點!J176="","",最佳化斷筋點!J176)</f>
        <v/>
      </c>
      <c r="AI176" s="6" t="str">
        <f>IF(最佳化斷筋點!K176="","",最佳化斷筋點!K176)</f>
        <v/>
      </c>
      <c r="AJ176" s="6" t="str">
        <f>IF(最佳化斷筋點!L176="","",最佳化斷筋點!L176)</f>
        <v/>
      </c>
      <c r="AK176" s="6" t="str">
        <f>IF(最佳化斷筋點!M176="","",最佳化斷筋點!M176)</f>
        <v/>
      </c>
      <c r="AL176" s="6" t="str">
        <f>IF(最佳化斷筋點!N176="","",最佳化斷筋點!N176)</f>
        <v/>
      </c>
      <c r="AM176" s="6" t="str">
        <f>IF(最佳化斷筋點!O176="","",最佳化斷筋點!O176)</f>
        <v/>
      </c>
      <c r="AN176" s="6" t="str">
        <f>IF(最佳化斷筋點!P176="","",最佳化斷筋點!P176)</f>
        <v/>
      </c>
      <c r="AO176" s="6" t="str">
        <f>IF(最佳化斷筋點!Q176="","",最佳化斷筋點!Q176)</f>
        <v/>
      </c>
      <c r="AP176" s="6" t="str">
        <f>IF(最佳化斷筋點!R176="","",最佳化斷筋點!R176)</f>
        <v/>
      </c>
      <c r="AQ176" s="6" t="str">
        <f>IF(最佳化斷筋點!S176="","",最佳化斷筋點!S176)</f>
        <v/>
      </c>
      <c r="AR176" s="6" t="str">
        <f>IF(最佳化斷筋點!T176="","",最佳化斷筋點!T176)</f>
        <v/>
      </c>
      <c r="AS176" s="6" t="str">
        <f>IF(最佳化斷筋點!U176="","",最佳化斷筋點!U176)</f>
        <v/>
      </c>
      <c r="AT176" s="6" t="str">
        <f>IF(最佳化斷筋點!V176="","",最佳化斷筋點!V176)</f>
        <v/>
      </c>
      <c r="AU176" s="6" t="str">
        <f>IF(最佳化斷筋點!W176="","",最佳化斷筋點!W176)</f>
        <v/>
      </c>
      <c r="AV176" s="6" t="str">
        <f>IF(最佳化斷筋點!X176="","",最佳化斷筋點!X176)</f>
        <v/>
      </c>
    </row>
    <row r="177" spans="4:71" x14ac:dyDescent="0.25">
      <c r="D177" s="6" t="s">
        <v>51</v>
      </c>
      <c r="E177" s="6">
        <f t="shared" si="43"/>
        <v>0</v>
      </c>
      <c r="F177" s="6">
        <f t="shared" si="44"/>
        <v>0</v>
      </c>
      <c r="G177" s="6">
        <f t="shared" si="45"/>
        <v>0</v>
      </c>
      <c r="H177" s="6">
        <f t="shared" si="46"/>
        <v>0</v>
      </c>
      <c r="I177" s="6">
        <f t="shared" si="47"/>
        <v>0</v>
      </c>
      <c r="J177" s="6">
        <f t="shared" si="48"/>
        <v>0</v>
      </c>
      <c r="K177" s="6">
        <f t="shared" si="49"/>
        <v>0</v>
      </c>
      <c r="L177" s="6">
        <f t="shared" si="50"/>
        <v>0</v>
      </c>
      <c r="M177" s="6">
        <f t="shared" si="51"/>
        <v>0</v>
      </c>
      <c r="N177" s="6">
        <f t="shared" si="52"/>
        <v>0</v>
      </c>
      <c r="O177" s="6">
        <f t="shared" si="53"/>
        <v>0</v>
      </c>
      <c r="P177" s="6">
        <f t="shared" si="54"/>
        <v>0</v>
      </c>
      <c r="Q177" s="6">
        <f t="shared" si="55"/>
        <v>0</v>
      </c>
      <c r="R177" s="6">
        <f t="shared" si="56"/>
        <v>0</v>
      </c>
      <c r="S177" s="6">
        <f t="shared" si="57"/>
        <v>0</v>
      </c>
      <c r="T177" s="6">
        <f t="shared" si="58"/>
        <v>0</v>
      </c>
      <c r="U177" s="6">
        <f t="shared" si="59"/>
        <v>0</v>
      </c>
      <c r="V177" s="6">
        <f t="shared" si="60"/>
        <v>0</v>
      </c>
      <c r="W177" s="6">
        <f t="shared" si="61"/>
        <v>0</v>
      </c>
      <c r="X177" s="6">
        <f t="shared" si="62"/>
        <v>0</v>
      </c>
      <c r="Y177" s="6">
        <f t="shared" si="63"/>
        <v>0</v>
      </c>
      <c r="AA177" s="6" t="str">
        <f>IF(最佳化斷筋點!C177="","",最佳化斷筋點!C177)</f>
        <v>下層</v>
      </c>
      <c r="AB177" s="6">
        <f>IF(最佳化斷筋點!D177="","",最佳化斷筋點!D177)</f>
        <v>5</v>
      </c>
      <c r="AC177" s="6">
        <f>IF(最佳化斷筋點!E177="","",最佳化斷筋點!E177)</f>
        <v>5</v>
      </c>
      <c r="AD177" s="6">
        <f>IF(最佳化斷筋點!F177="","",最佳化斷筋點!F177)</f>
        <v>4</v>
      </c>
      <c r="AE177" s="6">
        <f>IF(最佳化斷筋點!G177="","",最佳化斷筋點!G177)</f>
        <v>4</v>
      </c>
      <c r="AF177" s="6">
        <f>IF(最佳化斷筋點!H177="","",最佳化斷筋點!H177)</f>
        <v>4</v>
      </c>
      <c r="AG177" s="6">
        <f>IF(最佳化斷筋點!I177="","",最佳化斷筋點!I177)</f>
        <v>4</v>
      </c>
      <c r="AH177" s="6">
        <f>IF(最佳化斷筋點!J177="","",最佳化斷筋點!J177)</f>
        <v>5</v>
      </c>
      <c r="AI177" s="6">
        <f>IF(最佳化斷筋點!K177="","",最佳化斷筋點!K177)</f>
        <v>5</v>
      </c>
      <c r="AJ177" s="6">
        <f>IF(最佳化斷筋點!L177="","",最佳化斷筋點!L177)</f>
        <v>5</v>
      </c>
      <c r="AK177" s="6">
        <f>IF(最佳化斷筋點!M177="","",最佳化斷筋點!M177)</f>
        <v>5</v>
      </c>
      <c r="AL177" s="6">
        <f>IF(最佳化斷筋點!N177="","",最佳化斷筋點!N177)</f>
        <v>5</v>
      </c>
      <c r="AM177" s="6">
        <f>IF(最佳化斷筋點!O177="","",最佳化斷筋點!O177)</f>
        <v>5</v>
      </c>
      <c r="AN177" s="6">
        <f>IF(最佳化斷筋點!P177="","",最佳化斷筋點!P177)</f>
        <v>5</v>
      </c>
      <c r="AO177" s="6">
        <f>IF(最佳化斷筋點!Q177="","",最佳化斷筋點!Q177)</f>
        <v>5</v>
      </c>
      <c r="AP177" s="6">
        <f>IF(最佳化斷筋點!R177="","",最佳化斷筋點!R177)</f>
        <v>5</v>
      </c>
      <c r="AQ177" s="6">
        <f>IF(最佳化斷筋點!S177="","",最佳化斷筋點!S177)</f>
        <v>4</v>
      </c>
      <c r="AR177" s="6">
        <f>IF(最佳化斷筋點!T177="","",最佳化斷筋點!T177)</f>
        <v>4</v>
      </c>
      <c r="AS177" s="6">
        <f>IF(最佳化斷筋點!U177="","",最佳化斷筋點!U177)</f>
        <v>3</v>
      </c>
      <c r="AT177" s="6">
        <f>IF(最佳化斷筋點!V177="","",最佳化斷筋點!V177)</f>
        <v>3</v>
      </c>
      <c r="AU177" s="6">
        <f>IF(最佳化斷筋點!W177="","",最佳化斷筋點!W177)</f>
        <v>3</v>
      </c>
      <c r="AV177" s="6">
        <f>IF(最佳化斷筋點!X177="","",最佳化斷筋點!X177)</f>
        <v>3</v>
      </c>
      <c r="AX177" s="6" t="s">
        <v>51</v>
      </c>
      <c r="AY177" s="6">
        <v>5</v>
      </c>
      <c r="AZ177" s="6">
        <v>5</v>
      </c>
      <c r="BA177" s="6">
        <v>4</v>
      </c>
      <c r="BB177" s="6">
        <v>4</v>
      </c>
      <c r="BC177" s="6">
        <v>4</v>
      </c>
      <c r="BD177" s="6">
        <v>4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4</v>
      </c>
      <c r="BO177" s="6">
        <v>4</v>
      </c>
      <c r="BP177" s="6">
        <v>3</v>
      </c>
      <c r="BQ177" s="6">
        <v>3</v>
      </c>
      <c r="BR177" s="6">
        <v>3</v>
      </c>
      <c r="BS177" s="6">
        <v>3</v>
      </c>
    </row>
    <row r="178" spans="4:71" x14ac:dyDescent="0.25">
      <c r="E178" s="6">
        <f t="shared" si="43"/>
        <v>0</v>
      </c>
      <c r="F178" s="6">
        <f t="shared" si="44"/>
        <v>0</v>
      </c>
      <c r="G178" s="6">
        <f t="shared" si="45"/>
        <v>0</v>
      </c>
      <c r="H178" s="6">
        <f t="shared" si="46"/>
        <v>0</v>
      </c>
      <c r="I178" s="6">
        <f t="shared" si="47"/>
        <v>0</v>
      </c>
      <c r="J178" s="6">
        <f t="shared" si="48"/>
        <v>0</v>
      </c>
      <c r="K178" s="6">
        <f t="shared" si="49"/>
        <v>0</v>
      </c>
      <c r="L178" s="6">
        <f t="shared" si="50"/>
        <v>0</v>
      </c>
      <c r="M178" s="6">
        <f t="shared" si="51"/>
        <v>0</v>
      </c>
      <c r="N178" s="6">
        <f t="shared" si="52"/>
        <v>0</v>
      </c>
      <c r="O178" s="6">
        <f t="shared" si="53"/>
        <v>0</v>
      </c>
      <c r="P178" s="6">
        <f t="shared" si="54"/>
        <v>0</v>
      </c>
      <c r="Q178" s="6">
        <f t="shared" si="55"/>
        <v>0</v>
      </c>
      <c r="R178" s="6">
        <f t="shared" si="56"/>
        <v>0</v>
      </c>
      <c r="S178" s="6">
        <f t="shared" si="57"/>
        <v>0</v>
      </c>
      <c r="T178" s="6">
        <f t="shared" si="58"/>
        <v>0</v>
      </c>
      <c r="U178" s="6">
        <f t="shared" si="59"/>
        <v>0</v>
      </c>
      <c r="V178" s="6">
        <f t="shared" si="60"/>
        <v>0</v>
      </c>
      <c r="W178" s="6">
        <f t="shared" si="61"/>
        <v>0</v>
      </c>
      <c r="X178" s="6">
        <f t="shared" si="62"/>
        <v>0</v>
      </c>
      <c r="Y178" s="6">
        <f t="shared" si="63"/>
        <v>0</v>
      </c>
      <c r="AA178" s="6" t="str">
        <f>IF(最佳化斷筋點!C178="","",最佳化斷筋點!C178)</f>
        <v/>
      </c>
      <c r="AB178" s="6" t="str">
        <f>IF(最佳化斷筋點!D178="","",最佳化斷筋點!D178)</f>
        <v/>
      </c>
      <c r="AC178" s="6" t="str">
        <f>IF(最佳化斷筋點!E178="","",最佳化斷筋點!E178)</f>
        <v/>
      </c>
      <c r="AD178" s="6" t="str">
        <f>IF(最佳化斷筋點!F178="","",最佳化斷筋點!F178)</f>
        <v/>
      </c>
      <c r="AE178" s="6" t="str">
        <f>IF(最佳化斷筋點!G178="","",最佳化斷筋點!G178)</f>
        <v/>
      </c>
      <c r="AF178" s="6" t="str">
        <f>IF(最佳化斷筋點!H178="","",最佳化斷筋點!H178)</f>
        <v/>
      </c>
      <c r="AG178" s="6" t="str">
        <f>IF(最佳化斷筋點!I178="","",最佳化斷筋點!I178)</f>
        <v/>
      </c>
      <c r="AH178" s="6" t="str">
        <f>IF(最佳化斷筋點!J178="","",最佳化斷筋點!J178)</f>
        <v/>
      </c>
      <c r="AI178" s="6" t="str">
        <f>IF(最佳化斷筋點!K178="","",最佳化斷筋點!K178)</f>
        <v/>
      </c>
      <c r="AJ178" s="6" t="str">
        <f>IF(最佳化斷筋點!L178="","",最佳化斷筋點!L178)</f>
        <v/>
      </c>
      <c r="AK178" s="6" t="str">
        <f>IF(最佳化斷筋點!M178="","",最佳化斷筋點!M178)</f>
        <v/>
      </c>
      <c r="AL178" s="6" t="str">
        <f>IF(最佳化斷筋點!N178="","",最佳化斷筋點!N178)</f>
        <v/>
      </c>
      <c r="AM178" s="6" t="str">
        <f>IF(最佳化斷筋點!O178="","",最佳化斷筋點!O178)</f>
        <v/>
      </c>
      <c r="AN178" s="6" t="str">
        <f>IF(最佳化斷筋點!P178="","",最佳化斷筋點!P178)</f>
        <v/>
      </c>
      <c r="AO178" s="6" t="str">
        <f>IF(最佳化斷筋點!Q178="","",最佳化斷筋點!Q178)</f>
        <v/>
      </c>
      <c r="AP178" s="6" t="str">
        <f>IF(最佳化斷筋點!R178="","",最佳化斷筋點!R178)</f>
        <v/>
      </c>
      <c r="AQ178" s="6" t="str">
        <f>IF(最佳化斷筋點!S178="","",最佳化斷筋點!S178)</f>
        <v/>
      </c>
      <c r="AR178" s="6" t="str">
        <f>IF(最佳化斷筋點!T178="","",最佳化斷筋點!T178)</f>
        <v/>
      </c>
      <c r="AS178" s="6" t="str">
        <f>IF(最佳化斷筋點!U178="","",最佳化斷筋點!U178)</f>
        <v/>
      </c>
      <c r="AT178" s="6" t="str">
        <f>IF(最佳化斷筋點!V178="","",最佳化斷筋點!V178)</f>
        <v/>
      </c>
      <c r="AU178" s="6" t="str">
        <f>IF(最佳化斷筋點!W178="","",最佳化斷筋點!W178)</f>
        <v/>
      </c>
      <c r="AV178" s="6" t="str">
        <f>IF(最佳化斷筋點!X178="","",最佳化斷筋點!X178)</f>
        <v/>
      </c>
    </row>
    <row r="179" spans="4:71" x14ac:dyDescent="0.25">
      <c r="D179" s="6" t="s">
        <v>50</v>
      </c>
      <c r="E179" s="6">
        <f t="shared" si="43"/>
        <v>0</v>
      </c>
      <c r="F179" s="6">
        <f t="shared" si="44"/>
        <v>0</v>
      </c>
      <c r="G179" s="6">
        <f t="shared" si="45"/>
        <v>0</v>
      </c>
      <c r="H179" s="6">
        <f t="shared" si="46"/>
        <v>0</v>
      </c>
      <c r="I179" s="6">
        <f t="shared" si="47"/>
        <v>0</v>
      </c>
      <c r="J179" s="6">
        <f t="shared" si="48"/>
        <v>0</v>
      </c>
      <c r="K179" s="6">
        <f t="shared" si="49"/>
        <v>0</v>
      </c>
      <c r="L179" s="6">
        <f t="shared" si="50"/>
        <v>0</v>
      </c>
      <c r="M179" s="6">
        <f t="shared" si="51"/>
        <v>0</v>
      </c>
      <c r="N179" s="6">
        <f t="shared" si="52"/>
        <v>0</v>
      </c>
      <c r="O179" s="6">
        <f t="shared" si="53"/>
        <v>0</v>
      </c>
      <c r="P179" s="6">
        <f t="shared" si="54"/>
        <v>0</v>
      </c>
      <c r="Q179" s="6">
        <f t="shared" si="55"/>
        <v>0</v>
      </c>
      <c r="R179" s="6">
        <f t="shared" si="56"/>
        <v>0</v>
      </c>
      <c r="S179" s="6">
        <f t="shared" si="57"/>
        <v>0</v>
      </c>
      <c r="T179" s="6">
        <f t="shared" si="58"/>
        <v>0</v>
      </c>
      <c r="U179" s="6">
        <f t="shared" si="59"/>
        <v>0</v>
      </c>
      <c r="V179" s="6">
        <f t="shared" si="60"/>
        <v>0</v>
      </c>
      <c r="W179" s="6">
        <f t="shared" si="61"/>
        <v>0</v>
      </c>
      <c r="X179" s="6">
        <f t="shared" si="62"/>
        <v>0</v>
      </c>
      <c r="Y179" s="6">
        <f t="shared" si="63"/>
        <v>0</v>
      </c>
      <c r="AA179" s="6" t="str">
        <f>IF(最佳化斷筋點!C179="","",最佳化斷筋點!C179)</f>
        <v>上層</v>
      </c>
      <c r="AB179" s="6">
        <f>IF(最佳化斷筋點!D179="","",最佳化斷筋點!D179)</f>
        <v>5</v>
      </c>
      <c r="AC179" s="6">
        <f>IF(最佳化斷筋點!E179="","",最佳化斷筋點!E179)</f>
        <v>5</v>
      </c>
      <c r="AD179" s="6">
        <f>IF(最佳化斷筋點!F179="","",最佳化斷筋點!F179)</f>
        <v>4</v>
      </c>
      <c r="AE179" s="6">
        <f>IF(最佳化斷筋點!G179="","",最佳化斷筋點!G179)</f>
        <v>4</v>
      </c>
      <c r="AF179" s="6">
        <f>IF(最佳化斷筋點!H179="","",最佳化斷筋點!H179)</f>
        <v>4</v>
      </c>
      <c r="AG179" s="6">
        <f>IF(最佳化斷筋點!I179="","",最佳化斷筋點!I179)</f>
        <v>3</v>
      </c>
      <c r="AH179" s="6">
        <f>IF(最佳化斷筋點!J179="","",最佳化斷筋點!J179)</f>
        <v>3</v>
      </c>
      <c r="AI179" s="6">
        <f>IF(最佳化斷筋點!K179="","",最佳化斷筋點!K179)</f>
        <v>2</v>
      </c>
      <c r="AJ179" s="6">
        <f>IF(最佳化斷筋點!L179="","",最佳化斷筋點!L179)</f>
        <v>2</v>
      </c>
      <c r="AK179" s="6">
        <f>IF(最佳化斷筋點!M179="","",最佳化斷筋點!M179)</f>
        <v>2</v>
      </c>
      <c r="AL179" s="6">
        <f>IF(最佳化斷筋點!N179="","",最佳化斷筋點!N179)</f>
        <v>2</v>
      </c>
      <c r="AM179" s="6">
        <f>IF(最佳化斷筋點!O179="","",最佳化斷筋點!O179)</f>
        <v>2</v>
      </c>
      <c r="AN179" s="6">
        <f>IF(最佳化斷筋點!P179="","",最佳化斷筋點!P179)</f>
        <v>2</v>
      </c>
      <c r="AO179" s="6">
        <f>IF(最佳化斷筋點!Q179="","",最佳化斷筋點!Q179)</f>
        <v>2</v>
      </c>
      <c r="AP179" s="6">
        <f>IF(最佳化斷筋點!R179="","",最佳化斷筋點!R179)</f>
        <v>2</v>
      </c>
      <c r="AQ179" s="6">
        <f>IF(最佳化斷筋點!S179="","",最佳化斷筋點!S179)</f>
        <v>3</v>
      </c>
      <c r="AR179" s="6">
        <f>IF(最佳化斷筋點!T179="","",最佳化斷筋點!T179)</f>
        <v>3</v>
      </c>
      <c r="AS179" s="6">
        <f>IF(最佳化斷筋點!U179="","",最佳化斷筋點!U179)</f>
        <v>4</v>
      </c>
      <c r="AT179" s="6">
        <f>IF(最佳化斷筋點!V179="","",最佳化斷筋點!V179)</f>
        <v>4</v>
      </c>
      <c r="AU179" s="6">
        <f>IF(最佳化斷筋點!W179="","",最佳化斷筋點!W179)</f>
        <v>5</v>
      </c>
      <c r="AV179" s="6">
        <f>IF(最佳化斷筋點!X179="","",最佳化斷筋點!X179)</f>
        <v>5</v>
      </c>
      <c r="AX179" s="6" t="s">
        <v>50</v>
      </c>
      <c r="AY179" s="6">
        <v>5</v>
      </c>
      <c r="AZ179" s="6">
        <v>5</v>
      </c>
      <c r="BA179" s="6">
        <v>4</v>
      </c>
      <c r="BB179" s="6">
        <v>4</v>
      </c>
      <c r="BC179" s="6">
        <v>4</v>
      </c>
      <c r="BD179" s="6">
        <v>3</v>
      </c>
      <c r="BE179" s="6">
        <v>3</v>
      </c>
      <c r="BF179" s="6">
        <v>2</v>
      </c>
      <c r="BG179" s="6">
        <v>2</v>
      </c>
      <c r="BH179" s="6">
        <v>2</v>
      </c>
      <c r="BI179" s="6">
        <v>2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</row>
    <row r="180" spans="4:71" x14ac:dyDescent="0.25">
      <c r="E180" s="6">
        <f t="shared" si="43"/>
        <v>0</v>
      </c>
      <c r="F180" s="6">
        <f t="shared" si="44"/>
        <v>0</v>
      </c>
      <c r="G180" s="6">
        <f t="shared" si="45"/>
        <v>0</v>
      </c>
      <c r="H180" s="6">
        <f t="shared" si="46"/>
        <v>0</v>
      </c>
      <c r="I180" s="6">
        <f t="shared" si="47"/>
        <v>0</v>
      </c>
      <c r="J180" s="6">
        <f t="shared" si="48"/>
        <v>0</v>
      </c>
      <c r="K180" s="6">
        <f t="shared" si="49"/>
        <v>0</v>
      </c>
      <c r="L180" s="6">
        <f t="shared" si="50"/>
        <v>0</v>
      </c>
      <c r="M180" s="6">
        <f t="shared" si="51"/>
        <v>0</v>
      </c>
      <c r="N180" s="6">
        <f t="shared" si="52"/>
        <v>0</v>
      </c>
      <c r="O180" s="6">
        <f t="shared" si="53"/>
        <v>0</v>
      </c>
      <c r="P180" s="6">
        <f t="shared" si="54"/>
        <v>0</v>
      </c>
      <c r="Q180" s="6">
        <f t="shared" si="55"/>
        <v>0</v>
      </c>
      <c r="R180" s="6">
        <f t="shared" si="56"/>
        <v>0</v>
      </c>
      <c r="S180" s="6">
        <f t="shared" si="57"/>
        <v>0</v>
      </c>
      <c r="T180" s="6">
        <f t="shared" si="58"/>
        <v>0</v>
      </c>
      <c r="U180" s="6">
        <f t="shared" si="59"/>
        <v>0</v>
      </c>
      <c r="V180" s="6">
        <f t="shared" si="60"/>
        <v>0</v>
      </c>
      <c r="W180" s="6">
        <f t="shared" si="61"/>
        <v>0</v>
      </c>
      <c r="X180" s="6">
        <f t="shared" si="62"/>
        <v>0</v>
      </c>
      <c r="Y180" s="6">
        <f t="shared" si="63"/>
        <v>0</v>
      </c>
      <c r="AA180" s="6" t="str">
        <f>IF(最佳化斷筋點!C180="","",最佳化斷筋點!C180)</f>
        <v/>
      </c>
      <c r="AB180" s="6" t="str">
        <f>IF(最佳化斷筋點!D180="","",最佳化斷筋點!D180)</f>
        <v/>
      </c>
      <c r="AC180" s="6" t="str">
        <f>IF(最佳化斷筋點!E180="","",最佳化斷筋點!E180)</f>
        <v/>
      </c>
      <c r="AD180" s="6" t="str">
        <f>IF(最佳化斷筋點!F180="","",最佳化斷筋點!F180)</f>
        <v/>
      </c>
      <c r="AE180" s="6" t="str">
        <f>IF(最佳化斷筋點!G180="","",最佳化斷筋點!G180)</f>
        <v/>
      </c>
      <c r="AF180" s="6" t="str">
        <f>IF(最佳化斷筋點!H180="","",最佳化斷筋點!H180)</f>
        <v/>
      </c>
      <c r="AG180" s="6" t="str">
        <f>IF(最佳化斷筋點!I180="","",最佳化斷筋點!I180)</f>
        <v/>
      </c>
      <c r="AH180" s="6" t="str">
        <f>IF(最佳化斷筋點!J180="","",最佳化斷筋點!J180)</f>
        <v/>
      </c>
      <c r="AI180" s="6" t="str">
        <f>IF(最佳化斷筋點!K180="","",最佳化斷筋點!K180)</f>
        <v/>
      </c>
      <c r="AJ180" s="6" t="str">
        <f>IF(最佳化斷筋點!L180="","",最佳化斷筋點!L180)</f>
        <v/>
      </c>
      <c r="AK180" s="6" t="str">
        <f>IF(最佳化斷筋點!M180="","",最佳化斷筋點!M180)</f>
        <v/>
      </c>
      <c r="AL180" s="6" t="str">
        <f>IF(最佳化斷筋點!N180="","",最佳化斷筋點!N180)</f>
        <v/>
      </c>
      <c r="AM180" s="6" t="str">
        <f>IF(最佳化斷筋點!O180="","",最佳化斷筋點!O180)</f>
        <v/>
      </c>
      <c r="AN180" s="6" t="str">
        <f>IF(最佳化斷筋點!P180="","",最佳化斷筋點!P180)</f>
        <v/>
      </c>
      <c r="AO180" s="6" t="str">
        <f>IF(最佳化斷筋點!Q180="","",最佳化斷筋點!Q180)</f>
        <v/>
      </c>
      <c r="AP180" s="6" t="str">
        <f>IF(最佳化斷筋點!R180="","",最佳化斷筋點!R180)</f>
        <v/>
      </c>
      <c r="AQ180" s="6" t="str">
        <f>IF(最佳化斷筋點!S180="","",最佳化斷筋點!S180)</f>
        <v/>
      </c>
      <c r="AR180" s="6" t="str">
        <f>IF(最佳化斷筋點!T180="","",最佳化斷筋點!T180)</f>
        <v/>
      </c>
      <c r="AS180" s="6" t="str">
        <f>IF(最佳化斷筋點!U180="","",最佳化斷筋點!U180)</f>
        <v/>
      </c>
      <c r="AT180" s="6" t="str">
        <f>IF(最佳化斷筋點!V180="","",最佳化斷筋點!V180)</f>
        <v/>
      </c>
      <c r="AU180" s="6" t="str">
        <f>IF(最佳化斷筋點!W180="","",最佳化斷筋點!W180)</f>
        <v/>
      </c>
      <c r="AV180" s="6" t="str">
        <f>IF(最佳化斷筋點!X180="","",最佳化斷筋點!X180)</f>
        <v/>
      </c>
    </row>
    <row r="181" spans="4:71" x14ac:dyDescent="0.25">
      <c r="D181" s="6" t="s">
        <v>51</v>
      </c>
      <c r="E181" s="6">
        <f t="shared" si="43"/>
        <v>0</v>
      </c>
      <c r="F181" s="6">
        <f t="shared" si="44"/>
        <v>0</v>
      </c>
      <c r="G181" s="6">
        <f t="shared" si="45"/>
        <v>0</v>
      </c>
      <c r="H181" s="6">
        <f t="shared" si="46"/>
        <v>0</v>
      </c>
      <c r="I181" s="6">
        <f t="shared" si="47"/>
        <v>0</v>
      </c>
      <c r="J181" s="6">
        <f t="shared" si="48"/>
        <v>0</v>
      </c>
      <c r="K181" s="6">
        <f t="shared" si="49"/>
        <v>0</v>
      </c>
      <c r="L181" s="6">
        <f t="shared" si="50"/>
        <v>0</v>
      </c>
      <c r="M181" s="6">
        <f t="shared" si="51"/>
        <v>0</v>
      </c>
      <c r="N181" s="6">
        <f t="shared" si="52"/>
        <v>0</v>
      </c>
      <c r="O181" s="6">
        <f t="shared" si="53"/>
        <v>0</v>
      </c>
      <c r="P181" s="6">
        <f t="shared" si="54"/>
        <v>0</v>
      </c>
      <c r="Q181" s="6">
        <f t="shared" si="55"/>
        <v>0</v>
      </c>
      <c r="R181" s="6">
        <f t="shared" si="56"/>
        <v>0</v>
      </c>
      <c r="S181" s="6">
        <f t="shared" si="57"/>
        <v>0</v>
      </c>
      <c r="T181" s="6">
        <f t="shared" si="58"/>
        <v>0</v>
      </c>
      <c r="U181" s="6">
        <f t="shared" si="59"/>
        <v>0</v>
      </c>
      <c r="V181" s="6">
        <f t="shared" si="60"/>
        <v>0</v>
      </c>
      <c r="W181" s="6">
        <f t="shared" si="61"/>
        <v>0</v>
      </c>
      <c r="X181" s="6">
        <f t="shared" si="62"/>
        <v>0</v>
      </c>
      <c r="Y181" s="6">
        <f t="shared" si="63"/>
        <v>0</v>
      </c>
      <c r="AA181" s="6" t="str">
        <f>IF(最佳化斷筋點!C181="","",最佳化斷筋點!C181)</f>
        <v>下層</v>
      </c>
      <c r="AB181" s="6">
        <f>IF(最佳化斷筋點!D181="","",最佳化斷筋點!D181)</f>
        <v>3</v>
      </c>
      <c r="AC181" s="6">
        <f>IF(最佳化斷筋點!E181="","",最佳化斷筋點!E181)</f>
        <v>3</v>
      </c>
      <c r="AD181" s="6">
        <f>IF(最佳化斷筋點!F181="","",最佳化斷筋點!F181)</f>
        <v>3</v>
      </c>
      <c r="AE181" s="6">
        <f>IF(最佳化斷筋點!G181="","",最佳化斷筋點!G181)</f>
        <v>3</v>
      </c>
      <c r="AF181" s="6">
        <f>IF(最佳化斷筋點!H181="","",最佳化斷筋點!H181)</f>
        <v>3</v>
      </c>
      <c r="AG181" s="6">
        <f>IF(最佳化斷筋點!I181="","",最佳化斷筋點!I181)</f>
        <v>3</v>
      </c>
      <c r="AH181" s="6">
        <f>IF(最佳化斷筋點!J181="","",最佳化斷筋點!J181)</f>
        <v>4</v>
      </c>
      <c r="AI181" s="6">
        <f>IF(最佳化斷筋點!K181="","",最佳化斷筋點!K181)</f>
        <v>4</v>
      </c>
      <c r="AJ181" s="6">
        <f>IF(最佳化斷筋點!L181="","",最佳化斷筋點!L181)</f>
        <v>4</v>
      </c>
      <c r="AK181" s="6">
        <f>IF(最佳化斷筋點!M181="","",最佳化斷筋點!M181)</f>
        <v>4</v>
      </c>
      <c r="AL181" s="6">
        <f>IF(最佳化斷筋點!N181="","",最佳化斷筋點!N181)</f>
        <v>4</v>
      </c>
      <c r="AM181" s="6">
        <f>IF(最佳化斷筋點!O181="","",最佳化斷筋點!O181)</f>
        <v>4</v>
      </c>
      <c r="AN181" s="6">
        <f>IF(最佳化斷筋點!P181="","",最佳化斷筋點!P181)</f>
        <v>4</v>
      </c>
      <c r="AO181" s="6">
        <f>IF(最佳化斷筋點!Q181="","",最佳化斷筋點!Q181)</f>
        <v>4</v>
      </c>
      <c r="AP181" s="6">
        <f>IF(最佳化斷筋點!R181="","",最佳化斷筋點!R181)</f>
        <v>4</v>
      </c>
      <c r="AQ181" s="6">
        <f>IF(最佳化斷筋點!S181="","",最佳化斷筋點!S181)</f>
        <v>3</v>
      </c>
      <c r="AR181" s="6">
        <f>IF(最佳化斷筋點!T181="","",最佳化斷筋點!T181)</f>
        <v>3</v>
      </c>
      <c r="AS181" s="6">
        <f>IF(最佳化斷筋點!U181="","",最佳化斷筋點!U181)</f>
        <v>3</v>
      </c>
      <c r="AT181" s="6">
        <f>IF(最佳化斷筋點!V181="","",最佳化斷筋點!V181)</f>
        <v>3</v>
      </c>
      <c r="AU181" s="6">
        <f>IF(最佳化斷筋點!W181="","",最佳化斷筋點!W181)</f>
        <v>3</v>
      </c>
      <c r="AV181" s="6">
        <f>IF(最佳化斷筋點!X181="","",最佳化斷筋點!X181)</f>
        <v>3</v>
      </c>
      <c r="AX181" s="6" t="s">
        <v>51</v>
      </c>
      <c r="AY181" s="6">
        <v>3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3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</row>
    <row r="182" spans="4:71" x14ac:dyDescent="0.25">
      <c r="E182" s="6">
        <f t="shared" si="43"/>
        <v>0</v>
      </c>
      <c r="F182" s="6">
        <f t="shared" si="44"/>
        <v>0</v>
      </c>
      <c r="G182" s="6">
        <f t="shared" si="45"/>
        <v>0</v>
      </c>
      <c r="H182" s="6">
        <f t="shared" si="46"/>
        <v>0</v>
      </c>
      <c r="I182" s="6">
        <f t="shared" si="47"/>
        <v>0</v>
      </c>
      <c r="J182" s="6">
        <f t="shared" si="48"/>
        <v>0</v>
      </c>
      <c r="K182" s="6">
        <f t="shared" si="49"/>
        <v>0</v>
      </c>
      <c r="L182" s="6">
        <f t="shared" si="50"/>
        <v>0</v>
      </c>
      <c r="M182" s="6">
        <f t="shared" si="51"/>
        <v>0</v>
      </c>
      <c r="N182" s="6">
        <f t="shared" si="52"/>
        <v>0</v>
      </c>
      <c r="O182" s="6">
        <f t="shared" si="53"/>
        <v>0</v>
      </c>
      <c r="P182" s="6">
        <f t="shared" si="54"/>
        <v>0</v>
      </c>
      <c r="Q182" s="6">
        <f t="shared" si="55"/>
        <v>0</v>
      </c>
      <c r="R182" s="6">
        <f t="shared" si="56"/>
        <v>0</v>
      </c>
      <c r="S182" s="6">
        <f t="shared" si="57"/>
        <v>0</v>
      </c>
      <c r="T182" s="6">
        <f t="shared" si="58"/>
        <v>0</v>
      </c>
      <c r="U182" s="6">
        <f t="shared" si="59"/>
        <v>0</v>
      </c>
      <c r="V182" s="6">
        <f t="shared" si="60"/>
        <v>0</v>
      </c>
      <c r="W182" s="6">
        <f t="shared" si="61"/>
        <v>0</v>
      </c>
      <c r="X182" s="6">
        <f t="shared" si="62"/>
        <v>0</v>
      </c>
      <c r="Y182" s="6">
        <f t="shared" si="63"/>
        <v>0</v>
      </c>
      <c r="AA182" s="6" t="str">
        <f>IF(最佳化斷筋點!C182="","",最佳化斷筋點!C182)</f>
        <v/>
      </c>
      <c r="AB182" s="6" t="str">
        <f>IF(最佳化斷筋點!D182="","",最佳化斷筋點!D182)</f>
        <v/>
      </c>
      <c r="AC182" s="6" t="str">
        <f>IF(最佳化斷筋點!E182="","",最佳化斷筋點!E182)</f>
        <v/>
      </c>
      <c r="AD182" s="6" t="str">
        <f>IF(最佳化斷筋點!F182="","",最佳化斷筋點!F182)</f>
        <v/>
      </c>
      <c r="AE182" s="6" t="str">
        <f>IF(最佳化斷筋點!G182="","",最佳化斷筋點!G182)</f>
        <v/>
      </c>
      <c r="AF182" s="6" t="str">
        <f>IF(最佳化斷筋點!H182="","",最佳化斷筋點!H182)</f>
        <v/>
      </c>
      <c r="AG182" s="6" t="str">
        <f>IF(最佳化斷筋點!I182="","",最佳化斷筋點!I182)</f>
        <v/>
      </c>
      <c r="AH182" s="6" t="str">
        <f>IF(最佳化斷筋點!J182="","",最佳化斷筋點!J182)</f>
        <v/>
      </c>
      <c r="AI182" s="6" t="str">
        <f>IF(最佳化斷筋點!K182="","",最佳化斷筋點!K182)</f>
        <v/>
      </c>
      <c r="AJ182" s="6" t="str">
        <f>IF(最佳化斷筋點!L182="","",最佳化斷筋點!L182)</f>
        <v/>
      </c>
      <c r="AK182" s="6" t="str">
        <f>IF(最佳化斷筋點!M182="","",最佳化斷筋點!M182)</f>
        <v/>
      </c>
      <c r="AL182" s="6" t="str">
        <f>IF(最佳化斷筋點!N182="","",最佳化斷筋點!N182)</f>
        <v/>
      </c>
      <c r="AM182" s="6" t="str">
        <f>IF(最佳化斷筋點!O182="","",最佳化斷筋點!O182)</f>
        <v/>
      </c>
      <c r="AN182" s="6" t="str">
        <f>IF(最佳化斷筋點!P182="","",最佳化斷筋點!P182)</f>
        <v/>
      </c>
      <c r="AO182" s="6" t="str">
        <f>IF(最佳化斷筋點!Q182="","",最佳化斷筋點!Q182)</f>
        <v/>
      </c>
      <c r="AP182" s="6" t="str">
        <f>IF(最佳化斷筋點!R182="","",最佳化斷筋點!R182)</f>
        <v/>
      </c>
      <c r="AQ182" s="6" t="str">
        <f>IF(最佳化斷筋點!S182="","",最佳化斷筋點!S182)</f>
        <v/>
      </c>
      <c r="AR182" s="6" t="str">
        <f>IF(最佳化斷筋點!T182="","",最佳化斷筋點!T182)</f>
        <v/>
      </c>
      <c r="AS182" s="6" t="str">
        <f>IF(最佳化斷筋點!U182="","",最佳化斷筋點!U182)</f>
        <v/>
      </c>
      <c r="AT182" s="6" t="str">
        <f>IF(最佳化斷筋點!V182="","",最佳化斷筋點!V182)</f>
        <v/>
      </c>
      <c r="AU182" s="6" t="str">
        <f>IF(最佳化斷筋點!W182="","",最佳化斷筋點!W182)</f>
        <v/>
      </c>
      <c r="AV182" s="6" t="str">
        <f>IF(最佳化斷筋點!X182="","",最佳化斷筋點!X182)</f>
        <v/>
      </c>
    </row>
    <row r="183" spans="4:71" x14ac:dyDescent="0.25">
      <c r="D183" s="6" t="s">
        <v>50</v>
      </c>
      <c r="E183" s="6">
        <f t="shared" si="43"/>
        <v>0</v>
      </c>
      <c r="F183" s="6">
        <f t="shared" si="44"/>
        <v>0</v>
      </c>
      <c r="G183" s="6">
        <f t="shared" si="45"/>
        <v>0</v>
      </c>
      <c r="H183" s="6">
        <f t="shared" si="46"/>
        <v>0</v>
      </c>
      <c r="I183" s="6">
        <f t="shared" si="47"/>
        <v>0</v>
      </c>
      <c r="J183" s="6">
        <f t="shared" si="48"/>
        <v>0</v>
      </c>
      <c r="K183" s="6">
        <f t="shared" si="49"/>
        <v>0</v>
      </c>
      <c r="L183" s="6">
        <f t="shared" si="50"/>
        <v>0</v>
      </c>
      <c r="M183" s="6">
        <f t="shared" si="51"/>
        <v>0</v>
      </c>
      <c r="N183" s="6">
        <f t="shared" si="52"/>
        <v>0</v>
      </c>
      <c r="O183" s="6">
        <f t="shared" si="53"/>
        <v>0</v>
      </c>
      <c r="P183" s="6">
        <f t="shared" si="54"/>
        <v>0</v>
      </c>
      <c r="Q183" s="6">
        <f t="shared" si="55"/>
        <v>0</v>
      </c>
      <c r="R183" s="6">
        <f t="shared" si="56"/>
        <v>0</v>
      </c>
      <c r="S183" s="6">
        <f t="shared" si="57"/>
        <v>0</v>
      </c>
      <c r="T183" s="6">
        <f t="shared" si="58"/>
        <v>0</v>
      </c>
      <c r="U183" s="6">
        <f t="shared" si="59"/>
        <v>0</v>
      </c>
      <c r="V183" s="6">
        <f t="shared" si="60"/>
        <v>0</v>
      </c>
      <c r="W183" s="6">
        <f t="shared" si="61"/>
        <v>0</v>
      </c>
      <c r="X183" s="6">
        <f t="shared" si="62"/>
        <v>0</v>
      </c>
      <c r="Y183" s="6">
        <f t="shared" si="63"/>
        <v>0</v>
      </c>
      <c r="AA183" s="6" t="str">
        <f>IF(最佳化斷筋點!C183="","",最佳化斷筋點!C183)</f>
        <v>上層</v>
      </c>
      <c r="AB183" s="6">
        <f>IF(最佳化斷筋點!D183="","",最佳化斷筋點!D183)</f>
        <v>5</v>
      </c>
      <c r="AC183" s="6">
        <f>IF(最佳化斷筋點!E183="","",最佳化斷筋點!E183)</f>
        <v>5</v>
      </c>
      <c r="AD183" s="6">
        <f>IF(最佳化斷筋點!F183="","",最佳化斷筋點!F183)</f>
        <v>4</v>
      </c>
      <c r="AE183" s="6">
        <f>IF(最佳化斷筋點!G183="","",最佳化斷筋點!G183)</f>
        <v>4</v>
      </c>
      <c r="AF183" s="6">
        <f>IF(最佳化斷筋點!H183="","",最佳化斷筋點!H183)</f>
        <v>4</v>
      </c>
      <c r="AG183" s="6">
        <f>IF(最佳化斷筋點!I183="","",最佳化斷筋點!I183)</f>
        <v>3</v>
      </c>
      <c r="AH183" s="6">
        <f>IF(最佳化斷筋點!J183="","",最佳化斷筋點!J183)</f>
        <v>3</v>
      </c>
      <c r="AI183" s="6">
        <f>IF(最佳化斷筋點!K183="","",最佳化斷筋點!K183)</f>
        <v>2</v>
      </c>
      <c r="AJ183" s="6">
        <f>IF(最佳化斷筋點!L183="","",最佳化斷筋點!L183)</f>
        <v>2</v>
      </c>
      <c r="AK183" s="6">
        <f>IF(最佳化斷筋點!M183="","",最佳化斷筋點!M183)</f>
        <v>2</v>
      </c>
      <c r="AL183" s="6">
        <f>IF(最佳化斷筋點!N183="","",最佳化斷筋點!N183)</f>
        <v>2</v>
      </c>
      <c r="AM183" s="6">
        <f>IF(最佳化斷筋點!O183="","",最佳化斷筋點!O183)</f>
        <v>2</v>
      </c>
      <c r="AN183" s="6">
        <f>IF(最佳化斷筋點!P183="","",最佳化斷筋點!P183)</f>
        <v>2</v>
      </c>
      <c r="AO183" s="6">
        <f>IF(最佳化斷筋點!Q183="","",最佳化斷筋點!Q183)</f>
        <v>2</v>
      </c>
      <c r="AP183" s="6">
        <f>IF(最佳化斷筋點!R183="","",最佳化斷筋點!R183)</f>
        <v>2</v>
      </c>
      <c r="AQ183" s="6">
        <f>IF(最佳化斷筋點!S183="","",最佳化斷筋點!S183)</f>
        <v>3</v>
      </c>
      <c r="AR183" s="6">
        <f>IF(最佳化斷筋點!T183="","",最佳化斷筋點!T183)</f>
        <v>3</v>
      </c>
      <c r="AS183" s="6">
        <f>IF(最佳化斷筋點!U183="","",最佳化斷筋點!U183)</f>
        <v>4</v>
      </c>
      <c r="AT183" s="6">
        <f>IF(最佳化斷筋點!V183="","",最佳化斷筋點!V183)</f>
        <v>4</v>
      </c>
      <c r="AU183" s="6">
        <f>IF(最佳化斷筋點!W183="","",最佳化斷筋點!W183)</f>
        <v>5</v>
      </c>
      <c r="AV183" s="6">
        <f>IF(最佳化斷筋點!X183="","",最佳化斷筋點!X183)</f>
        <v>5</v>
      </c>
      <c r="AX183" s="6" t="s">
        <v>50</v>
      </c>
      <c r="AY183" s="6">
        <v>5</v>
      </c>
      <c r="AZ183" s="6">
        <v>5</v>
      </c>
      <c r="BA183" s="6">
        <v>4</v>
      </c>
      <c r="BB183" s="6">
        <v>4</v>
      </c>
      <c r="BC183" s="6">
        <v>4</v>
      </c>
      <c r="BD183" s="6">
        <v>3</v>
      </c>
      <c r="BE183" s="6">
        <v>3</v>
      </c>
      <c r="BF183" s="6">
        <v>2</v>
      </c>
      <c r="BG183" s="6">
        <v>2</v>
      </c>
      <c r="BH183" s="6">
        <v>2</v>
      </c>
      <c r="BI183" s="6">
        <v>2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</row>
    <row r="184" spans="4:71" x14ac:dyDescent="0.25">
      <c r="E184" s="6">
        <f t="shared" si="43"/>
        <v>0</v>
      </c>
      <c r="F184" s="6">
        <f t="shared" si="44"/>
        <v>0</v>
      </c>
      <c r="G184" s="6">
        <f t="shared" si="45"/>
        <v>0</v>
      </c>
      <c r="H184" s="6">
        <f t="shared" si="46"/>
        <v>0</v>
      </c>
      <c r="I184" s="6">
        <f t="shared" si="47"/>
        <v>0</v>
      </c>
      <c r="J184" s="6">
        <f t="shared" si="48"/>
        <v>0</v>
      </c>
      <c r="K184" s="6">
        <f t="shared" si="49"/>
        <v>0</v>
      </c>
      <c r="L184" s="6">
        <f t="shared" si="50"/>
        <v>0</v>
      </c>
      <c r="M184" s="6">
        <f t="shared" si="51"/>
        <v>0</v>
      </c>
      <c r="N184" s="6">
        <f t="shared" si="52"/>
        <v>0</v>
      </c>
      <c r="O184" s="6">
        <f t="shared" si="53"/>
        <v>0</v>
      </c>
      <c r="P184" s="6">
        <f t="shared" si="54"/>
        <v>0</v>
      </c>
      <c r="Q184" s="6">
        <f t="shared" si="55"/>
        <v>0</v>
      </c>
      <c r="R184" s="6">
        <f t="shared" si="56"/>
        <v>0</v>
      </c>
      <c r="S184" s="6">
        <f t="shared" si="57"/>
        <v>0</v>
      </c>
      <c r="T184" s="6">
        <f t="shared" si="58"/>
        <v>0</v>
      </c>
      <c r="U184" s="6">
        <f t="shared" si="59"/>
        <v>0</v>
      </c>
      <c r="V184" s="6">
        <f t="shared" si="60"/>
        <v>0</v>
      </c>
      <c r="W184" s="6">
        <f t="shared" si="61"/>
        <v>0</v>
      </c>
      <c r="X184" s="6">
        <f t="shared" si="62"/>
        <v>0</v>
      </c>
      <c r="Y184" s="6">
        <f t="shared" si="63"/>
        <v>0</v>
      </c>
      <c r="AA184" s="6" t="str">
        <f>IF(最佳化斷筋點!C184="","",最佳化斷筋點!C184)</f>
        <v/>
      </c>
      <c r="AB184" s="6" t="str">
        <f>IF(最佳化斷筋點!D184="","",最佳化斷筋點!D184)</f>
        <v/>
      </c>
      <c r="AC184" s="6" t="str">
        <f>IF(最佳化斷筋點!E184="","",最佳化斷筋點!E184)</f>
        <v/>
      </c>
      <c r="AD184" s="6" t="str">
        <f>IF(最佳化斷筋點!F184="","",最佳化斷筋點!F184)</f>
        <v/>
      </c>
      <c r="AE184" s="6" t="str">
        <f>IF(最佳化斷筋點!G184="","",最佳化斷筋點!G184)</f>
        <v/>
      </c>
      <c r="AF184" s="6" t="str">
        <f>IF(最佳化斷筋點!H184="","",最佳化斷筋點!H184)</f>
        <v/>
      </c>
      <c r="AG184" s="6" t="str">
        <f>IF(最佳化斷筋點!I184="","",最佳化斷筋點!I184)</f>
        <v/>
      </c>
      <c r="AH184" s="6" t="str">
        <f>IF(最佳化斷筋點!J184="","",最佳化斷筋點!J184)</f>
        <v/>
      </c>
      <c r="AI184" s="6" t="str">
        <f>IF(最佳化斷筋點!K184="","",最佳化斷筋點!K184)</f>
        <v/>
      </c>
      <c r="AJ184" s="6" t="str">
        <f>IF(最佳化斷筋點!L184="","",最佳化斷筋點!L184)</f>
        <v/>
      </c>
      <c r="AK184" s="6" t="str">
        <f>IF(最佳化斷筋點!M184="","",最佳化斷筋點!M184)</f>
        <v/>
      </c>
      <c r="AL184" s="6" t="str">
        <f>IF(最佳化斷筋點!N184="","",最佳化斷筋點!N184)</f>
        <v/>
      </c>
      <c r="AM184" s="6" t="str">
        <f>IF(最佳化斷筋點!O184="","",最佳化斷筋點!O184)</f>
        <v/>
      </c>
      <c r="AN184" s="6" t="str">
        <f>IF(最佳化斷筋點!P184="","",最佳化斷筋點!P184)</f>
        <v/>
      </c>
      <c r="AO184" s="6" t="str">
        <f>IF(最佳化斷筋點!Q184="","",最佳化斷筋點!Q184)</f>
        <v/>
      </c>
      <c r="AP184" s="6" t="str">
        <f>IF(最佳化斷筋點!R184="","",最佳化斷筋點!R184)</f>
        <v/>
      </c>
      <c r="AQ184" s="6" t="str">
        <f>IF(最佳化斷筋點!S184="","",最佳化斷筋點!S184)</f>
        <v/>
      </c>
      <c r="AR184" s="6" t="str">
        <f>IF(最佳化斷筋點!T184="","",最佳化斷筋點!T184)</f>
        <v/>
      </c>
      <c r="AS184" s="6" t="str">
        <f>IF(最佳化斷筋點!U184="","",最佳化斷筋點!U184)</f>
        <v/>
      </c>
      <c r="AT184" s="6" t="str">
        <f>IF(最佳化斷筋點!V184="","",最佳化斷筋點!V184)</f>
        <v/>
      </c>
      <c r="AU184" s="6" t="str">
        <f>IF(最佳化斷筋點!W184="","",最佳化斷筋點!W184)</f>
        <v/>
      </c>
      <c r="AV184" s="6" t="str">
        <f>IF(最佳化斷筋點!X184="","",最佳化斷筋點!X184)</f>
        <v/>
      </c>
    </row>
    <row r="185" spans="4:71" x14ac:dyDescent="0.25">
      <c r="D185" s="6" t="s">
        <v>51</v>
      </c>
      <c r="E185" s="6">
        <f t="shared" si="43"/>
        <v>0</v>
      </c>
      <c r="F185" s="6">
        <f t="shared" si="44"/>
        <v>0</v>
      </c>
      <c r="G185" s="6">
        <f t="shared" si="45"/>
        <v>0</v>
      </c>
      <c r="H185" s="6">
        <f t="shared" si="46"/>
        <v>0</v>
      </c>
      <c r="I185" s="6">
        <f t="shared" si="47"/>
        <v>0</v>
      </c>
      <c r="J185" s="6">
        <f t="shared" si="48"/>
        <v>0</v>
      </c>
      <c r="K185" s="6">
        <f t="shared" si="49"/>
        <v>0</v>
      </c>
      <c r="L185" s="6">
        <f t="shared" si="50"/>
        <v>0</v>
      </c>
      <c r="M185" s="6">
        <f t="shared" si="51"/>
        <v>0</v>
      </c>
      <c r="N185" s="6">
        <f t="shared" si="52"/>
        <v>0</v>
      </c>
      <c r="O185" s="6">
        <f t="shared" si="53"/>
        <v>0</v>
      </c>
      <c r="P185" s="6">
        <f t="shared" si="54"/>
        <v>0</v>
      </c>
      <c r="Q185" s="6">
        <f t="shared" si="55"/>
        <v>0</v>
      </c>
      <c r="R185" s="6">
        <f t="shared" si="56"/>
        <v>0</v>
      </c>
      <c r="S185" s="6">
        <f t="shared" si="57"/>
        <v>0</v>
      </c>
      <c r="T185" s="6">
        <f t="shared" si="58"/>
        <v>0</v>
      </c>
      <c r="U185" s="6">
        <f t="shared" si="59"/>
        <v>0</v>
      </c>
      <c r="V185" s="6">
        <f t="shared" si="60"/>
        <v>0</v>
      </c>
      <c r="W185" s="6">
        <f t="shared" si="61"/>
        <v>0</v>
      </c>
      <c r="X185" s="6">
        <f t="shared" si="62"/>
        <v>0</v>
      </c>
      <c r="Y185" s="6">
        <f t="shared" si="63"/>
        <v>0</v>
      </c>
      <c r="AA185" s="6" t="str">
        <f>IF(最佳化斷筋點!C185="","",最佳化斷筋點!C185)</f>
        <v>下層</v>
      </c>
      <c r="AB185" s="6">
        <f>IF(最佳化斷筋點!D185="","",最佳化斷筋點!D185)</f>
        <v>3</v>
      </c>
      <c r="AC185" s="6">
        <f>IF(最佳化斷筋點!E185="","",最佳化斷筋點!E185)</f>
        <v>3</v>
      </c>
      <c r="AD185" s="6">
        <f>IF(最佳化斷筋點!F185="","",最佳化斷筋點!F185)</f>
        <v>3</v>
      </c>
      <c r="AE185" s="6">
        <f>IF(最佳化斷筋點!G185="","",最佳化斷筋點!G185)</f>
        <v>3</v>
      </c>
      <c r="AF185" s="6">
        <f>IF(最佳化斷筋點!H185="","",最佳化斷筋點!H185)</f>
        <v>3</v>
      </c>
      <c r="AG185" s="6">
        <f>IF(最佳化斷筋點!I185="","",最佳化斷筋點!I185)</f>
        <v>3</v>
      </c>
      <c r="AH185" s="6">
        <f>IF(最佳化斷筋點!J185="","",最佳化斷筋點!J185)</f>
        <v>4</v>
      </c>
      <c r="AI185" s="6">
        <f>IF(最佳化斷筋點!K185="","",最佳化斷筋點!K185)</f>
        <v>4</v>
      </c>
      <c r="AJ185" s="6">
        <f>IF(最佳化斷筋點!L185="","",最佳化斷筋點!L185)</f>
        <v>4</v>
      </c>
      <c r="AK185" s="6">
        <f>IF(最佳化斷筋點!M185="","",最佳化斷筋點!M185)</f>
        <v>4</v>
      </c>
      <c r="AL185" s="6">
        <f>IF(最佳化斷筋點!N185="","",最佳化斷筋點!N185)</f>
        <v>4</v>
      </c>
      <c r="AM185" s="6">
        <f>IF(最佳化斷筋點!O185="","",最佳化斷筋點!O185)</f>
        <v>4</v>
      </c>
      <c r="AN185" s="6">
        <f>IF(最佳化斷筋點!P185="","",最佳化斷筋點!P185)</f>
        <v>4</v>
      </c>
      <c r="AO185" s="6">
        <f>IF(最佳化斷筋點!Q185="","",最佳化斷筋點!Q185)</f>
        <v>4</v>
      </c>
      <c r="AP185" s="6">
        <f>IF(最佳化斷筋點!R185="","",最佳化斷筋點!R185)</f>
        <v>4</v>
      </c>
      <c r="AQ185" s="6">
        <f>IF(最佳化斷筋點!S185="","",最佳化斷筋點!S185)</f>
        <v>3</v>
      </c>
      <c r="AR185" s="6">
        <f>IF(最佳化斷筋點!T185="","",最佳化斷筋點!T185)</f>
        <v>3</v>
      </c>
      <c r="AS185" s="6">
        <f>IF(最佳化斷筋點!U185="","",最佳化斷筋點!U185)</f>
        <v>3</v>
      </c>
      <c r="AT185" s="6">
        <f>IF(最佳化斷筋點!V185="","",最佳化斷筋點!V185)</f>
        <v>3</v>
      </c>
      <c r="AU185" s="6">
        <f>IF(最佳化斷筋點!W185="","",最佳化斷筋點!W185)</f>
        <v>3</v>
      </c>
      <c r="AV185" s="6">
        <f>IF(最佳化斷筋點!X185="","",最佳化斷筋點!X185)</f>
        <v>3</v>
      </c>
      <c r="AX185" s="6" t="s">
        <v>51</v>
      </c>
      <c r="AY185" s="6">
        <v>3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3</v>
      </c>
      <c r="BO185" s="6">
        <v>3</v>
      </c>
      <c r="BP185" s="6">
        <v>3</v>
      </c>
      <c r="BQ185" s="6">
        <v>3</v>
      </c>
      <c r="BR185" s="6">
        <v>3</v>
      </c>
      <c r="BS185" s="6">
        <v>3</v>
      </c>
    </row>
    <row r="186" spans="4:71" x14ac:dyDescent="0.25">
      <c r="E186" s="6">
        <f t="shared" si="43"/>
        <v>0</v>
      </c>
      <c r="F186" s="6">
        <f t="shared" si="44"/>
        <v>0</v>
      </c>
      <c r="G186" s="6">
        <f t="shared" si="45"/>
        <v>0</v>
      </c>
      <c r="H186" s="6">
        <f t="shared" si="46"/>
        <v>0</v>
      </c>
      <c r="I186" s="6">
        <f t="shared" si="47"/>
        <v>0</v>
      </c>
      <c r="J186" s="6">
        <f t="shared" si="48"/>
        <v>0</v>
      </c>
      <c r="K186" s="6">
        <f t="shared" si="49"/>
        <v>0</v>
      </c>
      <c r="L186" s="6">
        <f t="shared" si="50"/>
        <v>0</v>
      </c>
      <c r="M186" s="6">
        <f t="shared" si="51"/>
        <v>0</v>
      </c>
      <c r="N186" s="6">
        <f t="shared" si="52"/>
        <v>0</v>
      </c>
      <c r="O186" s="6">
        <f t="shared" si="53"/>
        <v>0</v>
      </c>
      <c r="P186" s="6">
        <f t="shared" si="54"/>
        <v>0</v>
      </c>
      <c r="Q186" s="6">
        <f t="shared" si="55"/>
        <v>0</v>
      </c>
      <c r="R186" s="6">
        <f t="shared" si="56"/>
        <v>0</v>
      </c>
      <c r="S186" s="6">
        <f t="shared" si="57"/>
        <v>0</v>
      </c>
      <c r="T186" s="6">
        <f t="shared" si="58"/>
        <v>0</v>
      </c>
      <c r="U186" s="6">
        <f t="shared" si="59"/>
        <v>0</v>
      </c>
      <c r="V186" s="6">
        <f t="shared" si="60"/>
        <v>0</v>
      </c>
      <c r="W186" s="6">
        <f t="shared" si="61"/>
        <v>0</v>
      </c>
      <c r="X186" s="6">
        <f t="shared" si="62"/>
        <v>0</v>
      </c>
      <c r="Y186" s="6">
        <f t="shared" si="63"/>
        <v>0</v>
      </c>
      <c r="AA186" s="6" t="str">
        <f>IF(最佳化斷筋點!C186="","",最佳化斷筋點!C186)</f>
        <v/>
      </c>
      <c r="AB186" s="6" t="str">
        <f>IF(最佳化斷筋點!D186="","",最佳化斷筋點!D186)</f>
        <v/>
      </c>
      <c r="AC186" s="6" t="str">
        <f>IF(最佳化斷筋點!E186="","",最佳化斷筋點!E186)</f>
        <v/>
      </c>
      <c r="AD186" s="6" t="str">
        <f>IF(最佳化斷筋點!F186="","",最佳化斷筋點!F186)</f>
        <v/>
      </c>
      <c r="AE186" s="6" t="str">
        <f>IF(最佳化斷筋點!G186="","",最佳化斷筋點!G186)</f>
        <v/>
      </c>
      <c r="AF186" s="6" t="str">
        <f>IF(最佳化斷筋點!H186="","",最佳化斷筋點!H186)</f>
        <v/>
      </c>
      <c r="AG186" s="6" t="str">
        <f>IF(最佳化斷筋點!I186="","",最佳化斷筋點!I186)</f>
        <v/>
      </c>
      <c r="AH186" s="6" t="str">
        <f>IF(最佳化斷筋點!J186="","",最佳化斷筋點!J186)</f>
        <v/>
      </c>
      <c r="AI186" s="6" t="str">
        <f>IF(最佳化斷筋點!K186="","",最佳化斷筋點!K186)</f>
        <v/>
      </c>
      <c r="AJ186" s="6" t="str">
        <f>IF(最佳化斷筋點!L186="","",最佳化斷筋點!L186)</f>
        <v/>
      </c>
      <c r="AK186" s="6" t="str">
        <f>IF(最佳化斷筋點!M186="","",最佳化斷筋點!M186)</f>
        <v/>
      </c>
      <c r="AL186" s="6" t="str">
        <f>IF(最佳化斷筋點!N186="","",最佳化斷筋點!N186)</f>
        <v/>
      </c>
      <c r="AM186" s="6" t="str">
        <f>IF(最佳化斷筋點!O186="","",最佳化斷筋點!O186)</f>
        <v/>
      </c>
      <c r="AN186" s="6" t="str">
        <f>IF(最佳化斷筋點!P186="","",最佳化斷筋點!P186)</f>
        <v/>
      </c>
      <c r="AO186" s="6" t="str">
        <f>IF(最佳化斷筋點!Q186="","",最佳化斷筋點!Q186)</f>
        <v/>
      </c>
      <c r="AP186" s="6" t="str">
        <f>IF(最佳化斷筋點!R186="","",最佳化斷筋點!R186)</f>
        <v/>
      </c>
      <c r="AQ186" s="6" t="str">
        <f>IF(最佳化斷筋點!S186="","",最佳化斷筋點!S186)</f>
        <v/>
      </c>
      <c r="AR186" s="6" t="str">
        <f>IF(最佳化斷筋點!T186="","",最佳化斷筋點!T186)</f>
        <v/>
      </c>
      <c r="AS186" s="6" t="str">
        <f>IF(最佳化斷筋點!U186="","",最佳化斷筋點!U186)</f>
        <v/>
      </c>
      <c r="AT186" s="6" t="str">
        <f>IF(最佳化斷筋點!V186="","",最佳化斷筋點!V186)</f>
        <v/>
      </c>
      <c r="AU186" s="6" t="str">
        <f>IF(最佳化斷筋點!W186="","",最佳化斷筋點!W186)</f>
        <v/>
      </c>
      <c r="AV186" s="6" t="str">
        <f>IF(最佳化斷筋點!X186="","",最佳化斷筋點!X186)</f>
        <v/>
      </c>
    </row>
    <row r="187" spans="4:71" x14ac:dyDescent="0.25">
      <c r="D187" s="6" t="s">
        <v>50</v>
      </c>
      <c r="E187" s="6">
        <f t="shared" si="43"/>
        <v>0</v>
      </c>
      <c r="F187" s="6">
        <f t="shared" si="44"/>
        <v>0</v>
      </c>
      <c r="G187" s="6">
        <f t="shared" si="45"/>
        <v>0</v>
      </c>
      <c r="H187" s="6">
        <f t="shared" si="46"/>
        <v>0</v>
      </c>
      <c r="I187" s="6">
        <f t="shared" si="47"/>
        <v>0</v>
      </c>
      <c r="J187" s="6">
        <f t="shared" si="48"/>
        <v>0</v>
      </c>
      <c r="K187" s="6">
        <f t="shared" si="49"/>
        <v>0</v>
      </c>
      <c r="L187" s="6">
        <f t="shared" si="50"/>
        <v>0</v>
      </c>
      <c r="M187" s="6">
        <f t="shared" si="51"/>
        <v>0</v>
      </c>
      <c r="N187" s="6">
        <f t="shared" si="52"/>
        <v>0</v>
      </c>
      <c r="O187" s="6">
        <f t="shared" si="53"/>
        <v>0</v>
      </c>
      <c r="P187" s="6">
        <f t="shared" si="54"/>
        <v>0</v>
      </c>
      <c r="Q187" s="6">
        <f t="shared" si="55"/>
        <v>0</v>
      </c>
      <c r="R187" s="6">
        <f t="shared" si="56"/>
        <v>0</v>
      </c>
      <c r="S187" s="6">
        <f t="shared" si="57"/>
        <v>0</v>
      </c>
      <c r="T187" s="6">
        <f t="shared" si="58"/>
        <v>0</v>
      </c>
      <c r="U187" s="6">
        <f t="shared" si="59"/>
        <v>0</v>
      </c>
      <c r="V187" s="6">
        <f t="shared" si="60"/>
        <v>0</v>
      </c>
      <c r="W187" s="6">
        <f t="shared" si="61"/>
        <v>0</v>
      </c>
      <c r="X187" s="6">
        <f t="shared" si="62"/>
        <v>0</v>
      </c>
      <c r="Y187" s="6">
        <f t="shared" si="63"/>
        <v>0</v>
      </c>
      <c r="AA187" s="6" t="str">
        <f>IF(最佳化斷筋點!C187="","",最佳化斷筋點!C187)</f>
        <v>上層</v>
      </c>
      <c r="AB187" s="6">
        <f>IF(最佳化斷筋點!D187="","",最佳化斷筋點!D187)</f>
        <v>5</v>
      </c>
      <c r="AC187" s="6">
        <f>IF(最佳化斷筋點!E187="","",最佳化斷筋點!E187)</f>
        <v>5</v>
      </c>
      <c r="AD187" s="6">
        <f>IF(最佳化斷筋點!F187="","",最佳化斷筋點!F187)</f>
        <v>4</v>
      </c>
      <c r="AE187" s="6">
        <f>IF(最佳化斷筋點!G187="","",最佳化斷筋點!G187)</f>
        <v>4</v>
      </c>
      <c r="AF187" s="6">
        <f>IF(最佳化斷筋點!H187="","",最佳化斷筋點!H187)</f>
        <v>4</v>
      </c>
      <c r="AG187" s="6">
        <f>IF(最佳化斷筋點!I187="","",最佳化斷筋點!I187)</f>
        <v>3</v>
      </c>
      <c r="AH187" s="6">
        <f>IF(最佳化斷筋點!J187="","",最佳化斷筋點!J187)</f>
        <v>3</v>
      </c>
      <c r="AI187" s="6">
        <f>IF(最佳化斷筋點!K187="","",最佳化斷筋點!K187)</f>
        <v>2</v>
      </c>
      <c r="AJ187" s="6">
        <f>IF(最佳化斷筋點!L187="","",最佳化斷筋點!L187)</f>
        <v>2</v>
      </c>
      <c r="AK187" s="6">
        <f>IF(最佳化斷筋點!M187="","",最佳化斷筋點!M187)</f>
        <v>2</v>
      </c>
      <c r="AL187" s="6">
        <f>IF(最佳化斷筋點!N187="","",最佳化斷筋點!N187)</f>
        <v>2</v>
      </c>
      <c r="AM187" s="6">
        <f>IF(最佳化斷筋點!O187="","",最佳化斷筋點!O187)</f>
        <v>2</v>
      </c>
      <c r="AN187" s="6">
        <f>IF(最佳化斷筋點!P187="","",最佳化斷筋點!P187)</f>
        <v>2</v>
      </c>
      <c r="AO187" s="6">
        <f>IF(最佳化斷筋點!Q187="","",最佳化斷筋點!Q187)</f>
        <v>2</v>
      </c>
      <c r="AP187" s="6">
        <f>IF(最佳化斷筋點!R187="","",最佳化斷筋點!R187)</f>
        <v>2</v>
      </c>
      <c r="AQ187" s="6">
        <f>IF(最佳化斷筋點!S187="","",最佳化斷筋點!S187)</f>
        <v>3</v>
      </c>
      <c r="AR187" s="6">
        <f>IF(最佳化斷筋點!T187="","",最佳化斷筋點!T187)</f>
        <v>3</v>
      </c>
      <c r="AS187" s="6">
        <f>IF(最佳化斷筋點!U187="","",最佳化斷筋點!U187)</f>
        <v>4</v>
      </c>
      <c r="AT187" s="6">
        <f>IF(最佳化斷筋點!V187="","",最佳化斷筋點!V187)</f>
        <v>4</v>
      </c>
      <c r="AU187" s="6">
        <f>IF(最佳化斷筋點!W187="","",最佳化斷筋點!W187)</f>
        <v>5</v>
      </c>
      <c r="AV187" s="6">
        <f>IF(最佳化斷筋點!X187="","",最佳化斷筋點!X187)</f>
        <v>5</v>
      </c>
      <c r="AX187" s="6" t="s">
        <v>50</v>
      </c>
      <c r="AY187" s="6">
        <v>5</v>
      </c>
      <c r="AZ187" s="6">
        <v>5</v>
      </c>
      <c r="BA187" s="6">
        <v>4</v>
      </c>
      <c r="BB187" s="6">
        <v>4</v>
      </c>
      <c r="BC187" s="6">
        <v>4</v>
      </c>
      <c r="BD187" s="6">
        <v>3</v>
      </c>
      <c r="BE187" s="6">
        <v>3</v>
      </c>
      <c r="BF187" s="6">
        <v>2</v>
      </c>
      <c r="BG187" s="6">
        <v>2</v>
      </c>
      <c r="BH187" s="6">
        <v>2</v>
      </c>
      <c r="BI187" s="6">
        <v>2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</row>
    <row r="188" spans="4:71" x14ac:dyDescent="0.25">
      <c r="E188" s="6">
        <f t="shared" si="43"/>
        <v>0</v>
      </c>
      <c r="F188" s="6">
        <f t="shared" si="44"/>
        <v>0</v>
      </c>
      <c r="G188" s="6">
        <f t="shared" si="45"/>
        <v>0</v>
      </c>
      <c r="H188" s="6">
        <f t="shared" si="46"/>
        <v>0</v>
      </c>
      <c r="I188" s="6">
        <f t="shared" si="47"/>
        <v>0</v>
      </c>
      <c r="J188" s="6">
        <f t="shared" si="48"/>
        <v>0</v>
      </c>
      <c r="K188" s="6">
        <f t="shared" si="49"/>
        <v>0</v>
      </c>
      <c r="L188" s="6">
        <f t="shared" si="50"/>
        <v>0</v>
      </c>
      <c r="M188" s="6">
        <f t="shared" si="51"/>
        <v>0</v>
      </c>
      <c r="N188" s="6">
        <f t="shared" si="52"/>
        <v>0</v>
      </c>
      <c r="O188" s="6">
        <f t="shared" si="53"/>
        <v>0</v>
      </c>
      <c r="P188" s="6">
        <f t="shared" si="54"/>
        <v>0</v>
      </c>
      <c r="Q188" s="6">
        <f t="shared" si="55"/>
        <v>0</v>
      </c>
      <c r="R188" s="6">
        <f t="shared" si="56"/>
        <v>0</v>
      </c>
      <c r="S188" s="6">
        <f t="shared" si="57"/>
        <v>0</v>
      </c>
      <c r="T188" s="6">
        <f t="shared" si="58"/>
        <v>0</v>
      </c>
      <c r="U188" s="6">
        <f t="shared" si="59"/>
        <v>0</v>
      </c>
      <c r="V188" s="6">
        <f t="shared" si="60"/>
        <v>0</v>
      </c>
      <c r="W188" s="6">
        <f t="shared" si="61"/>
        <v>0</v>
      </c>
      <c r="X188" s="6">
        <f t="shared" si="62"/>
        <v>0</v>
      </c>
      <c r="Y188" s="6">
        <f t="shared" si="63"/>
        <v>0</v>
      </c>
      <c r="AA188" s="6" t="str">
        <f>IF(最佳化斷筋點!C188="","",最佳化斷筋點!C188)</f>
        <v/>
      </c>
      <c r="AB188" s="6" t="str">
        <f>IF(最佳化斷筋點!D188="","",最佳化斷筋點!D188)</f>
        <v/>
      </c>
      <c r="AC188" s="6" t="str">
        <f>IF(最佳化斷筋點!E188="","",最佳化斷筋點!E188)</f>
        <v/>
      </c>
      <c r="AD188" s="6" t="str">
        <f>IF(最佳化斷筋點!F188="","",最佳化斷筋點!F188)</f>
        <v/>
      </c>
      <c r="AE188" s="6" t="str">
        <f>IF(最佳化斷筋點!G188="","",最佳化斷筋點!G188)</f>
        <v/>
      </c>
      <c r="AF188" s="6" t="str">
        <f>IF(最佳化斷筋點!H188="","",最佳化斷筋點!H188)</f>
        <v/>
      </c>
      <c r="AG188" s="6" t="str">
        <f>IF(最佳化斷筋點!I188="","",最佳化斷筋點!I188)</f>
        <v/>
      </c>
      <c r="AH188" s="6" t="str">
        <f>IF(最佳化斷筋點!J188="","",最佳化斷筋點!J188)</f>
        <v/>
      </c>
      <c r="AI188" s="6" t="str">
        <f>IF(最佳化斷筋點!K188="","",最佳化斷筋點!K188)</f>
        <v/>
      </c>
      <c r="AJ188" s="6" t="str">
        <f>IF(最佳化斷筋點!L188="","",最佳化斷筋點!L188)</f>
        <v/>
      </c>
      <c r="AK188" s="6" t="str">
        <f>IF(最佳化斷筋點!M188="","",最佳化斷筋點!M188)</f>
        <v/>
      </c>
      <c r="AL188" s="6" t="str">
        <f>IF(最佳化斷筋點!N188="","",最佳化斷筋點!N188)</f>
        <v/>
      </c>
      <c r="AM188" s="6" t="str">
        <f>IF(最佳化斷筋點!O188="","",最佳化斷筋點!O188)</f>
        <v/>
      </c>
      <c r="AN188" s="6" t="str">
        <f>IF(最佳化斷筋點!P188="","",最佳化斷筋點!P188)</f>
        <v/>
      </c>
      <c r="AO188" s="6" t="str">
        <f>IF(最佳化斷筋點!Q188="","",最佳化斷筋點!Q188)</f>
        <v/>
      </c>
      <c r="AP188" s="6" t="str">
        <f>IF(最佳化斷筋點!R188="","",最佳化斷筋點!R188)</f>
        <v/>
      </c>
      <c r="AQ188" s="6" t="str">
        <f>IF(最佳化斷筋點!S188="","",最佳化斷筋點!S188)</f>
        <v/>
      </c>
      <c r="AR188" s="6" t="str">
        <f>IF(最佳化斷筋點!T188="","",最佳化斷筋點!T188)</f>
        <v/>
      </c>
      <c r="AS188" s="6" t="str">
        <f>IF(最佳化斷筋點!U188="","",最佳化斷筋點!U188)</f>
        <v/>
      </c>
      <c r="AT188" s="6" t="str">
        <f>IF(最佳化斷筋點!V188="","",最佳化斷筋點!V188)</f>
        <v/>
      </c>
      <c r="AU188" s="6" t="str">
        <f>IF(最佳化斷筋點!W188="","",最佳化斷筋點!W188)</f>
        <v/>
      </c>
      <c r="AV188" s="6" t="str">
        <f>IF(最佳化斷筋點!X188="","",最佳化斷筋點!X188)</f>
        <v/>
      </c>
    </row>
    <row r="189" spans="4:71" x14ac:dyDescent="0.25">
      <c r="D189" s="6" t="s">
        <v>51</v>
      </c>
      <c r="E189" s="6">
        <f t="shared" si="43"/>
        <v>0</v>
      </c>
      <c r="F189" s="6">
        <f t="shared" si="44"/>
        <v>0</v>
      </c>
      <c r="G189" s="6">
        <f t="shared" si="45"/>
        <v>0</v>
      </c>
      <c r="H189" s="6">
        <f t="shared" si="46"/>
        <v>0</v>
      </c>
      <c r="I189" s="6">
        <f t="shared" si="47"/>
        <v>0</v>
      </c>
      <c r="J189" s="6">
        <f t="shared" si="48"/>
        <v>0</v>
      </c>
      <c r="K189" s="6">
        <f t="shared" si="49"/>
        <v>0</v>
      </c>
      <c r="L189" s="6">
        <f t="shared" si="50"/>
        <v>0</v>
      </c>
      <c r="M189" s="6">
        <f t="shared" si="51"/>
        <v>0</v>
      </c>
      <c r="N189" s="6">
        <f t="shared" si="52"/>
        <v>0</v>
      </c>
      <c r="O189" s="6">
        <f t="shared" si="53"/>
        <v>0</v>
      </c>
      <c r="P189" s="6">
        <f t="shared" si="54"/>
        <v>0</v>
      </c>
      <c r="Q189" s="6">
        <f t="shared" si="55"/>
        <v>0</v>
      </c>
      <c r="R189" s="6">
        <f t="shared" si="56"/>
        <v>0</v>
      </c>
      <c r="S189" s="6">
        <f t="shared" si="57"/>
        <v>0</v>
      </c>
      <c r="T189" s="6">
        <f t="shared" si="58"/>
        <v>0</v>
      </c>
      <c r="U189" s="6">
        <f t="shared" si="59"/>
        <v>0</v>
      </c>
      <c r="V189" s="6">
        <f t="shared" si="60"/>
        <v>0</v>
      </c>
      <c r="W189" s="6">
        <f t="shared" si="61"/>
        <v>0</v>
      </c>
      <c r="X189" s="6">
        <f t="shared" si="62"/>
        <v>0</v>
      </c>
      <c r="Y189" s="6">
        <f t="shared" si="63"/>
        <v>0</v>
      </c>
      <c r="AA189" s="6" t="str">
        <f>IF(最佳化斷筋點!C189="","",最佳化斷筋點!C189)</f>
        <v>下層</v>
      </c>
      <c r="AB189" s="6">
        <f>IF(最佳化斷筋點!D189="","",最佳化斷筋點!D189)</f>
        <v>3</v>
      </c>
      <c r="AC189" s="6">
        <f>IF(最佳化斷筋點!E189="","",最佳化斷筋點!E189)</f>
        <v>3</v>
      </c>
      <c r="AD189" s="6">
        <f>IF(最佳化斷筋點!F189="","",最佳化斷筋點!F189)</f>
        <v>3</v>
      </c>
      <c r="AE189" s="6">
        <f>IF(最佳化斷筋點!G189="","",最佳化斷筋點!G189)</f>
        <v>3</v>
      </c>
      <c r="AF189" s="6">
        <f>IF(最佳化斷筋點!H189="","",最佳化斷筋點!H189)</f>
        <v>3</v>
      </c>
      <c r="AG189" s="6">
        <f>IF(最佳化斷筋點!I189="","",最佳化斷筋點!I189)</f>
        <v>3</v>
      </c>
      <c r="AH189" s="6">
        <f>IF(最佳化斷筋點!J189="","",最佳化斷筋點!J189)</f>
        <v>4</v>
      </c>
      <c r="AI189" s="6">
        <f>IF(最佳化斷筋點!K189="","",最佳化斷筋點!K189)</f>
        <v>4</v>
      </c>
      <c r="AJ189" s="6">
        <f>IF(最佳化斷筋點!L189="","",最佳化斷筋點!L189)</f>
        <v>4</v>
      </c>
      <c r="AK189" s="6">
        <f>IF(最佳化斷筋點!M189="","",最佳化斷筋點!M189)</f>
        <v>4</v>
      </c>
      <c r="AL189" s="6">
        <f>IF(最佳化斷筋點!N189="","",最佳化斷筋點!N189)</f>
        <v>4</v>
      </c>
      <c r="AM189" s="6">
        <f>IF(最佳化斷筋點!O189="","",最佳化斷筋點!O189)</f>
        <v>4</v>
      </c>
      <c r="AN189" s="6">
        <f>IF(最佳化斷筋點!P189="","",最佳化斷筋點!P189)</f>
        <v>4</v>
      </c>
      <c r="AO189" s="6">
        <f>IF(最佳化斷筋點!Q189="","",最佳化斷筋點!Q189)</f>
        <v>4</v>
      </c>
      <c r="AP189" s="6">
        <f>IF(最佳化斷筋點!R189="","",最佳化斷筋點!R189)</f>
        <v>4</v>
      </c>
      <c r="AQ189" s="6">
        <f>IF(最佳化斷筋點!S189="","",最佳化斷筋點!S189)</f>
        <v>3</v>
      </c>
      <c r="AR189" s="6">
        <f>IF(最佳化斷筋點!T189="","",最佳化斷筋點!T189)</f>
        <v>3</v>
      </c>
      <c r="AS189" s="6">
        <f>IF(最佳化斷筋點!U189="","",最佳化斷筋點!U189)</f>
        <v>3</v>
      </c>
      <c r="AT189" s="6">
        <f>IF(最佳化斷筋點!V189="","",最佳化斷筋點!V189)</f>
        <v>3</v>
      </c>
      <c r="AU189" s="6">
        <f>IF(最佳化斷筋點!W189="","",最佳化斷筋點!W189)</f>
        <v>3</v>
      </c>
      <c r="AV189" s="6">
        <f>IF(最佳化斷筋點!X189="","",最佳化斷筋點!X189)</f>
        <v>3</v>
      </c>
      <c r="AX189" s="6" t="s">
        <v>51</v>
      </c>
      <c r="AY189" s="6">
        <v>3</v>
      </c>
      <c r="AZ189" s="6">
        <v>3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</row>
    <row r="190" spans="4:71" x14ac:dyDescent="0.25">
      <c r="E190" s="6">
        <f t="shared" si="43"/>
        <v>0</v>
      </c>
      <c r="F190" s="6">
        <f t="shared" si="44"/>
        <v>0</v>
      </c>
      <c r="G190" s="6">
        <f t="shared" si="45"/>
        <v>0</v>
      </c>
      <c r="H190" s="6">
        <f t="shared" si="46"/>
        <v>0</v>
      </c>
      <c r="I190" s="6">
        <f t="shared" si="47"/>
        <v>0</v>
      </c>
      <c r="J190" s="6">
        <f t="shared" si="48"/>
        <v>0</v>
      </c>
      <c r="K190" s="6">
        <f t="shared" si="49"/>
        <v>0</v>
      </c>
      <c r="L190" s="6">
        <f t="shared" si="50"/>
        <v>0</v>
      </c>
      <c r="M190" s="6">
        <f t="shared" si="51"/>
        <v>0</v>
      </c>
      <c r="N190" s="6">
        <f t="shared" si="52"/>
        <v>0</v>
      </c>
      <c r="O190" s="6">
        <f t="shared" si="53"/>
        <v>0</v>
      </c>
      <c r="P190" s="6">
        <f t="shared" si="54"/>
        <v>0</v>
      </c>
      <c r="Q190" s="6">
        <f t="shared" si="55"/>
        <v>0</v>
      </c>
      <c r="R190" s="6">
        <f t="shared" si="56"/>
        <v>0</v>
      </c>
      <c r="S190" s="6">
        <f t="shared" si="57"/>
        <v>0</v>
      </c>
      <c r="T190" s="6">
        <f t="shared" si="58"/>
        <v>0</v>
      </c>
      <c r="U190" s="6">
        <f t="shared" si="59"/>
        <v>0</v>
      </c>
      <c r="V190" s="6">
        <f t="shared" si="60"/>
        <v>0</v>
      </c>
      <c r="W190" s="6">
        <f t="shared" si="61"/>
        <v>0</v>
      </c>
      <c r="X190" s="6">
        <f t="shared" si="62"/>
        <v>0</v>
      </c>
      <c r="Y190" s="6">
        <f t="shared" si="63"/>
        <v>0</v>
      </c>
      <c r="AA190" s="6" t="str">
        <f>IF(最佳化斷筋點!C190="","",最佳化斷筋點!C190)</f>
        <v/>
      </c>
      <c r="AB190" s="6" t="str">
        <f>IF(最佳化斷筋點!D190="","",最佳化斷筋點!D190)</f>
        <v/>
      </c>
      <c r="AC190" s="6" t="str">
        <f>IF(最佳化斷筋點!E190="","",最佳化斷筋點!E190)</f>
        <v/>
      </c>
      <c r="AD190" s="6" t="str">
        <f>IF(最佳化斷筋點!F190="","",最佳化斷筋點!F190)</f>
        <v/>
      </c>
      <c r="AE190" s="6" t="str">
        <f>IF(最佳化斷筋點!G190="","",最佳化斷筋點!G190)</f>
        <v/>
      </c>
      <c r="AF190" s="6" t="str">
        <f>IF(最佳化斷筋點!H190="","",最佳化斷筋點!H190)</f>
        <v/>
      </c>
      <c r="AG190" s="6" t="str">
        <f>IF(最佳化斷筋點!I190="","",最佳化斷筋點!I190)</f>
        <v/>
      </c>
      <c r="AH190" s="6" t="str">
        <f>IF(最佳化斷筋點!J190="","",最佳化斷筋點!J190)</f>
        <v/>
      </c>
      <c r="AI190" s="6" t="str">
        <f>IF(最佳化斷筋點!K190="","",最佳化斷筋點!K190)</f>
        <v/>
      </c>
      <c r="AJ190" s="6" t="str">
        <f>IF(最佳化斷筋點!L190="","",最佳化斷筋點!L190)</f>
        <v/>
      </c>
      <c r="AK190" s="6" t="str">
        <f>IF(最佳化斷筋點!M190="","",最佳化斷筋點!M190)</f>
        <v/>
      </c>
      <c r="AL190" s="6" t="str">
        <f>IF(最佳化斷筋點!N190="","",最佳化斷筋點!N190)</f>
        <v/>
      </c>
      <c r="AM190" s="6" t="str">
        <f>IF(最佳化斷筋點!O190="","",最佳化斷筋點!O190)</f>
        <v/>
      </c>
      <c r="AN190" s="6" t="str">
        <f>IF(最佳化斷筋點!P190="","",最佳化斷筋點!P190)</f>
        <v/>
      </c>
      <c r="AO190" s="6" t="str">
        <f>IF(最佳化斷筋點!Q190="","",最佳化斷筋點!Q190)</f>
        <v/>
      </c>
      <c r="AP190" s="6" t="str">
        <f>IF(最佳化斷筋點!R190="","",最佳化斷筋點!R190)</f>
        <v/>
      </c>
      <c r="AQ190" s="6" t="str">
        <f>IF(最佳化斷筋點!S190="","",最佳化斷筋點!S190)</f>
        <v/>
      </c>
      <c r="AR190" s="6" t="str">
        <f>IF(最佳化斷筋點!T190="","",最佳化斷筋點!T190)</f>
        <v/>
      </c>
      <c r="AS190" s="6" t="str">
        <f>IF(最佳化斷筋點!U190="","",最佳化斷筋點!U190)</f>
        <v/>
      </c>
      <c r="AT190" s="6" t="str">
        <f>IF(最佳化斷筋點!V190="","",最佳化斷筋點!V190)</f>
        <v/>
      </c>
      <c r="AU190" s="6" t="str">
        <f>IF(最佳化斷筋點!W190="","",最佳化斷筋點!W190)</f>
        <v/>
      </c>
      <c r="AV190" s="6" t="str">
        <f>IF(最佳化斷筋點!X190="","",最佳化斷筋點!X190)</f>
        <v/>
      </c>
    </row>
    <row r="191" spans="4:71" x14ac:dyDescent="0.25">
      <c r="D191" s="6" t="s">
        <v>50</v>
      </c>
      <c r="E191" s="6">
        <f t="shared" si="43"/>
        <v>0</v>
      </c>
      <c r="F191" s="6">
        <f t="shared" si="44"/>
        <v>0</v>
      </c>
      <c r="G191" s="6">
        <f t="shared" si="45"/>
        <v>0</v>
      </c>
      <c r="H191" s="6">
        <f t="shared" si="46"/>
        <v>0</v>
      </c>
      <c r="I191" s="6">
        <f t="shared" si="47"/>
        <v>0</v>
      </c>
      <c r="J191" s="6">
        <f t="shared" si="48"/>
        <v>0</v>
      </c>
      <c r="K191" s="6">
        <f t="shared" si="49"/>
        <v>0</v>
      </c>
      <c r="L191" s="6">
        <f t="shared" si="50"/>
        <v>0</v>
      </c>
      <c r="M191" s="6">
        <f t="shared" si="51"/>
        <v>0</v>
      </c>
      <c r="N191" s="6">
        <f t="shared" si="52"/>
        <v>0</v>
      </c>
      <c r="O191" s="6">
        <f t="shared" si="53"/>
        <v>0</v>
      </c>
      <c r="P191" s="6">
        <f t="shared" si="54"/>
        <v>0</v>
      </c>
      <c r="Q191" s="6">
        <f t="shared" si="55"/>
        <v>0</v>
      </c>
      <c r="R191" s="6">
        <f t="shared" si="56"/>
        <v>0</v>
      </c>
      <c r="S191" s="6">
        <f t="shared" si="57"/>
        <v>0</v>
      </c>
      <c r="T191" s="6">
        <f t="shared" si="58"/>
        <v>0</v>
      </c>
      <c r="U191" s="6">
        <f t="shared" si="59"/>
        <v>0</v>
      </c>
      <c r="V191" s="6">
        <f t="shared" si="60"/>
        <v>0</v>
      </c>
      <c r="W191" s="6">
        <f t="shared" si="61"/>
        <v>0</v>
      </c>
      <c r="X191" s="6">
        <f t="shared" si="62"/>
        <v>0</v>
      </c>
      <c r="Y191" s="6">
        <f t="shared" si="63"/>
        <v>0</v>
      </c>
      <c r="AA191" s="6" t="str">
        <f>IF(最佳化斷筋點!C191="","",最佳化斷筋點!C191)</f>
        <v>上層</v>
      </c>
      <c r="AB191" s="6">
        <f>IF(最佳化斷筋點!D191="","",最佳化斷筋點!D191)</f>
        <v>5</v>
      </c>
      <c r="AC191" s="6">
        <f>IF(最佳化斷筋點!E191="","",最佳化斷筋點!E191)</f>
        <v>5</v>
      </c>
      <c r="AD191" s="6">
        <f>IF(最佳化斷筋點!F191="","",最佳化斷筋點!F191)</f>
        <v>4</v>
      </c>
      <c r="AE191" s="6">
        <f>IF(最佳化斷筋點!G191="","",最佳化斷筋點!G191)</f>
        <v>4</v>
      </c>
      <c r="AF191" s="6">
        <f>IF(最佳化斷筋點!H191="","",最佳化斷筋點!H191)</f>
        <v>4</v>
      </c>
      <c r="AG191" s="6">
        <f>IF(最佳化斷筋點!I191="","",最佳化斷筋點!I191)</f>
        <v>3</v>
      </c>
      <c r="AH191" s="6">
        <f>IF(最佳化斷筋點!J191="","",最佳化斷筋點!J191)</f>
        <v>3</v>
      </c>
      <c r="AI191" s="6">
        <f>IF(最佳化斷筋點!K191="","",最佳化斷筋點!K191)</f>
        <v>2</v>
      </c>
      <c r="AJ191" s="6">
        <f>IF(最佳化斷筋點!L191="","",最佳化斷筋點!L191)</f>
        <v>2</v>
      </c>
      <c r="AK191" s="6">
        <f>IF(最佳化斷筋點!M191="","",最佳化斷筋點!M191)</f>
        <v>2</v>
      </c>
      <c r="AL191" s="6">
        <f>IF(最佳化斷筋點!N191="","",最佳化斷筋點!N191)</f>
        <v>2</v>
      </c>
      <c r="AM191" s="6">
        <f>IF(最佳化斷筋點!O191="","",最佳化斷筋點!O191)</f>
        <v>2</v>
      </c>
      <c r="AN191" s="6">
        <f>IF(最佳化斷筋點!P191="","",最佳化斷筋點!P191)</f>
        <v>2</v>
      </c>
      <c r="AO191" s="6">
        <f>IF(最佳化斷筋點!Q191="","",最佳化斷筋點!Q191)</f>
        <v>2</v>
      </c>
      <c r="AP191" s="6">
        <f>IF(最佳化斷筋點!R191="","",最佳化斷筋點!R191)</f>
        <v>2</v>
      </c>
      <c r="AQ191" s="6">
        <f>IF(最佳化斷筋點!S191="","",最佳化斷筋點!S191)</f>
        <v>3</v>
      </c>
      <c r="AR191" s="6">
        <f>IF(最佳化斷筋點!T191="","",最佳化斷筋點!T191)</f>
        <v>3</v>
      </c>
      <c r="AS191" s="6">
        <f>IF(最佳化斷筋點!U191="","",最佳化斷筋點!U191)</f>
        <v>4</v>
      </c>
      <c r="AT191" s="6">
        <f>IF(最佳化斷筋點!V191="","",最佳化斷筋點!V191)</f>
        <v>4</v>
      </c>
      <c r="AU191" s="6">
        <f>IF(最佳化斷筋點!W191="","",最佳化斷筋點!W191)</f>
        <v>5</v>
      </c>
      <c r="AV191" s="6">
        <f>IF(最佳化斷筋點!X191="","",最佳化斷筋點!X191)</f>
        <v>5</v>
      </c>
      <c r="AX191" s="6" t="s">
        <v>50</v>
      </c>
      <c r="AY191" s="6">
        <v>5</v>
      </c>
      <c r="AZ191" s="6">
        <v>5</v>
      </c>
      <c r="BA191" s="6">
        <v>4</v>
      </c>
      <c r="BB191" s="6">
        <v>4</v>
      </c>
      <c r="BC191" s="6">
        <v>4</v>
      </c>
      <c r="BD191" s="6">
        <v>3</v>
      </c>
      <c r="BE191" s="6">
        <v>3</v>
      </c>
      <c r="BF191" s="6">
        <v>2</v>
      </c>
      <c r="BG191" s="6">
        <v>2</v>
      </c>
      <c r="BH191" s="6">
        <v>2</v>
      </c>
      <c r="BI191" s="6">
        <v>2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</row>
    <row r="192" spans="4:71" x14ac:dyDescent="0.25">
      <c r="E192" s="6">
        <f t="shared" si="43"/>
        <v>0</v>
      </c>
      <c r="F192" s="6">
        <f t="shared" si="44"/>
        <v>0</v>
      </c>
      <c r="G192" s="6">
        <f t="shared" si="45"/>
        <v>0</v>
      </c>
      <c r="H192" s="6">
        <f t="shared" si="46"/>
        <v>0</v>
      </c>
      <c r="I192" s="6">
        <f t="shared" si="47"/>
        <v>0</v>
      </c>
      <c r="J192" s="6">
        <f t="shared" si="48"/>
        <v>0</v>
      </c>
      <c r="K192" s="6">
        <f t="shared" si="49"/>
        <v>0</v>
      </c>
      <c r="L192" s="6">
        <f t="shared" si="50"/>
        <v>0</v>
      </c>
      <c r="M192" s="6">
        <f t="shared" si="51"/>
        <v>0</v>
      </c>
      <c r="N192" s="6">
        <f t="shared" si="52"/>
        <v>0</v>
      </c>
      <c r="O192" s="6">
        <f t="shared" si="53"/>
        <v>0</v>
      </c>
      <c r="P192" s="6">
        <f t="shared" si="54"/>
        <v>0</v>
      </c>
      <c r="Q192" s="6">
        <f t="shared" si="55"/>
        <v>0</v>
      </c>
      <c r="R192" s="6">
        <f t="shared" si="56"/>
        <v>0</v>
      </c>
      <c r="S192" s="6">
        <f t="shared" si="57"/>
        <v>0</v>
      </c>
      <c r="T192" s="6">
        <f t="shared" si="58"/>
        <v>0</v>
      </c>
      <c r="U192" s="6">
        <f t="shared" si="59"/>
        <v>0</v>
      </c>
      <c r="V192" s="6">
        <f t="shared" si="60"/>
        <v>0</v>
      </c>
      <c r="W192" s="6">
        <f t="shared" si="61"/>
        <v>0</v>
      </c>
      <c r="X192" s="6">
        <f t="shared" si="62"/>
        <v>0</v>
      </c>
      <c r="Y192" s="6">
        <f t="shared" si="63"/>
        <v>0</v>
      </c>
      <c r="AA192" s="6" t="str">
        <f>IF(最佳化斷筋點!C192="","",最佳化斷筋點!C192)</f>
        <v/>
      </c>
      <c r="AB192" s="6" t="str">
        <f>IF(最佳化斷筋點!D192="","",最佳化斷筋點!D192)</f>
        <v/>
      </c>
      <c r="AC192" s="6" t="str">
        <f>IF(最佳化斷筋點!E192="","",最佳化斷筋點!E192)</f>
        <v/>
      </c>
      <c r="AD192" s="6" t="str">
        <f>IF(最佳化斷筋點!F192="","",最佳化斷筋點!F192)</f>
        <v/>
      </c>
      <c r="AE192" s="6" t="str">
        <f>IF(最佳化斷筋點!G192="","",最佳化斷筋點!G192)</f>
        <v/>
      </c>
      <c r="AF192" s="6" t="str">
        <f>IF(最佳化斷筋點!H192="","",最佳化斷筋點!H192)</f>
        <v/>
      </c>
      <c r="AG192" s="6" t="str">
        <f>IF(最佳化斷筋點!I192="","",最佳化斷筋點!I192)</f>
        <v/>
      </c>
      <c r="AH192" s="6" t="str">
        <f>IF(最佳化斷筋點!J192="","",最佳化斷筋點!J192)</f>
        <v/>
      </c>
      <c r="AI192" s="6" t="str">
        <f>IF(最佳化斷筋點!K192="","",最佳化斷筋點!K192)</f>
        <v/>
      </c>
      <c r="AJ192" s="6" t="str">
        <f>IF(最佳化斷筋點!L192="","",最佳化斷筋點!L192)</f>
        <v/>
      </c>
      <c r="AK192" s="6" t="str">
        <f>IF(最佳化斷筋點!M192="","",最佳化斷筋點!M192)</f>
        <v/>
      </c>
      <c r="AL192" s="6" t="str">
        <f>IF(最佳化斷筋點!N192="","",最佳化斷筋點!N192)</f>
        <v/>
      </c>
      <c r="AM192" s="6" t="str">
        <f>IF(最佳化斷筋點!O192="","",最佳化斷筋點!O192)</f>
        <v/>
      </c>
      <c r="AN192" s="6" t="str">
        <f>IF(最佳化斷筋點!P192="","",最佳化斷筋點!P192)</f>
        <v/>
      </c>
      <c r="AO192" s="6" t="str">
        <f>IF(最佳化斷筋點!Q192="","",最佳化斷筋點!Q192)</f>
        <v/>
      </c>
      <c r="AP192" s="6" t="str">
        <f>IF(最佳化斷筋點!R192="","",最佳化斷筋點!R192)</f>
        <v/>
      </c>
      <c r="AQ192" s="6" t="str">
        <f>IF(最佳化斷筋點!S192="","",最佳化斷筋點!S192)</f>
        <v/>
      </c>
      <c r="AR192" s="6" t="str">
        <f>IF(最佳化斷筋點!T192="","",最佳化斷筋點!T192)</f>
        <v/>
      </c>
      <c r="AS192" s="6" t="str">
        <f>IF(最佳化斷筋點!U192="","",最佳化斷筋點!U192)</f>
        <v/>
      </c>
      <c r="AT192" s="6" t="str">
        <f>IF(最佳化斷筋點!V192="","",最佳化斷筋點!V192)</f>
        <v/>
      </c>
      <c r="AU192" s="6" t="str">
        <f>IF(最佳化斷筋點!W192="","",最佳化斷筋點!W192)</f>
        <v/>
      </c>
      <c r="AV192" s="6" t="str">
        <f>IF(最佳化斷筋點!X192="","",最佳化斷筋點!X192)</f>
        <v/>
      </c>
    </row>
    <row r="193" spans="4:71" x14ac:dyDescent="0.25">
      <c r="D193" s="6" t="s">
        <v>51</v>
      </c>
      <c r="E193" s="6">
        <f t="shared" si="43"/>
        <v>0</v>
      </c>
      <c r="F193" s="6">
        <f t="shared" si="44"/>
        <v>0</v>
      </c>
      <c r="G193" s="6">
        <f t="shared" si="45"/>
        <v>0</v>
      </c>
      <c r="H193" s="6">
        <f t="shared" si="46"/>
        <v>0</v>
      </c>
      <c r="I193" s="6">
        <f t="shared" si="47"/>
        <v>0</v>
      </c>
      <c r="J193" s="6">
        <f t="shared" si="48"/>
        <v>0</v>
      </c>
      <c r="K193" s="6">
        <f t="shared" si="49"/>
        <v>0</v>
      </c>
      <c r="L193" s="6">
        <f t="shared" si="50"/>
        <v>0</v>
      </c>
      <c r="M193" s="6">
        <f t="shared" si="51"/>
        <v>0</v>
      </c>
      <c r="N193" s="6">
        <f t="shared" si="52"/>
        <v>0</v>
      </c>
      <c r="O193" s="6">
        <f t="shared" si="53"/>
        <v>0</v>
      </c>
      <c r="P193" s="6">
        <f t="shared" si="54"/>
        <v>0</v>
      </c>
      <c r="Q193" s="6">
        <f t="shared" si="55"/>
        <v>0</v>
      </c>
      <c r="R193" s="6">
        <f t="shared" si="56"/>
        <v>0</v>
      </c>
      <c r="S193" s="6">
        <f t="shared" si="57"/>
        <v>0</v>
      </c>
      <c r="T193" s="6">
        <f t="shared" si="58"/>
        <v>0</v>
      </c>
      <c r="U193" s="6">
        <f t="shared" si="59"/>
        <v>0</v>
      </c>
      <c r="V193" s="6">
        <f t="shared" si="60"/>
        <v>0</v>
      </c>
      <c r="W193" s="6">
        <f t="shared" si="61"/>
        <v>0</v>
      </c>
      <c r="X193" s="6">
        <f t="shared" si="62"/>
        <v>0</v>
      </c>
      <c r="Y193" s="6">
        <f t="shared" si="63"/>
        <v>0</v>
      </c>
      <c r="AA193" s="6" t="str">
        <f>IF(最佳化斷筋點!C193="","",最佳化斷筋點!C193)</f>
        <v>下層</v>
      </c>
      <c r="AB193" s="6">
        <f>IF(最佳化斷筋點!D193="","",最佳化斷筋點!D193)</f>
        <v>3</v>
      </c>
      <c r="AC193" s="6">
        <f>IF(最佳化斷筋點!E193="","",最佳化斷筋點!E193)</f>
        <v>3</v>
      </c>
      <c r="AD193" s="6">
        <f>IF(最佳化斷筋點!F193="","",最佳化斷筋點!F193)</f>
        <v>3</v>
      </c>
      <c r="AE193" s="6">
        <f>IF(最佳化斷筋點!G193="","",最佳化斷筋點!G193)</f>
        <v>3</v>
      </c>
      <c r="AF193" s="6">
        <f>IF(最佳化斷筋點!H193="","",最佳化斷筋點!H193)</f>
        <v>3</v>
      </c>
      <c r="AG193" s="6">
        <f>IF(最佳化斷筋點!I193="","",最佳化斷筋點!I193)</f>
        <v>3</v>
      </c>
      <c r="AH193" s="6">
        <f>IF(最佳化斷筋點!J193="","",最佳化斷筋點!J193)</f>
        <v>4</v>
      </c>
      <c r="AI193" s="6">
        <f>IF(最佳化斷筋點!K193="","",最佳化斷筋點!K193)</f>
        <v>4</v>
      </c>
      <c r="AJ193" s="6">
        <f>IF(最佳化斷筋點!L193="","",最佳化斷筋點!L193)</f>
        <v>4</v>
      </c>
      <c r="AK193" s="6">
        <f>IF(最佳化斷筋點!M193="","",最佳化斷筋點!M193)</f>
        <v>4</v>
      </c>
      <c r="AL193" s="6">
        <f>IF(最佳化斷筋點!N193="","",最佳化斷筋點!N193)</f>
        <v>4</v>
      </c>
      <c r="AM193" s="6">
        <f>IF(最佳化斷筋點!O193="","",最佳化斷筋點!O193)</f>
        <v>4</v>
      </c>
      <c r="AN193" s="6">
        <f>IF(最佳化斷筋點!P193="","",最佳化斷筋點!P193)</f>
        <v>4</v>
      </c>
      <c r="AO193" s="6">
        <f>IF(最佳化斷筋點!Q193="","",最佳化斷筋點!Q193)</f>
        <v>4</v>
      </c>
      <c r="AP193" s="6">
        <f>IF(最佳化斷筋點!R193="","",最佳化斷筋點!R193)</f>
        <v>4</v>
      </c>
      <c r="AQ193" s="6">
        <f>IF(最佳化斷筋點!S193="","",最佳化斷筋點!S193)</f>
        <v>3</v>
      </c>
      <c r="AR193" s="6">
        <f>IF(最佳化斷筋點!T193="","",最佳化斷筋點!T193)</f>
        <v>3</v>
      </c>
      <c r="AS193" s="6">
        <f>IF(最佳化斷筋點!U193="","",最佳化斷筋點!U193)</f>
        <v>3</v>
      </c>
      <c r="AT193" s="6">
        <f>IF(最佳化斷筋點!V193="","",最佳化斷筋點!V193)</f>
        <v>3</v>
      </c>
      <c r="AU193" s="6">
        <f>IF(最佳化斷筋點!W193="","",最佳化斷筋點!W193)</f>
        <v>3</v>
      </c>
      <c r="AV193" s="6">
        <f>IF(最佳化斷筋點!X193="","",最佳化斷筋點!X193)</f>
        <v>3</v>
      </c>
      <c r="AX193" s="6" t="s">
        <v>51</v>
      </c>
      <c r="AY193" s="6">
        <v>3</v>
      </c>
      <c r="AZ193" s="6">
        <v>3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</row>
    <row r="194" spans="4:71" x14ac:dyDescent="0.25">
      <c r="E194" s="6">
        <f t="shared" si="43"/>
        <v>0</v>
      </c>
      <c r="F194" s="6">
        <f t="shared" si="44"/>
        <v>0</v>
      </c>
      <c r="G194" s="6">
        <f t="shared" si="45"/>
        <v>0</v>
      </c>
      <c r="H194" s="6">
        <f t="shared" si="46"/>
        <v>0</v>
      </c>
      <c r="I194" s="6">
        <f t="shared" si="47"/>
        <v>0</v>
      </c>
      <c r="J194" s="6">
        <f t="shared" si="48"/>
        <v>0</v>
      </c>
      <c r="K194" s="6">
        <f t="shared" si="49"/>
        <v>0</v>
      </c>
      <c r="L194" s="6">
        <f t="shared" si="50"/>
        <v>0</v>
      </c>
      <c r="M194" s="6">
        <f t="shared" si="51"/>
        <v>0</v>
      </c>
      <c r="N194" s="6">
        <f t="shared" si="52"/>
        <v>0</v>
      </c>
      <c r="O194" s="6">
        <f t="shared" si="53"/>
        <v>0</v>
      </c>
      <c r="P194" s="6">
        <f t="shared" si="54"/>
        <v>0</v>
      </c>
      <c r="Q194" s="6">
        <f t="shared" si="55"/>
        <v>0</v>
      </c>
      <c r="R194" s="6">
        <f t="shared" si="56"/>
        <v>0</v>
      </c>
      <c r="S194" s="6">
        <f t="shared" si="57"/>
        <v>0</v>
      </c>
      <c r="T194" s="6">
        <f t="shared" si="58"/>
        <v>0</v>
      </c>
      <c r="U194" s="6">
        <f t="shared" si="59"/>
        <v>0</v>
      </c>
      <c r="V194" s="6">
        <f t="shared" si="60"/>
        <v>0</v>
      </c>
      <c r="W194" s="6">
        <f t="shared" si="61"/>
        <v>0</v>
      </c>
      <c r="X194" s="6">
        <f t="shared" si="62"/>
        <v>0</v>
      </c>
      <c r="Y194" s="6">
        <f t="shared" si="63"/>
        <v>0</v>
      </c>
      <c r="AA194" s="6" t="str">
        <f>IF(最佳化斷筋點!C194="","",最佳化斷筋點!C194)</f>
        <v/>
      </c>
      <c r="AB194" s="6" t="str">
        <f>IF(最佳化斷筋點!D194="","",最佳化斷筋點!D194)</f>
        <v/>
      </c>
      <c r="AC194" s="6" t="str">
        <f>IF(最佳化斷筋點!E194="","",最佳化斷筋點!E194)</f>
        <v/>
      </c>
      <c r="AD194" s="6" t="str">
        <f>IF(最佳化斷筋點!F194="","",最佳化斷筋點!F194)</f>
        <v/>
      </c>
      <c r="AE194" s="6" t="str">
        <f>IF(最佳化斷筋點!G194="","",最佳化斷筋點!G194)</f>
        <v/>
      </c>
      <c r="AF194" s="6" t="str">
        <f>IF(最佳化斷筋點!H194="","",最佳化斷筋點!H194)</f>
        <v/>
      </c>
      <c r="AG194" s="6" t="str">
        <f>IF(最佳化斷筋點!I194="","",最佳化斷筋點!I194)</f>
        <v/>
      </c>
      <c r="AH194" s="6" t="str">
        <f>IF(最佳化斷筋點!J194="","",最佳化斷筋點!J194)</f>
        <v/>
      </c>
      <c r="AI194" s="6" t="str">
        <f>IF(最佳化斷筋點!K194="","",最佳化斷筋點!K194)</f>
        <v/>
      </c>
      <c r="AJ194" s="6" t="str">
        <f>IF(最佳化斷筋點!L194="","",最佳化斷筋點!L194)</f>
        <v/>
      </c>
      <c r="AK194" s="6" t="str">
        <f>IF(最佳化斷筋點!M194="","",最佳化斷筋點!M194)</f>
        <v/>
      </c>
      <c r="AL194" s="6" t="str">
        <f>IF(最佳化斷筋點!N194="","",最佳化斷筋點!N194)</f>
        <v/>
      </c>
      <c r="AM194" s="6" t="str">
        <f>IF(最佳化斷筋點!O194="","",最佳化斷筋點!O194)</f>
        <v/>
      </c>
      <c r="AN194" s="6" t="str">
        <f>IF(最佳化斷筋點!P194="","",最佳化斷筋點!P194)</f>
        <v/>
      </c>
      <c r="AO194" s="6" t="str">
        <f>IF(最佳化斷筋點!Q194="","",最佳化斷筋點!Q194)</f>
        <v/>
      </c>
      <c r="AP194" s="6" t="str">
        <f>IF(最佳化斷筋點!R194="","",最佳化斷筋點!R194)</f>
        <v/>
      </c>
      <c r="AQ194" s="6" t="str">
        <f>IF(最佳化斷筋點!S194="","",最佳化斷筋點!S194)</f>
        <v/>
      </c>
      <c r="AR194" s="6" t="str">
        <f>IF(最佳化斷筋點!T194="","",最佳化斷筋點!T194)</f>
        <v/>
      </c>
      <c r="AS194" s="6" t="str">
        <f>IF(最佳化斷筋點!U194="","",最佳化斷筋點!U194)</f>
        <v/>
      </c>
      <c r="AT194" s="6" t="str">
        <f>IF(最佳化斷筋點!V194="","",最佳化斷筋點!V194)</f>
        <v/>
      </c>
      <c r="AU194" s="6" t="str">
        <f>IF(最佳化斷筋點!W194="","",最佳化斷筋點!W194)</f>
        <v/>
      </c>
      <c r="AV194" s="6" t="str">
        <f>IF(最佳化斷筋點!X194="","",最佳化斷筋點!X194)</f>
        <v/>
      </c>
    </row>
    <row r="195" spans="4:71" x14ac:dyDescent="0.25">
      <c r="D195" s="6" t="s">
        <v>50</v>
      </c>
      <c r="E195" s="6">
        <f t="shared" si="43"/>
        <v>0</v>
      </c>
      <c r="F195" s="6">
        <f t="shared" si="44"/>
        <v>0</v>
      </c>
      <c r="G195" s="6">
        <f t="shared" si="45"/>
        <v>0</v>
      </c>
      <c r="H195" s="6">
        <f t="shared" si="46"/>
        <v>0</v>
      </c>
      <c r="I195" s="6">
        <f t="shared" si="47"/>
        <v>0</v>
      </c>
      <c r="J195" s="6">
        <f t="shared" si="48"/>
        <v>0</v>
      </c>
      <c r="K195" s="6">
        <f t="shared" si="49"/>
        <v>0</v>
      </c>
      <c r="L195" s="6">
        <f t="shared" si="50"/>
        <v>0</v>
      </c>
      <c r="M195" s="6">
        <f t="shared" si="51"/>
        <v>0</v>
      </c>
      <c r="N195" s="6">
        <f t="shared" si="52"/>
        <v>0</v>
      </c>
      <c r="O195" s="6">
        <f t="shared" si="53"/>
        <v>0</v>
      </c>
      <c r="P195" s="6">
        <f t="shared" si="54"/>
        <v>0</v>
      </c>
      <c r="Q195" s="6">
        <f t="shared" si="55"/>
        <v>0</v>
      </c>
      <c r="R195" s="6">
        <f t="shared" si="56"/>
        <v>0</v>
      </c>
      <c r="S195" s="6">
        <f t="shared" si="57"/>
        <v>0</v>
      </c>
      <c r="T195" s="6">
        <f t="shared" si="58"/>
        <v>0</v>
      </c>
      <c r="U195" s="6">
        <f t="shared" si="59"/>
        <v>0</v>
      </c>
      <c r="V195" s="6">
        <f t="shared" si="60"/>
        <v>0</v>
      </c>
      <c r="W195" s="6">
        <f t="shared" si="61"/>
        <v>0</v>
      </c>
      <c r="X195" s="6">
        <f t="shared" si="62"/>
        <v>0</v>
      </c>
      <c r="Y195" s="6">
        <f t="shared" si="63"/>
        <v>0</v>
      </c>
      <c r="AA195" s="6" t="str">
        <f>IF(最佳化斷筋點!C195="","",最佳化斷筋點!C195)</f>
        <v>上層</v>
      </c>
      <c r="AB195" s="6">
        <f>IF(最佳化斷筋點!D195="","",最佳化斷筋點!D195)</f>
        <v>5</v>
      </c>
      <c r="AC195" s="6">
        <f>IF(最佳化斷筋點!E195="","",最佳化斷筋點!E195)</f>
        <v>5</v>
      </c>
      <c r="AD195" s="6">
        <f>IF(最佳化斷筋點!F195="","",最佳化斷筋點!F195)</f>
        <v>4</v>
      </c>
      <c r="AE195" s="6">
        <f>IF(最佳化斷筋點!G195="","",最佳化斷筋點!G195)</f>
        <v>4</v>
      </c>
      <c r="AF195" s="6">
        <f>IF(最佳化斷筋點!H195="","",最佳化斷筋點!H195)</f>
        <v>4</v>
      </c>
      <c r="AG195" s="6">
        <f>IF(最佳化斷筋點!I195="","",最佳化斷筋點!I195)</f>
        <v>3</v>
      </c>
      <c r="AH195" s="6">
        <f>IF(最佳化斷筋點!J195="","",最佳化斷筋點!J195)</f>
        <v>3</v>
      </c>
      <c r="AI195" s="6">
        <f>IF(最佳化斷筋點!K195="","",最佳化斷筋點!K195)</f>
        <v>2</v>
      </c>
      <c r="AJ195" s="6">
        <f>IF(最佳化斷筋點!L195="","",最佳化斷筋點!L195)</f>
        <v>2</v>
      </c>
      <c r="AK195" s="6">
        <f>IF(最佳化斷筋點!M195="","",最佳化斷筋點!M195)</f>
        <v>2</v>
      </c>
      <c r="AL195" s="6">
        <f>IF(最佳化斷筋點!N195="","",最佳化斷筋點!N195)</f>
        <v>2</v>
      </c>
      <c r="AM195" s="6">
        <f>IF(最佳化斷筋點!O195="","",最佳化斷筋點!O195)</f>
        <v>2</v>
      </c>
      <c r="AN195" s="6">
        <f>IF(最佳化斷筋點!P195="","",最佳化斷筋點!P195)</f>
        <v>2</v>
      </c>
      <c r="AO195" s="6">
        <f>IF(最佳化斷筋點!Q195="","",最佳化斷筋點!Q195)</f>
        <v>2</v>
      </c>
      <c r="AP195" s="6">
        <f>IF(最佳化斷筋點!R195="","",最佳化斷筋點!R195)</f>
        <v>2</v>
      </c>
      <c r="AQ195" s="6">
        <f>IF(最佳化斷筋點!S195="","",最佳化斷筋點!S195)</f>
        <v>2</v>
      </c>
      <c r="AR195" s="6">
        <f>IF(最佳化斷筋點!T195="","",最佳化斷筋點!T195)</f>
        <v>2</v>
      </c>
      <c r="AS195" s="6">
        <f>IF(最佳化斷筋點!U195="","",最佳化斷筋點!U195)</f>
        <v>2</v>
      </c>
      <c r="AT195" s="6">
        <f>IF(最佳化斷筋點!V195="","",最佳化斷筋點!V195)</f>
        <v>2</v>
      </c>
      <c r="AU195" s="6">
        <f>IF(最佳化斷筋點!W195="","",最佳化斷筋點!W195)</f>
        <v>2</v>
      </c>
      <c r="AV195" s="6">
        <f>IF(最佳化斷筋點!X195="","",最佳化斷筋點!X195)</f>
        <v>2</v>
      </c>
      <c r="AX195" s="6" t="s">
        <v>50</v>
      </c>
      <c r="AY195" s="6">
        <v>5</v>
      </c>
      <c r="AZ195" s="6">
        <v>5</v>
      </c>
      <c r="BA195" s="6">
        <v>4</v>
      </c>
      <c r="BB195" s="6">
        <v>4</v>
      </c>
      <c r="BC195" s="6">
        <v>4</v>
      </c>
      <c r="BD195" s="6">
        <v>3</v>
      </c>
      <c r="BE195" s="6">
        <v>3</v>
      </c>
      <c r="BF195" s="6">
        <v>2</v>
      </c>
      <c r="BG195" s="6">
        <v>2</v>
      </c>
      <c r="BH195" s="6">
        <v>2</v>
      </c>
      <c r="BI195" s="6">
        <v>2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</row>
    <row r="196" spans="4:71" x14ac:dyDescent="0.25">
      <c r="E196" s="6">
        <f t="shared" ref="E196:E259" si="64">IF(AB196=AY196,0,1)</f>
        <v>0</v>
      </c>
      <c r="F196" s="6">
        <f t="shared" ref="F196:F259" si="65">IF(AC196=AZ196,0,1)</f>
        <v>0</v>
      </c>
      <c r="G196" s="6">
        <f t="shared" ref="G196:G259" si="66">IF(AD196=BA196,0,1)</f>
        <v>0</v>
      </c>
      <c r="H196" s="6">
        <f t="shared" ref="H196:H259" si="67">IF(AE196=BB196,0,1)</f>
        <v>0</v>
      </c>
      <c r="I196" s="6">
        <f t="shared" ref="I196:I259" si="68">IF(AF196=BC196,0,1)</f>
        <v>0</v>
      </c>
      <c r="J196" s="6">
        <f t="shared" ref="J196:J259" si="69">IF(AG196=BD196,0,1)</f>
        <v>0</v>
      </c>
      <c r="K196" s="6">
        <f t="shared" ref="K196:K259" si="70">IF(AH196=BE196,0,1)</f>
        <v>0</v>
      </c>
      <c r="L196" s="6">
        <f t="shared" ref="L196:L259" si="71">IF(AI196=BF196,0,1)</f>
        <v>0</v>
      </c>
      <c r="M196" s="6">
        <f t="shared" ref="M196:M259" si="72">IF(AJ196=BG196,0,1)</f>
        <v>0</v>
      </c>
      <c r="N196" s="6">
        <f t="shared" ref="N196:N259" si="73">IF(AK196=BH196,0,1)</f>
        <v>0</v>
      </c>
      <c r="O196" s="6">
        <f t="shared" ref="O196:O259" si="74">IF(AL196=BI196,0,1)</f>
        <v>0</v>
      </c>
      <c r="P196" s="6">
        <f t="shared" ref="P196:P259" si="75">IF(AM196=BJ196,0,1)</f>
        <v>0</v>
      </c>
      <c r="Q196" s="6">
        <f t="shared" ref="Q196:Q259" si="76">IF(AN196=BK196,0,1)</f>
        <v>0</v>
      </c>
      <c r="R196" s="6">
        <f t="shared" ref="R196:R259" si="77">IF(AO196=BL196,0,1)</f>
        <v>0</v>
      </c>
      <c r="S196" s="6">
        <f t="shared" ref="S196:S259" si="78">IF(AP196=BM196,0,1)</f>
        <v>0</v>
      </c>
      <c r="T196" s="6">
        <f t="shared" ref="T196:T259" si="79">IF(AQ196=BN196,0,1)</f>
        <v>0</v>
      </c>
      <c r="U196" s="6">
        <f t="shared" ref="U196:U259" si="80">IF(AR196=BO196,0,1)</f>
        <v>0</v>
      </c>
      <c r="V196" s="6">
        <f t="shared" ref="V196:V259" si="81">IF(AS196=BP196,0,1)</f>
        <v>0</v>
      </c>
      <c r="W196" s="6">
        <f t="shared" ref="W196:W259" si="82">IF(AT196=BQ196,0,1)</f>
        <v>0</v>
      </c>
      <c r="X196" s="6">
        <f t="shared" ref="X196:X259" si="83">IF(AU196=BR196,0,1)</f>
        <v>0</v>
      </c>
      <c r="Y196" s="6">
        <f t="shared" ref="Y196:Y259" si="84">IF(AV196=BS196,0,1)</f>
        <v>0</v>
      </c>
      <c r="AA196" s="6" t="str">
        <f>IF(最佳化斷筋點!C196="","",最佳化斷筋點!C196)</f>
        <v/>
      </c>
      <c r="AB196" s="6" t="str">
        <f>IF(最佳化斷筋點!D196="","",最佳化斷筋點!D196)</f>
        <v/>
      </c>
      <c r="AC196" s="6" t="str">
        <f>IF(最佳化斷筋點!E196="","",最佳化斷筋點!E196)</f>
        <v/>
      </c>
      <c r="AD196" s="6" t="str">
        <f>IF(最佳化斷筋點!F196="","",最佳化斷筋點!F196)</f>
        <v/>
      </c>
      <c r="AE196" s="6" t="str">
        <f>IF(最佳化斷筋點!G196="","",最佳化斷筋點!G196)</f>
        <v/>
      </c>
      <c r="AF196" s="6" t="str">
        <f>IF(最佳化斷筋點!H196="","",最佳化斷筋點!H196)</f>
        <v/>
      </c>
      <c r="AG196" s="6" t="str">
        <f>IF(最佳化斷筋點!I196="","",最佳化斷筋點!I196)</f>
        <v/>
      </c>
      <c r="AH196" s="6" t="str">
        <f>IF(最佳化斷筋點!J196="","",最佳化斷筋點!J196)</f>
        <v/>
      </c>
      <c r="AI196" s="6" t="str">
        <f>IF(最佳化斷筋點!K196="","",最佳化斷筋點!K196)</f>
        <v/>
      </c>
      <c r="AJ196" s="6" t="str">
        <f>IF(最佳化斷筋點!L196="","",最佳化斷筋點!L196)</f>
        <v/>
      </c>
      <c r="AK196" s="6" t="str">
        <f>IF(最佳化斷筋點!M196="","",最佳化斷筋點!M196)</f>
        <v/>
      </c>
      <c r="AL196" s="6" t="str">
        <f>IF(最佳化斷筋點!N196="","",最佳化斷筋點!N196)</f>
        <v/>
      </c>
      <c r="AM196" s="6" t="str">
        <f>IF(最佳化斷筋點!O196="","",最佳化斷筋點!O196)</f>
        <v/>
      </c>
      <c r="AN196" s="6" t="str">
        <f>IF(最佳化斷筋點!P196="","",最佳化斷筋點!P196)</f>
        <v/>
      </c>
      <c r="AO196" s="6" t="str">
        <f>IF(最佳化斷筋點!Q196="","",最佳化斷筋點!Q196)</f>
        <v/>
      </c>
      <c r="AP196" s="6" t="str">
        <f>IF(最佳化斷筋點!R196="","",最佳化斷筋點!R196)</f>
        <v/>
      </c>
      <c r="AQ196" s="6" t="str">
        <f>IF(最佳化斷筋點!S196="","",最佳化斷筋點!S196)</f>
        <v/>
      </c>
      <c r="AR196" s="6" t="str">
        <f>IF(最佳化斷筋點!T196="","",最佳化斷筋點!T196)</f>
        <v/>
      </c>
      <c r="AS196" s="6" t="str">
        <f>IF(最佳化斷筋點!U196="","",最佳化斷筋點!U196)</f>
        <v/>
      </c>
      <c r="AT196" s="6" t="str">
        <f>IF(最佳化斷筋點!V196="","",最佳化斷筋點!V196)</f>
        <v/>
      </c>
      <c r="AU196" s="6" t="str">
        <f>IF(最佳化斷筋點!W196="","",最佳化斷筋點!W196)</f>
        <v/>
      </c>
      <c r="AV196" s="6" t="str">
        <f>IF(最佳化斷筋點!X196="","",最佳化斷筋點!X196)</f>
        <v/>
      </c>
    </row>
    <row r="197" spans="4:71" x14ac:dyDescent="0.25">
      <c r="D197" s="6" t="s">
        <v>51</v>
      </c>
      <c r="E197" s="6">
        <f t="shared" si="64"/>
        <v>0</v>
      </c>
      <c r="F197" s="6">
        <f t="shared" si="65"/>
        <v>0</v>
      </c>
      <c r="G197" s="6">
        <f t="shared" si="66"/>
        <v>0</v>
      </c>
      <c r="H197" s="6">
        <f t="shared" si="67"/>
        <v>0</v>
      </c>
      <c r="I197" s="6">
        <f t="shared" si="68"/>
        <v>0</v>
      </c>
      <c r="J197" s="6">
        <f t="shared" si="69"/>
        <v>0</v>
      </c>
      <c r="K197" s="6">
        <f t="shared" si="70"/>
        <v>0</v>
      </c>
      <c r="L197" s="6">
        <f t="shared" si="71"/>
        <v>0</v>
      </c>
      <c r="M197" s="6">
        <f t="shared" si="72"/>
        <v>0</v>
      </c>
      <c r="N197" s="6">
        <f t="shared" si="73"/>
        <v>0</v>
      </c>
      <c r="O197" s="6">
        <f t="shared" si="74"/>
        <v>0</v>
      </c>
      <c r="P197" s="6">
        <f t="shared" si="75"/>
        <v>0</v>
      </c>
      <c r="Q197" s="6">
        <f t="shared" si="76"/>
        <v>0</v>
      </c>
      <c r="R197" s="6">
        <f t="shared" si="77"/>
        <v>0</v>
      </c>
      <c r="S197" s="6">
        <f t="shared" si="78"/>
        <v>0</v>
      </c>
      <c r="T197" s="6">
        <f t="shared" si="79"/>
        <v>0</v>
      </c>
      <c r="U197" s="6">
        <f t="shared" si="80"/>
        <v>0</v>
      </c>
      <c r="V197" s="6">
        <f t="shared" si="81"/>
        <v>0</v>
      </c>
      <c r="W197" s="6">
        <f t="shared" si="82"/>
        <v>0</v>
      </c>
      <c r="X197" s="6">
        <f t="shared" si="83"/>
        <v>0</v>
      </c>
      <c r="Y197" s="6">
        <f t="shared" si="84"/>
        <v>0</v>
      </c>
      <c r="AA197" s="6" t="str">
        <f>IF(最佳化斷筋點!C197="","",最佳化斷筋點!C197)</f>
        <v>下層</v>
      </c>
      <c r="AB197" s="6">
        <f>IF(最佳化斷筋點!D197="","",最佳化斷筋點!D197)</f>
        <v>3</v>
      </c>
      <c r="AC197" s="6">
        <f>IF(最佳化斷筋點!E197="","",最佳化斷筋點!E197)</f>
        <v>3</v>
      </c>
      <c r="AD197" s="6">
        <f>IF(最佳化斷筋點!F197="","",最佳化斷筋點!F197)</f>
        <v>3</v>
      </c>
      <c r="AE197" s="6">
        <f>IF(最佳化斷筋點!G197="","",最佳化斷筋點!G197)</f>
        <v>3</v>
      </c>
      <c r="AF197" s="6">
        <f>IF(最佳化斷筋點!H197="","",最佳化斷筋點!H197)</f>
        <v>3</v>
      </c>
      <c r="AG197" s="6">
        <f>IF(最佳化斷筋點!I197="","",最佳化斷筋點!I197)</f>
        <v>3</v>
      </c>
      <c r="AH197" s="6">
        <f>IF(最佳化斷筋點!J197="","",最佳化斷筋點!J197)</f>
        <v>4</v>
      </c>
      <c r="AI197" s="6">
        <f>IF(最佳化斷筋點!K197="","",最佳化斷筋點!K197)</f>
        <v>4</v>
      </c>
      <c r="AJ197" s="6">
        <f>IF(最佳化斷筋點!L197="","",最佳化斷筋點!L197)</f>
        <v>4</v>
      </c>
      <c r="AK197" s="6">
        <f>IF(最佳化斷筋點!M197="","",最佳化斷筋點!M197)</f>
        <v>4</v>
      </c>
      <c r="AL197" s="6">
        <f>IF(最佳化斷筋點!N197="","",最佳化斷筋點!N197)</f>
        <v>4</v>
      </c>
      <c r="AM197" s="6">
        <f>IF(最佳化斷筋點!O197="","",最佳化斷筋點!O197)</f>
        <v>4</v>
      </c>
      <c r="AN197" s="6">
        <f>IF(最佳化斷筋點!P197="","",最佳化斷筋點!P197)</f>
        <v>4</v>
      </c>
      <c r="AO197" s="6">
        <f>IF(最佳化斷筋點!Q197="","",最佳化斷筋點!Q197)</f>
        <v>4</v>
      </c>
      <c r="AP197" s="6">
        <f>IF(最佳化斷筋點!R197="","",最佳化斷筋點!R197)</f>
        <v>4</v>
      </c>
      <c r="AQ197" s="6">
        <f>IF(最佳化斷筋點!S197="","",最佳化斷筋點!S197)</f>
        <v>3</v>
      </c>
      <c r="AR197" s="6">
        <f>IF(最佳化斷筋點!T197="","",最佳化斷筋點!T197)</f>
        <v>3</v>
      </c>
      <c r="AS197" s="6">
        <f>IF(最佳化斷筋點!U197="","",最佳化斷筋點!U197)</f>
        <v>3</v>
      </c>
      <c r="AT197" s="6">
        <f>IF(最佳化斷筋點!V197="","",最佳化斷筋點!V197)</f>
        <v>4</v>
      </c>
      <c r="AU197" s="6">
        <f>IF(最佳化斷筋點!W197="","",最佳化斷筋點!W197)</f>
        <v>4</v>
      </c>
      <c r="AV197" s="6">
        <f>IF(最佳化斷筋點!X197="","",最佳化斷筋點!X197)</f>
        <v>4</v>
      </c>
      <c r="AX197" s="6" t="s">
        <v>51</v>
      </c>
      <c r="AY197" s="6">
        <v>3</v>
      </c>
      <c r="AZ197" s="6">
        <v>3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</row>
    <row r="198" spans="4:71" x14ac:dyDescent="0.25">
      <c r="E198" s="6">
        <f t="shared" si="64"/>
        <v>0</v>
      </c>
      <c r="F198" s="6">
        <f t="shared" si="65"/>
        <v>0</v>
      </c>
      <c r="G198" s="6">
        <f t="shared" si="66"/>
        <v>0</v>
      </c>
      <c r="H198" s="6">
        <f t="shared" si="67"/>
        <v>0</v>
      </c>
      <c r="I198" s="6">
        <f t="shared" si="68"/>
        <v>0</v>
      </c>
      <c r="J198" s="6">
        <f t="shared" si="69"/>
        <v>0</v>
      </c>
      <c r="K198" s="6">
        <f t="shared" si="70"/>
        <v>0</v>
      </c>
      <c r="L198" s="6">
        <f t="shared" si="71"/>
        <v>0</v>
      </c>
      <c r="M198" s="6">
        <f t="shared" si="72"/>
        <v>0</v>
      </c>
      <c r="N198" s="6">
        <f t="shared" si="73"/>
        <v>0</v>
      </c>
      <c r="O198" s="6">
        <f t="shared" si="74"/>
        <v>0</v>
      </c>
      <c r="P198" s="6">
        <f t="shared" si="75"/>
        <v>0</v>
      </c>
      <c r="Q198" s="6">
        <f t="shared" si="76"/>
        <v>0</v>
      </c>
      <c r="R198" s="6">
        <f t="shared" si="77"/>
        <v>0</v>
      </c>
      <c r="S198" s="6">
        <f t="shared" si="78"/>
        <v>0</v>
      </c>
      <c r="T198" s="6">
        <f t="shared" si="79"/>
        <v>0</v>
      </c>
      <c r="U198" s="6">
        <f t="shared" si="80"/>
        <v>0</v>
      </c>
      <c r="V198" s="6">
        <f t="shared" si="81"/>
        <v>0</v>
      </c>
      <c r="W198" s="6">
        <f t="shared" si="82"/>
        <v>0</v>
      </c>
      <c r="X198" s="6">
        <f t="shared" si="83"/>
        <v>0</v>
      </c>
      <c r="Y198" s="6">
        <f t="shared" si="84"/>
        <v>0</v>
      </c>
      <c r="AA198" s="6" t="str">
        <f>IF(最佳化斷筋點!C198="","",最佳化斷筋點!C198)</f>
        <v/>
      </c>
      <c r="AB198" s="6" t="str">
        <f>IF(最佳化斷筋點!D198="","",最佳化斷筋點!D198)</f>
        <v/>
      </c>
      <c r="AC198" s="6" t="str">
        <f>IF(最佳化斷筋點!E198="","",最佳化斷筋點!E198)</f>
        <v/>
      </c>
      <c r="AD198" s="6" t="str">
        <f>IF(最佳化斷筋點!F198="","",最佳化斷筋點!F198)</f>
        <v/>
      </c>
      <c r="AE198" s="6" t="str">
        <f>IF(最佳化斷筋點!G198="","",最佳化斷筋點!G198)</f>
        <v/>
      </c>
      <c r="AF198" s="6" t="str">
        <f>IF(最佳化斷筋點!H198="","",最佳化斷筋點!H198)</f>
        <v/>
      </c>
      <c r="AG198" s="6" t="str">
        <f>IF(最佳化斷筋點!I198="","",最佳化斷筋點!I198)</f>
        <v/>
      </c>
      <c r="AH198" s="6" t="str">
        <f>IF(最佳化斷筋點!J198="","",最佳化斷筋點!J198)</f>
        <v/>
      </c>
      <c r="AI198" s="6" t="str">
        <f>IF(最佳化斷筋點!K198="","",最佳化斷筋點!K198)</f>
        <v/>
      </c>
      <c r="AJ198" s="6" t="str">
        <f>IF(最佳化斷筋點!L198="","",最佳化斷筋點!L198)</f>
        <v/>
      </c>
      <c r="AK198" s="6" t="str">
        <f>IF(最佳化斷筋點!M198="","",最佳化斷筋點!M198)</f>
        <v/>
      </c>
      <c r="AL198" s="6" t="str">
        <f>IF(最佳化斷筋點!N198="","",最佳化斷筋點!N198)</f>
        <v/>
      </c>
      <c r="AM198" s="6" t="str">
        <f>IF(最佳化斷筋點!O198="","",最佳化斷筋點!O198)</f>
        <v/>
      </c>
      <c r="AN198" s="6" t="str">
        <f>IF(最佳化斷筋點!P198="","",最佳化斷筋點!P198)</f>
        <v/>
      </c>
      <c r="AO198" s="6" t="str">
        <f>IF(最佳化斷筋點!Q198="","",最佳化斷筋點!Q198)</f>
        <v/>
      </c>
      <c r="AP198" s="6" t="str">
        <f>IF(最佳化斷筋點!R198="","",最佳化斷筋點!R198)</f>
        <v/>
      </c>
      <c r="AQ198" s="6" t="str">
        <f>IF(最佳化斷筋點!S198="","",最佳化斷筋點!S198)</f>
        <v/>
      </c>
      <c r="AR198" s="6" t="str">
        <f>IF(最佳化斷筋點!T198="","",最佳化斷筋點!T198)</f>
        <v/>
      </c>
      <c r="AS198" s="6" t="str">
        <f>IF(最佳化斷筋點!U198="","",最佳化斷筋點!U198)</f>
        <v/>
      </c>
      <c r="AT198" s="6" t="str">
        <f>IF(最佳化斷筋點!V198="","",最佳化斷筋點!V198)</f>
        <v/>
      </c>
      <c r="AU198" s="6" t="str">
        <f>IF(最佳化斷筋點!W198="","",最佳化斷筋點!W198)</f>
        <v/>
      </c>
      <c r="AV198" s="6" t="str">
        <f>IF(最佳化斷筋點!X198="","",最佳化斷筋點!X198)</f>
        <v/>
      </c>
    </row>
    <row r="199" spans="4:71" x14ac:dyDescent="0.25">
      <c r="D199" s="6" t="s">
        <v>50</v>
      </c>
      <c r="E199" s="6">
        <f t="shared" si="64"/>
        <v>0</v>
      </c>
      <c r="F199" s="6">
        <f t="shared" si="65"/>
        <v>0</v>
      </c>
      <c r="G199" s="6">
        <f t="shared" si="66"/>
        <v>0</v>
      </c>
      <c r="H199" s="6">
        <f t="shared" si="67"/>
        <v>0</v>
      </c>
      <c r="I199" s="6">
        <f t="shared" si="68"/>
        <v>0</v>
      </c>
      <c r="J199" s="6">
        <f t="shared" si="69"/>
        <v>0</v>
      </c>
      <c r="K199" s="6">
        <f t="shared" si="70"/>
        <v>0</v>
      </c>
      <c r="L199" s="6">
        <f t="shared" si="71"/>
        <v>0</v>
      </c>
      <c r="M199" s="6">
        <f t="shared" si="72"/>
        <v>0</v>
      </c>
      <c r="N199" s="6">
        <f t="shared" si="73"/>
        <v>0</v>
      </c>
      <c r="O199" s="6">
        <f t="shared" si="74"/>
        <v>0</v>
      </c>
      <c r="P199" s="6">
        <f t="shared" si="75"/>
        <v>0</v>
      </c>
      <c r="Q199" s="6">
        <f t="shared" si="76"/>
        <v>0</v>
      </c>
      <c r="R199" s="6">
        <f t="shared" si="77"/>
        <v>0</v>
      </c>
      <c r="S199" s="6">
        <f t="shared" si="78"/>
        <v>0</v>
      </c>
      <c r="T199" s="6">
        <f t="shared" si="79"/>
        <v>0</v>
      </c>
      <c r="U199" s="6">
        <f t="shared" si="80"/>
        <v>0</v>
      </c>
      <c r="V199" s="6">
        <f t="shared" si="81"/>
        <v>0</v>
      </c>
      <c r="W199" s="6">
        <f t="shared" si="82"/>
        <v>0</v>
      </c>
      <c r="X199" s="6">
        <f t="shared" si="83"/>
        <v>0</v>
      </c>
      <c r="Y199" s="6">
        <f t="shared" si="84"/>
        <v>0</v>
      </c>
      <c r="AA199" s="6" t="str">
        <f>IF(最佳化斷筋點!C199="","",最佳化斷筋點!C199)</f>
        <v>上層</v>
      </c>
      <c r="AB199" s="6">
        <f>IF(最佳化斷筋點!D199="","",最佳化斷筋點!D199)</f>
        <v>8</v>
      </c>
      <c r="AC199" s="6">
        <f>IF(最佳化斷筋點!E199="","",最佳化斷筋點!E199)</f>
        <v>8</v>
      </c>
      <c r="AD199" s="6">
        <f>IF(最佳化斷筋點!F199="","",最佳化斷筋點!F199)</f>
        <v>7</v>
      </c>
      <c r="AE199" s="6">
        <f>IF(最佳化斷筋點!G199="","",最佳化斷筋點!G199)</f>
        <v>6</v>
      </c>
      <c r="AF199" s="6">
        <f>IF(最佳化斷筋點!H199="","",最佳化斷筋點!H199)</f>
        <v>5</v>
      </c>
      <c r="AG199" s="6">
        <f>IF(最佳化斷筋點!I199="","",最佳化斷筋點!I199)</f>
        <v>5</v>
      </c>
      <c r="AH199" s="6">
        <f>IF(最佳化斷筋點!J199="","",最佳化斷筋點!J199)</f>
        <v>4</v>
      </c>
      <c r="AI199" s="6">
        <f>IF(最佳化斷筋點!K199="","",最佳化斷筋點!K199)</f>
        <v>3</v>
      </c>
      <c r="AJ199" s="6">
        <f>IF(最佳化斷筋點!L199="","",最佳化斷筋點!L199)</f>
        <v>2</v>
      </c>
      <c r="AK199" s="6">
        <f>IF(最佳化斷筋點!M199="","",最佳化斷筋點!M199)</f>
        <v>2</v>
      </c>
      <c r="AL199" s="6">
        <f>IF(最佳化斷筋點!N199="","",最佳化斷筋點!N199)</f>
        <v>2</v>
      </c>
      <c r="AM199" s="6">
        <f>IF(最佳化斷筋點!O199="","",最佳化斷筋點!O199)</f>
        <v>2</v>
      </c>
      <c r="AN199" s="6">
        <f>IF(最佳化斷筋點!P199="","",最佳化斷筋點!P199)</f>
        <v>2</v>
      </c>
      <c r="AO199" s="6">
        <f>IF(最佳化斷筋點!Q199="","",最佳化斷筋點!Q199)</f>
        <v>4</v>
      </c>
      <c r="AP199" s="6">
        <f>IF(最佳化斷筋點!R199="","",最佳化斷筋點!R199)</f>
        <v>4</v>
      </c>
      <c r="AQ199" s="6">
        <f>IF(最佳化斷筋點!S199="","",最佳化斷筋點!S199)</f>
        <v>5</v>
      </c>
      <c r="AR199" s="6">
        <f>IF(最佳化斷筋點!T199="","",最佳化斷筋點!T199)</f>
        <v>6</v>
      </c>
      <c r="AS199" s="6">
        <f>IF(最佳化斷筋點!U199="","",最佳化斷筋點!U199)</f>
        <v>7</v>
      </c>
      <c r="AT199" s="6">
        <f>IF(最佳化斷筋點!V199="","",最佳化斷筋點!V199)</f>
        <v>8</v>
      </c>
      <c r="AU199" s="6">
        <f>IF(最佳化斷筋點!W199="","",最佳化斷筋點!W199)</f>
        <v>9</v>
      </c>
      <c r="AV199" s="6">
        <f>IF(最佳化斷筋點!X199="","",最佳化斷筋點!X199)</f>
        <v>10</v>
      </c>
      <c r="AX199" s="6" t="s">
        <v>50</v>
      </c>
      <c r="AY199" s="6">
        <v>8</v>
      </c>
      <c r="AZ199" s="6">
        <v>8</v>
      </c>
      <c r="BA199" s="6">
        <v>7</v>
      </c>
      <c r="BB199" s="6">
        <v>6</v>
      </c>
      <c r="BC199" s="6">
        <v>5</v>
      </c>
      <c r="BD199" s="6">
        <v>5</v>
      </c>
      <c r="BE199" s="6">
        <v>4</v>
      </c>
      <c r="BF199" s="6">
        <v>3</v>
      </c>
      <c r="BG199" s="6">
        <v>2</v>
      </c>
      <c r="BH199" s="6">
        <v>2</v>
      </c>
      <c r="BI199" s="6">
        <v>2</v>
      </c>
      <c r="BJ199" s="6">
        <v>2</v>
      </c>
      <c r="BK199" s="6">
        <v>2</v>
      </c>
      <c r="BL199" s="6">
        <v>4</v>
      </c>
      <c r="BM199" s="6">
        <v>4</v>
      </c>
      <c r="BN199" s="6">
        <v>5</v>
      </c>
      <c r="BO199" s="6">
        <v>6</v>
      </c>
      <c r="BP199" s="6">
        <v>7</v>
      </c>
      <c r="BQ199" s="6">
        <v>8</v>
      </c>
      <c r="BR199" s="6">
        <v>9</v>
      </c>
      <c r="BS199" s="6">
        <v>10</v>
      </c>
    </row>
    <row r="200" spans="4:71" x14ac:dyDescent="0.25">
      <c r="E200" s="6">
        <f t="shared" si="64"/>
        <v>0</v>
      </c>
      <c r="F200" s="6">
        <f t="shared" si="65"/>
        <v>0</v>
      </c>
      <c r="G200" s="6">
        <f t="shared" si="66"/>
        <v>0</v>
      </c>
      <c r="H200" s="6">
        <f t="shared" si="67"/>
        <v>0</v>
      </c>
      <c r="I200" s="6">
        <f t="shared" si="68"/>
        <v>0</v>
      </c>
      <c r="J200" s="6">
        <f t="shared" si="69"/>
        <v>0</v>
      </c>
      <c r="K200" s="6">
        <f t="shared" si="70"/>
        <v>0</v>
      </c>
      <c r="L200" s="6">
        <f t="shared" si="71"/>
        <v>0</v>
      </c>
      <c r="M200" s="6">
        <f t="shared" si="72"/>
        <v>0</v>
      </c>
      <c r="N200" s="6">
        <f t="shared" si="73"/>
        <v>0</v>
      </c>
      <c r="O200" s="6">
        <f t="shared" si="74"/>
        <v>0</v>
      </c>
      <c r="P200" s="6">
        <f t="shared" si="75"/>
        <v>0</v>
      </c>
      <c r="Q200" s="6">
        <f t="shared" si="76"/>
        <v>0</v>
      </c>
      <c r="R200" s="6">
        <f t="shared" si="77"/>
        <v>0</v>
      </c>
      <c r="S200" s="6">
        <f t="shared" si="78"/>
        <v>0</v>
      </c>
      <c r="T200" s="6">
        <f t="shared" si="79"/>
        <v>0</v>
      </c>
      <c r="U200" s="6">
        <f t="shared" si="80"/>
        <v>0</v>
      </c>
      <c r="V200" s="6">
        <f t="shared" si="81"/>
        <v>0</v>
      </c>
      <c r="W200" s="6">
        <f t="shared" si="82"/>
        <v>0</v>
      </c>
      <c r="X200" s="6">
        <f t="shared" si="83"/>
        <v>0</v>
      </c>
      <c r="Y200" s="6">
        <f t="shared" si="84"/>
        <v>0</v>
      </c>
      <c r="AA200" s="6" t="str">
        <f>IF(最佳化斷筋點!C200="","",最佳化斷筋點!C200)</f>
        <v/>
      </c>
      <c r="AB200" s="6" t="str">
        <f>IF(最佳化斷筋點!D200="","",最佳化斷筋點!D200)</f>
        <v/>
      </c>
      <c r="AC200" s="6" t="str">
        <f>IF(最佳化斷筋點!E200="","",最佳化斷筋點!E200)</f>
        <v/>
      </c>
      <c r="AD200" s="6" t="str">
        <f>IF(最佳化斷筋點!F200="","",最佳化斷筋點!F200)</f>
        <v/>
      </c>
      <c r="AE200" s="6" t="str">
        <f>IF(最佳化斷筋點!G200="","",最佳化斷筋點!G200)</f>
        <v/>
      </c>
      <c r="AF200" s="6" t="str">
        <f>IF(最佳化斷筋點!H200="","",最佳化斷筋點!H200)</f>
        <v/>
      </c>
      <c r="AG200" s="6" t="str">
        <f>IF(最佳化斷筋點!I200="","",最佳化斷筋點!I200)</f>
        <v/>
      </c>
      <c r="AH200" s="6" t="str">
        <f>IF(最佳化斷筋點!J200="","",最佳化斷筋點!J200)</f>
        <v/>
      </c>
      <c r="AI200" s="6" t="str">
        <f>IF(最佳化斷筋點!K200="","",最佳化斷筋點!K200)</f>
        <v/>
      </c>
      <c r="AJ200" s="6" t="str">
        <f>IF(最佳化斷筋點!L200="","",最佳化斷筋點!L200)</f>
        <v/>
      </c>
      <c r="AK200" s="6" t="str">
        <f>IF(最佳化斷筋點!M200="","",最佳化斷筋點!M200)</f>
        <v/>
      </c>
      <c r="AL200" s="6" t="str">
        <f>IF(最佳化斷筋點!N200="","",最佳化斷筋點!N200)</f>
        <v/>
      </c>
      <c r="AM200" s="6" t="str">
        <f>IF(最佳化斷筋點!O200="","",最佳化斷筋點!O200)</f>
        <v/>
      </c>
      <c r="AN200" s="6" t="str">
        <f>IF(最佳化斷筋點!P200="","",最佳化斷筋點!P200)</f>
        <v/>
      </c>
      <c r="AO200" s="6" t="str">
        <f>IF(最佳化斷筋點!Q200="","",最佳化斷筋點!Q200)</f>
        <v/>
      </c>
      <c r="AP200" s="6" t="str">
        <f>IF(最佳化斷筋點!R200="","",最佳化斷筋點!R200)</f>
        <v/>
      </c>
      <c r="AQ200" s="6" t="str">
        <f>IF(最佳化斷筋點!S200="","",最佳化斷筋點!S200)</f>
        <v/>
      </c>
      <c r="AR200" s="6" t="str">
        <f>IF(最佳化斷筋點!T200="","",最佳化斷筋點!T200)</f>
        <v/>
      </c>
      <c r="AS200" s="6" t="str">
        <f>IF(最佳化斷筋點!U200="","",最佳化斷筋點!U200)</f>
        <v/>
      </c>
      <c r="AT200" s="6" t="str">
        <f>IF(最佳化斷筋點!V200="","",最佳化斷筋點!V200)</f>
        <v/>
      </c>
      <c r="AU200" s="6" t="str">
        <f>IF(最佳化斷筋點!W200="","",最佳化斷筋點!W200)</f>
        <v/>
      </c>
      <c r="AV200" s="6" t="str">
        <f>IF(最佳化斷筋點!X200="","",最佳化斷筋點!X200)</f>
        <v/>
      </c>
    </row>
    <row r="201" spans="4:71" x14ac:dyDescent="0.25">
      <c r="D201" s="6" t="s">
        <v>51</v>
      </c>
      <c r="E201" s="6">
        <f t="shared" si="64"/>
        <v>0</v>
      </c>
      <c r="F201" s="6">
        <f t="shared" si="65"/>
        <v>0</v>
      </c>
      <c r="G201" s="6">
        <f t="shared" si="66"/>
        <v>0</v>
      </c>
      <c r="H201" s="6">
        <f t="shared" si="67"/>
        <v>0</v>
      </c>
      <c r="I201" s="6">
        <f t="shared" si="68"/>
        <v>0</v>
      </c>
      <c r="J201" s="6">
        <f t="shared" si="69"/>
        <v>0</v>
      </c>
      <c r="K201" s="6">
        <f t="shared" si="70"/>
        <v>0</v>
      </c>
      <c r="L201" s="6">
        <f t="shared" si="71"/>
        <v>0</v>
      </c>
      <c r="M201" s="6">
        <f t="shared" si="72"/>
        <v>0</v>
      </c>
      <c r="N201" s="6">
        <f t="shared" si="73"/>
        <v>0</v>
      </c>
      <c r="O201" s="6">
        <f t="shared" si="74"/>
        <v>0</v>
      </c>
      <c r="P201" s="6">
        <f t="shared" si="75"/>
        <v>0</v>
      </c>
      <c r="Q201" s="6">
        <f t="shared" si="76"/>
        <v>0</v>
      </c>
      <c r="R201" s="6">
        <f t="shared" si="77"/>
        <v>0</v>
      </c>
      <c r="S201" s="6">
        <f t="shared" si="78"/>
        <v>0</v>
      </c>
      <c r="T201" s="6">
        <f t="shared" si="79"/>
        <v>0</v>
      </c>
      <c r="U201" s="6">
        <f t="shared" si="80"/>
        <v>0</v>
      </c>
      <c r="V201" s="6">
        <f t="shared" si="81"/>
        <v>0</v>
      </c>
      <c r="W201" s="6">
        <f t="shared" si="82"/>
        <v>0</v>
      </c>
      <c r="X201" s="6">
        <f t="shared" si="83"/>
        <v>0</v>
      </c>
      <c r="Y201" s="6">
        <f t="shared" si="84"/>
        <v>0</v>
      </c>
      <c r="AA201" s="6" t="str">
        <f>IF(最佳化斷筋點!C201="","",最佳化斷筋點!C201)</f>
        <v>下層</v>
      </c>
      <c r="AB201" s="6">
        <f>IF(最佳化斷筋點!D201="","",最佳化斷筋點!D201)</f>
        <v>6</v>
      </c>
      <c r="AC201" s="6">
        <f>IF(最佳化斷筋點!E201="","",最佳化斷筋點!E201)</f>
        <v>6</v>
      </c>
      <c r="AD201" s="6">
        <f>IF(最佳化斷筋點!F201="","",最佳化斷筋點!F201)</f>
        <v>5</v>
      </c>
      <c r="AE201" s="6">
        <f>IF(最佳化斷筋點!G201="","",最佳化斷筋點!G201)</f>
        <v>5</v>
      </c>
      <c r="AF201" s="6">
        <f>IF(最佳化斷筋點!H201="","",最佳化斷筋點!H201)</f>
        <v>4</v>
      </c>
      <c r="AG201" s="6">
        <f>IF(最佳化斷筋點!I201="","",最佳化斷筋點!I201)</f>
        <v>5</v>
      </c>
      <c r="AH201" s="6">
        <f>IF(最佳化斷筋點!J201="","",最佳化斷筋點!J201)</f>
        <v>6</v>
      </c>
      <c r="AI201" s="6">
        <f>IF(最佳化斷筋點!K201="","",最佳化斷筋點!K201)</f>
        <v>6</v>
      </c>
      <c r="AJ201" s="6">
        <f>IF(最佳化斷筋點!L201="","",最佳化斷筋點!L201)</f>
        <v>6</v>
      </c>
      <c r="AK201" s="6">
        <f>IF(最佳化斷筋點!M201="","",最佳化斷筋點!M201)</f>
        <v>6</v>
      </c>
      <c r="AL201" s="6">
        <f>IF(最佳化斷筋點!N201="","",最佳化斷筋點!N201)</f>
        <v>6</v>
      </c>
      <c r="AM201" s="6">
        <f>IF(最佳化斷筋點!O201="","",最佳化斷筋點!O201)</f>
        <v>6</v>
      </c>
      <c r="AN201" s="6">
        <f>IF(最佳化斷筋點!P201="","",最佳化斷筋點!P201)</f>
        <v>6</v>
      </c>
      <c r="AO201" s="6">
        <f>IF(最佳化斷筋點!Q201="","",最佳化斷筋點!Q201)</f>
        <v>6</v>
      </c>
      <c r="AP201" s="6">
        <f>IF(最佳化斷筋點!R201="","",最佳化斷筋點!R201)</f>
        <v>6</v>
      </c>
      <c r="AQ201" s="6">
        <f>IF(最佳化斷筋點!S201="","",最佳化斷筋點!S201)</f>
        <v>5</v>
      </c>
      <c r="AR201" s="6">
        <f>IF(最佳化斷筋點!T201="","",最佳化斷筋點!T201)</f>
        <v>4</v>
      </c>
      <c r="AS201" s="6">
        <f>IF(最佳化斷筋點!U201="","",最佳化斷筋點!U201)</f>
        <v>5</v>
      </c>
      <c r="AT201" s="6">
        <f>IF(最佳化斷筋點!V201="","",最佳化斷筋點!V201)</f>
        <v>5</v>
      </c>
      <c r="AU201" s="6">
        <f>IF(最佳化斷筋點!W201="","",最佳化斷筋點!W201)</f>
        <v>6</v>
      </c>
      <c r="AV201" s="6">
        <f>IF(最佳化斷筋點!X201="","",最佳化斷筋點!X201)</f>
        <v>6</v>
      </c>
      <c r="AX201" s="6" t="s">
        <v>51</v>
      </c>
      <c r="AY201" s="6">
        <v>6</v>
      </c>
      <c r="AZ201" s="6">
        <v>6</v>
      </c>
      <c r="BA201" s="6">
        <v>5</v>
      </c>
      <c r="BB201" s="6">
        <v>5</v>
      </c>
      <c r="BC201" s="6">
        <v>4</v>
      </c>
      <c r="BD201" s="6">
        <v>5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5</v>
      </c>
      <c r="BO201" s="6">
        <v>4</v>
      </c>
      <c r="BP201" s="6">
        <v>5</v>
      </c>
      <c r="BQ201" s="6">
        <v>5</v>
      </c>
      <c r="BR201" s="6">
        <v>6</v>
      </c>
      <c r="BS201" s="6">
        <v>6</v>
      </c>
    </row>
    <row r="202" spans="4:71" x14ac:dyDescent="0.25">
      <c r="E202" s="6">
        <f t="shared" si="64"/>
        <v>0</v>
      </c>
      <c r="F202" s="6">
        <f t="shared" si="65"/>
        <v>0</v>
      </c>
      <c r="G202" s="6">
        <f t="shared" si="66"/>
        <v>0</v>
      </c>
      <c r="H202" s="6">
        <f t="shared" si="67"/>
        <v>0</v>
      </c>
      <c r="I202" s="6">
        <f t="shared" si="68"/>
        <v>0</v>
      </c>
      <c r="J202" s="6">
        <f t="shared" si="69"/>
        <v>0</v>
      </c>
      <c r="K202" s="6">
        <f t="shared" si="70"/>
        <v>0</v>
      </c>
      <c r="L202" s="6">
        <f t="shared" si="71"/>
        <v>0</v>
      </c>
      <c r="M202" s="6">
        <f t="shared" si="72"/>
        <v>0</v>
      </c>
      <c r="N202" s="6">
        <f t="shared" si="73"/>
        <v>0</v>
      </c>
      <c r="O202" s="6">
        <f t="shared" si="74"/>
        <v>0</v>
      </c>
      <c r="P202" s="6">
        <f t="shared" si="75"/>
        <v>0</v>
      </c>
      <c r="Q202" s="6">
        <f t="shared" si="76"/>
        <v>0</v>
      </c>
      <c r="R202" s="6">
        <f t="shared" si="77"/>
        <v>0</v>
      </c>
      <c r="S202" s="6">
        <f t="shared" si="78"/>
        <v>0</v>
      </c>
      <c r="T202" s="6">
        <f t="shared" si="79"/>
        <v>0</v>
      </c>
      <c r="U202" s="6">
        <f t="shared" si="80"/>
        <v>0</v>
      </c>
      <c r="V202" s="6">
        <f t="shared" si="81"/>
        <v>0</v>
      </c>
      <c r="W202" s="6">
        <f t="shared" si="82"/>
        <v>0</v>
      </c>
      <c r="X202" s="6">
        <f t="shared" si="83"/>
        <v>0</v>
      </c>
      <c r="Y202" s="6">
        <f t="shared" si="84"/>
        <v>0</v>
      </c>
      <c r="AA202" s="6" t="str">
        <f>IF(最佳化斷筋點!C202="","",最佳化斷筋點!C202)</f>
        <v/>
      </c>
      <c r="AB202" s="6" t="str">
        <f>IF(最佳化斷筋點!D202="","",最佳化斷筋點!D202)</f>
        <v/>
      </c>
      <c r="AC202" s="6" t="str">
        <f>IF(最佳化斷筋點!E202="","",最佳化斷筋點!E202)</f>
        <v/>
      </c>
      <c r="AD202" s="6" t="str">
        <f>IF(最佳化斷筋點!F202="","",最佳化斷筋點!F202)</f>
        <v/>
      </c>
      <c r="AE202" s="6" t="str">
        <f>IF(最佳化斷筋點!G202="","",最佳化斷筋點!G202)</f>
        <v/>
      </c>
      <c r="AF202" s="6" t="str">
        <f>IF(最佳化斷筋點!H202="","",最佳化斷筋點!H202)</f>
        <v/>
      </c>
      <c r="AG202" s="6" t="str">
        <f>IF(最佳化斷筋點!I202="","",最佳化斷筋點!I202)</f>
        <v/>
      </c>
      <c r="AH202" s="6" t="str">
        <f>IF(最佳化斷筋點!J202="","",最佳化斷筋點!J202)</f>
        <v/>
      </c>
      <c r="AI202" s="6" t="str">
        <f>IF(最佳化斷筋點!K202="","",最佳化斷筋點!K202)</f>
        <v/>
      </c>
      <c r="AJ202" s="6" t="str">
        <f>IF(最佳化斷筋點!L202="","",最佳化斷筋點!L202)</f>
        <v/>
      </c>
      <c r="AK202" s="6" t="str">
        <f>IF(最佳化斷筋點!M202="","",最佳化斷筋點!M202)</f>
        <v/>
      </c>
      <c r="AL202" s="6" t="str">
        <f>IF(最佳化斷筋點!N202="","",最佳化斷筋點!N202)</f>
        <v/>
      </c>
      <c r="AM202" s="6" t="str">
        <f>IF(最佳化斷筋點!O202="","",最佳化斷筋點!O202)</f>
        <v/>
      </c>
      <c r="AN202" s="6" t="str">
        <f>IF(最佳化斷筋點!P202="","",最佳化斷筋點!P202)</f>
        <v/>
      </c>
      <c r="AO202" s="6" t="str">
        <f>IF(最佳化斷筋點!Q202="","",最佳化斷筋點!Q202)</f>
        <v/>
      </c>
      <c r="AP202" s="6" t="str">
        <f>IF(最佳化斷筋點!R202="","",最佳化斷筋點!R202)</f>
        <v/>
      </c>
      <c r="AQ202" s="6" t="str">
        <f>IF(最佳化斷筋點!S202="","",最佳化斷筋點!S202)</f>
        <v/>
      </c>
      <c r="AR202" s="6" t="str">
        <f>IF(最佳化斷筋點!T202="","",最佳化斷筋點!T202)</f>
        <v/>
      </c>
      <c r="AS202" s="6" t="str">
        <f>IF(最佳化斷筋點!U202="","",最佳化斷筋點!U202)</f>
        <v/>
      </c>
      <c r="AT202" s="6" t="str">
        <f>IF(最佳化斷筋點!V202="","",最佳化斷筋點!V202)</f>
        <v/>
      </c>
      <c r="AU202" s="6" t="str">
        <f>IF(最佳化斷筋點!W202="","",最佳化斷筋點!W202)</f>
        <v/>
      </c>
      <c r="AV202" s="6" t="str">
        <f>IF(最佳化斷筋點!X202="","",最佳化斷筋點!X202)</f>
        <v/>
      </c>
    </row>
    <row r="203" spans="4:71" x14ac:dyDescent="0.25">
      <c r="D203" s="6" t="s">
        <v>50</v>
      </c>
      <c r="E203" s="6">
        <f t="shared" si="64"/>
        <v>0</v>
      </c>
      <c r="F203" s="6">
        <f t="shared" si="65"/>
        <v>0</v>
      </c>
      <c r="G203" s="6">
        <f t="shared" si="66"/>
        <v>0</v>
      </c>
      <c r="H203" s="6">
        <f t="shared" si="67"/>
        <v>0</v>
      </c>
      <c r="I203" s="6">
        <f t="shared" si="68"/>
        <v>0</v>
      </c>
      <c r="J203" s="6">
        <f t="shared" si="69"/>
        <v>0</v>
      </c>
      <c r="K203" s="6">
        <f t="shared" si="70"/>
        <v>0</v>
      </c>
      <c r="L203" s="6">
        <f t="shared" si="71"/>
        <v>0</v>
      </c>
      <c r="M203" s="6">
        <f t="shared" si="72"/>
        <v>0</v>
      </c>
      <c r="N203" s="6">
        <f t="shared" si="73"/>
        <v>0</v>
      </c>
      <c r="O203" s="6">
        <f t="shared" si="74"/>
        <v>0</v>
      </c>
      <c r="P203" s="6">
        <f t="shared" si="75"/>
        <v>0</v>
      </c>
      <c r="Q203" s="6">
        <f t="shared" si="76"/>
        <v>0</v>
      </c>
      <c r="R203" s="6">
        <f t="shared" si="77"/>
        <v>0</v>
      </c>
      <c r="S203" s="6">
        <f t="shared" si="78"/>
        <v>0</v>
      </c>
      <c r="T203" s="6">
        <f t="shared" si="79"/>
        <v>0</v>
      </c>
      <c r="U203" s="6">
        <f t="shared" si="80"/>
        <v>0</v>
      </c>
      <c r="V203" s="6">
        <f t="shared" si="81"/>
        <v>0</v>
      </c>
      <c r="W203" s="6">
        <f t="shared" si="82"/>
        <v>0</v>
      </c>
      <c r="X203" s="6">
        <f t="shared" si="83"/>
        <v>0</v>
      </c>
      <c r="Y203" s="6">
        <f t="shared" si="84"/>
        <v>0</v>
      </c>
      <c r="AA203" s="6" t="str">
        <f>IF(最佳化斷筋點!C203="","",最佳化斷筋點!C203)</f>
        <v>上層</v>
      </c>
      <c r="AB203" s="6">
        <f>IF(最佳化斷筋點!D203="","",最佳化斷筋點!D203)</f>
        <v>7</v>
      </c>
      <c r="AC203" s="6">
        <f>IF(最佳化斷筋點!E203="","",最佳化斷筋點!E203)</f>
        <v>7</v>
      </c>
      <c r="AD203" s="6">
        <f>IF(最佳化斷筋點!F203="","",最佳化斷筋點!F203)</f>
        <v>6</v>
      </c>
      <c r="AE203" s="6">
        <f>IF(最佳化斷筋點!G203="","",最佳化斷筋點!G203)</f>
        <v>5</v>
      </c>
      <c r="AF203" s="6">
        <f>IF(最佳化斷筋點!H203="","",最佳化斷筋點!H203)</f>
        <v>5</v>
      </c>
      <c r="AG203" s="6">
        <f>IF(最佳化斷筋點!I203="","",最佳化斷筋點!I203)</f>
        <v>4</v>
      </c>
      <c r="AH203" s="6">
        <f>IF(最佳化斷筋點!J203="","",最佳化斷筋點!J203)</f>
        <v>3</v>
      </c>
      <c r="AI203" s="6">
        <f>IF(最佳化斷筋點!K203="","",最佳化斷筋點!K203)</f>
        <v>3</v>
      </c>
      <c r="AJ203" s="6">
        <f>IF(最佳化斷筋點!L203="","",最佳化斷筋點!L203)</f>
        <v>2</v>
      </c>
      <c r="AK203" s="6">
        <f>IF(最佳化斷筋點!M203="","",最佳化斷筋點!M203)</f>
        <v>2</v>
      </c>
      <c r="AL203" s="6">
        <f>IF(最佳化斷筋點!N203="","",最佳化斷筋點!N203)</f>
        <v>2</v>
      </c>
      <c r="AM203" s="6">
        <f>IF(最佳化斷筋點!O203="","",最佳化斷筋點!O203)</f>
        <v>2</v>
      </c>
      <c r="AN203" s="6">
        <f>IF(最佳化斷筋點!P203="","",最佳化斷筋點!P203)</f>
        <v>2</v>
      </c>
      <c r="AO203" s="6">
        <f>IF(最佳化斷筋點!Q203="","",最佳化斷筋點!Q203)</f>
        <v>3</v>
      </c>
      <c r="AP203" s="6">
        <f>IF(最佳化斷筋點!R203="","",最佳化斷筋點!R203)</f>
        <v>4</v>
      </c>
      <c r="AQ203" s="6">
        <f>IF(最佳化斷筋點!S203="","",最佳化斷筋點!S203)</f>
        <v>4</v>
      </c>
      <c r="AR203" s="6">
        <f>IF(最佳化斷筋點!T203="","",最佳化斷筋點!T203)</f>
        <v>5</v>
      </c>
      <c r="AS203" s="6">
        <f>IF(最佳化斷筋點!U203="","",最佳化斷筋點!U203)</f>
        <v>6</v>
      </c>
      <c r="AT203" s="6">
        <f>IF(最佳化斷筋點!V203="","",最佳化斷筋點!V203)</f>
        <v>7</v>
      </c>
      <c r="AU203" s="6">
        <f>IF(最佳化斷筋點!W203="","",最佳化斷筋點!W203)</f>
        <v>8</v>
      </c>
      <c r="AV203" s="6">
        <f>IF(最佳化斷筋點!X203="","",最佳化斷筋點!X203)</f>
        <v>8</v>
      </c>
      <c r="AX203" s="6" t="s">
        <v>50</v>
      </c>
      <c r="AY203" s="6">
        <v>7</v>
      </c>
      <c r="AZ203" s="6">
        <v>7</v>
      </c>
      <c r="BA203" s="6">
        <v>6</v>
      </c>
      <c r="BB203" s="6">
        <v>5</v>
      </c>
      <c r="BC203" s="6">
        <v>5</v>
      </c>
      <c r="BD203" s="6">
        <v>4</v>
      </c>
      <c r="BE203" s="6">
        <v>3</v>
      </c>
      <c r="BF203" s="6">
        <v>3</v>
      </c>
      <c r="BG203" s="6">
        <v>2</v>
      </c>
      <c r="BH203" s="6">
        <v>2</v>
      </c>
      <c r="BI203" s="6">
        <v>2</v>
      </c>
      <c r="BJ203" s="6">
        <v>2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</row>
    <row r="204" spans="4:71" x14ac:dyDescent="0.25">
      <c r="E204" s="6">
        <f t="shared" si="64"/>
        <v>0</v>
      </c>
      <c r="F204" s="6">
        <f t="shared" si="65"/>
        <v>0</v>
      </c>
      <c r="G204" s="6">
        <f t="shared" si="66"/>
        <v>0</v>
      </c>
      <c r="H204" s="6">
        <f t="shared" si="67"/>
        <v>0</v>
      </c>
      <c r="I204" s="6">
        <f t="shared" si="68"/>
        <v>0</v>
      </c>
      <c r="J204" s="6">
        <f t="shared" si="69"/>
        <v>0</v>
      </c>
      <c r="K204" s="6">
        <f t="shared" si="70"/>
        <v>0</v>
      </c>
      <c r="L204" s="6">
        <f t="shared" si="71"/>
        <v>0</v>
      </c>
      <c r="M204" s="6">
        <f t="shared" si="72"/>
        <v>0</v>
      </c>
      <c r="N204" s="6">
        <f t="shared" si="73"/>
        <v>0</v>
      </c>
      <c r="O204" s="6">
        <f t="shared" si="74"/>
        <v>0</v>
      </c>
      <c r="P204" s="6">
        <f t="shared" si="75"/>
        <v>0</v>
      </c>
      <c r="Q204" s="6">
        <f t="shared" si="76"/>
        <v>0</v>
      </c>
      <c r="R204" s="6">
        <f t="shared" si="77"/>
        <v>0</v>
      </c>
      <c r="S204" s="6">
        <f t="shared" si="78"/>
        <v>0</v>
      </c>
      <c r="T204" s="6">
        <f t="shared" si="79"/>
        <v>0</v>
      </c>
      <c r="U204" s="6">
        <f t="shared" si="80"/>
        <v>0</v>
      </c>
      <c r="V204" s="6">
        <f t="shared" si="81"/>
        <v>0</v>
      </c>
      <c r="W204" s="6">
        <f t="shared" si="82"/>
        <v>0</v>
      </c>
      <c r="X204" s="6">
        <f t="shared" si="83"/>
        <v>0</v>
      </c>
      <c r="Y204" s="6">
        <f t="shared" si="84"/>
        <v>0</v>
      </c>
      <c r="AA204" s="6" t="str">
        <f>IF(最佳化斷筋點!C204="","",最佳化斷筋點!C204)</f>
        <v/>
      </c>
      <c r="AB204" s="6" t="str">
        <f>IF(最佳化斷筋點!D204="","",最佳化斷筋點!D204)</f>
        <v/>
      </c>
      <c r="AC204" s="6" t="str">
        <f>IF(最佳化斷筋點!E204="","",最佳化斷筋點!E204)</f>
        <v/>
      </c>
      <c r="AD204" s="6" t="str">
        <f>IF(最佳化斷筋點!F204="","",最佳化斷筋點!F204)</f>
        <v/>
      </c>
      <c r="AE204" s="6" t="str">
        <f>IF(最佳化斷筋點!G204="","",最佳化斷筋點!G204)</f>
        <v/>
      </c>
      <c r="AF204" s="6" t="str">
        <f>IF(最佳化斷筋點!H204="","",最佳化斷筋點!H204)</f>
        <v/>
      </c>
      <c r="AG204" s="6" t="str">
        <f>IF(最佳化斷筋點!I204="","",最佳化斷筋點!I204)</f>
        <v/>
      </c>
      <c r="AH204" s="6" t="str">
        <f>IF(最佳化斷筋點!J204="","",最佳化斷筋點!J204)</f>
        <v/>
      </c>
      <c r="AI204" s="6" t="str">
        <f>IF(最佳化斷筋點!K204="","",最佳化斷筋點!K204)</f>
        <v/>
      </c>
      <c r="AJ204" s="6" t="str">
        <f>IF(最佳化斷筋點!L204="","",最佳化斷筋點!L204)</f>
        <v/>
      </c>
      <c r="AK204" s="6" t="str">
        <f>IF(最佳化斷筋點!M204="","",最佳化斷筋點!M204)</f>
        <v/>
      </c>
      <c r="AL204" s="6" t="str">
        <f>IF(最佳化斷筋點!N204="","",最佳化斷筋點!N204)</f>
        <v/>
      </c>
      <c r="AM204" s="6" t="str">
        <f>IF(最佳化斷筋點!O204="","",最佳化斷筋點!O204)</f>
        <v/>
      </c>
      <c r="AN204" s="6" t="str">
        <f>IF(最佳化斷筋點!P204="","",最佳化斷筋點!P204)</f>
        <v/>
      </c>
      <c r="AO204" s="6" t="str">
        <f>IF(最佳化斷筋點!Q204="","",最佳化斷筋點!Q204)</f>
        <v/>
      </c>
      <c r="AP204" s="6" t="str">
        <f>IF(最佳化斷筋點!R204="","",最佳化斷筋點!R204)</f>
        <v/>
      </c>
      <c r="AQ204" s="6" t="str">
        <f>IF(最佳化斷筋點!S204="","",最佳化斷筋點!S204)</f>
        <v/>
      </c>
      <c r="AR204" s="6" t="str">
        <f>IF(最佳化斷筋點!T204="","",最佳化斷筋點!T204)</f>
        <v/>
      </c>
      <c r="AS204" s="6" t="str">
        <f>IF(最佳化斷筋點!U204="","",最佳化斷筋點!U204)</f>
        <v/>
      </c>
      <c r="AT204" s="6" t="str">
        <f>IF(最佳化斷筋點!V204="","",最佳化斷筋點!V204)</f>
        <v/>
      </c>
      <c r="AU204" s="6" t="str">
        <f>IF(最佳化斷筋點!W204="","",最佳化斷筋點!W204)</f>
        <v/>
      </c>
      <c r="AV204" s="6" t="str">
        <f>IF(最佳化斷筋點!X204="","",最佳化斷筋點!X204)</f>
        <v/>
      </c>
    </row>
    <row r="205" spans="4:71" x14ac:dyDescent="0.25">
      <c r="D205" s="6" t="s">
        <v>51</v>
      </c>
      <c r="E205" s="6">
        <f t="shared" si="64"/>
        <v>0</v>
      </c>
      <c r="F205" s="6">
        <f t="shared" si="65"/>
        <v>0</v>
      </c>
      <c r="G205" s="6">
        <f t="shared" si="66"/>
        <v>0</v>
      </c>
      <c r="H205" s="6">
        <f t="shared" si="67"/>
        <v>0</v>
      </c>
      <c r="I205" s="6">
        <f t="shared" si="68"/>
        <v>0</v>
      </c>
      <c r="J205" s="6">
        <f t="shared" si="69"/>
        <v>0</v>
      </c>
      <c r="K205" s="6">
        <f t="shared" si="70"/>
        <v>0</v>
      </c>
      <c r="L205" s="6">
        <f t="shared" si="71"/>
        <v>0</v>
      </c>
      <c r="M205" s="6">
        <f t="shared" si="72"/>
        <v>0</v>
      </c>
      <c r="N205" s="6">
        <f t="shared" si="73"/>
        <v>0</v>
      </c>
      <c r="O205" s="6">
        <f t="shared" si="74"/>
        <v>0</v>
      </c>
      <c r="P205" s="6">
        <f t="shared" si="75"/>
        <v>0</v>
      </c>
      <c r="Q205" s="6">
        <f t="shared" si="76"/>
        <v>0</v>
      </c>
      <c r="R205" s="6">
        <f t="shared" si="77"/>
        <v>0</v>
      </c>
      <c r="S205" s="6">
        <f t="shared" si="78"/>
        <v>0</v>
      </c>
      <c r="T205" s="6">
        <f t="shared" si="79"/>
        <v>0</v>
      </c>
      <c r="U205" s="6">
        <f t="shared" si="80"/>
        <v>0</v>
      </c>
      <c r="V205" s="6">
        <f t="shared" si="81"/>
        <v>0</v>
      </c>
      <c r="W205" s="6">
        <f t="shared" si="82"/>
        <v>0</v>
      </c>
      <c r="X205" s="6">
        <f t="shared" si="83"/>
        <v>0</v>
      </c>
      <c r="Y205" s="6">
        <f t="shared" si="84"/>
        <v>0</v>
      </c>
      <c r="AA205" s="6" t="str">
        <f>IF(最佳化斷筋點!C205="","",最佳化斷筋點!C205)</f>
        <v>下層</v>
      </c>
      <c r="AB205" s="6">
        <f>IF(最佳化斷筋點!D205="","",最佳化斷筋點!D205)</f>
        <v>5</v>
      </c>
      <c r="AC205" s="6">
        <f>IF(最佳化斷筋點!E205="","",最佳化斷筋點!E205)</f>
        <v>5</v>
      </c>
      <c r="AD205" s="6">
        <f>IF(最佳化斷筋點!F205="","",最佳化斷筋點!F205)</f>
        <v>4</v>
      </c>
      <c r="AE205" s="6">
        <f>IF(最佳化斷筋點!G205="","",最佳化斷筋點!G205)</f>
        <v>4</v>
      </c>
      <c r="AF205" s="6">
        <f>IF(最佳化斷筋點!H205="","",最佳化斷筋點!H205)</f>
        <v>4</v>
      </c>
      <c r="AG205" s="6">
        <f>IF(最佳化斷筋點!I205="","",最佳化斷筋點!I205)</f>
        <v>4</v>
      </c>
      <c r="AH205" s="6">
        <f>IF(最佳化斷筋點!J205="","",最佳化斷筋點!J205)</f>
        <v>5</v>
      </c>
      <c r="AI205" s="6">
        <f>IF(最佳化斷筋點!K205="","",最佳化斷筋點!K205)</f>
        <v>5</v>
      </c>
      <c r="AJ205" s="6">
        <f>IF(最佳化斷筋點!L205="","",最佳化斷筋點!L205)</f>
        <v>5</v>
      </c>
      <c r="AK205" s="6">
        <f>IF(最佳化斷筋點!M205="","",最佳化斷筋點!M205)</f>
        <v>5</v>
      </c>
      <c r="AL205" s="6">
        <f>IF(最佳化斷筋點!N205="","",最佳化斷筋點!N205)</f>
        <v>5</v>
      </c>
      <c r="AM205" s="6">
        <f>IF(最佳化斷筋點!O205="","",最佳化斷筋點!O205)</f>
        <v>5</v>
      </c>
      <c r="AN205" s="6">
        <f>IF(最佳化斷筋點!P205="","",最佳化斷筋點!P205)</f>
        <v>5</v>
      </c>
      <c r="AO205" s="6">
        <f>IF(最佳化斷筋點!Q205="","",最佳化斷筋點!Q205)</f>
        <v>5</v>
      </c>
      <c r="AP205" s="6">
        <f>IF(最佳化斷筋點!R205="","",最佳化斷筋點!R205)</f>
        <v>5</v>
      </c>
      <c r="AQ205" s="6">
        <f>IF(最佳化斷筋點!S205="","",最佳化斷筋點!S205)</f>
        <v>4</v>
      </c>
      <c r="AR205" s="6">
        <f>IF(最佳化斷筋點!T205="","",最佳化斷筋點!T205)</f>
        <v>4</v>
      </c>
      <c r="AS205" s="6">
        <f>IF(最佳化斷筋點!U205="","",最佳化斷筋點!U205)</f>
        <v>4</v>
      </c>
      <c r="AT205" s="6">
        <f>IF(最佳化斷筋點!V205="","",最佳化斷筋點!V205)</f>
        <v>4</v>
      </c>
      <c r="AU205" s="6">
        <f>IF(最佳化斷筋點!W205="","",最佳化斷筋點!W205)</f>
        <v>5</v>
      </c>
      <c r="AV205" s="6">
        <f>IF(最佳化斷筋點!X205="","",最佳化斷筋點!X205)</f>
        <v>5</v>
      </c>
      <c r="AX205" s="6" t="s">
        <v>51</v>
      </c>
      <c r="AY205" s="6">
        <v>5</v>
      </c>
      <c r="AZ205" s="6">
        <v>5</v>
      </c>
      <c r="BA205" s="6">
        <v>4</v>
      </c>
      <c r="BB205" s="6">
        <v>4</v>
      </c>
      <c r="BC205" s="6">
        <v>4</v>
      </c>
      <c r="BD205" s="6">
        <v>4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4</v>
      </c>
      <c r="BO205" s="6">
        <v>4</v>
      </c>
      <c r="BP205" s="6">
        <v>4</v>
      </c>
      <c r="BQ205" s="6">
        <v>4</v>
      </c>
      <c r="BR205" s="6">
        <v>5</v>
      </c>
      <c r="BS205" s="6">
        <v>5</v>
      </c>
    </row>
    <row r="206" spans="4:71" x14ac:dyDescent="0.25">
      <c r="E206" s="6">
        <f t="shared" si="64"/>
        <v>0</v>
      </c>
      <c r="F206" s="6">
        <f t="shared" si="65"/>
        <v>0</v>
      </c>
      <c r="G206" s="6">
        <f t="shared" si="66"/>
        <v>0</v>
      </c>
      <c r="H206" s="6">
        <f t="shared" si="67"/>
        <v>0</v>
      </c>
      <c r="I206" s="6">
        <f t="shared" si="68"/>
        <v>0</v>
      </c>
      <c r="J206" s="6">
        <f t="shared" si="69"/>
        <v>0</v>
      </c>
      <c r="K206" s="6">
        <f t="shared" si="70"/>
        <v>0</v>
      </c>
      <c r="L206" s="6">
        <f t="shared" si="71"/>
        <v>0</v>
      </c>
      <c r="M206" s="6">
        <f t="shared" si="72"/>
        <v>0</v>
      </c>
      <c r="N206" s="6">
        <f t="shared" si="73"/>
        <v>0</v>
      </c>
      <c r="O206" s="6">
        <f t="shared" si="74"/>
        <v>0</v>
      </c>
      <c r="P206" s="6">
        <f t="shared" si="75"/>
        <v>0</v>
      </c>
      <c r="Q206" s="6">
        <f t="shared" si="76"/>
        <v>0</v>
      </c>
      <c r="R206" s="6">
        <f t="shared" si="77"/>
        <v>0</v>
      </c>
      <c r="S206" s="6">
        <f t="shared" si="78"/>
        <v>0</v>
      </c>
      <c r="T206" s="6">
        <f t="shared" si="79"/>
        <v>0</v>
      </c>
      <c r="U206" s="6">
        <f t="shared" si="80"/>
        <v>0</v>
      </c>
      <c r="V206" s="6">
        <f t="shared" si="81"/>
        <v>0</v>
      </c>
      <c r="W206" s="6">
        <f t="shared" si="82"/>
        <v>0</v>
      </c>
      <c r="X206" s="6">
        <f t="shared" si="83"/>
        <v>0</v>
      </c>
      <c r="Y206" s="6">
        <f t="shared" si="84"/>
        <v>0</v>
      </c>
      <c r="AA206" s="6" t="str">
        <f>IF(最佳化斷筋點!C206="","",最佳化斷筋點!C206)</f>
        <v/>
      </c>
      <c r="AB206" s="6" t="str">
        <f>IF(最佳化斷筋點!D206="","",最佳化斷筋點!D206)</f>
        <v/>
      </c>
      <c r="AC206" s="6" t="str">
        <f>IF(最佳化斷筋點!E206="","",最佳化斷筋點!E206)</f>
        <v/>
      </c>
      <c r="AD206" s="6" t="str">
        <f>IF(最佳化斷筋點!F206="","",最佳化斷筋點!F206)</f>
        <v/>
      </c>
      <c r="AE206" s="6" t="str">
        <f>IF(最佳化斷筋點!G206="","",最佳化斷筋點!G206)</f>
        <v/>
      </c>
      <c r="AF206" s="6" t="str">
        <f>IF(最佳化斷筋點!H206="","",最佳化斷筋點!H206)</f>
        <v/>
      </c>
      <c r="AG206" s="6" t="str">
        <f>IF(最佳化斷筋點!I206="","",最佳化斷筋點!I206)</f>
        <v/>
      </c>
      <c r="AH206" s="6" t="str">
        <f>IF(最佳化斷筋點!J206="","",最佳化斷筋點!J206)</f>
        <v/>
      </c>
      <c r="AI206" s="6" t="str">
        <f>IF(最佳化斷筋點!K206="","",最佳化斷筋點!K206)</f>
        <v/>
      </c>
      <c r="AJ206" s="6" t="str">
        <f>IF(最佳化斷筋點!L206="","",最佳化斷筋點!L206)</f>
        <v/>
      </c>
      <c r="AK206" s="6" t="str">
        <f>IF(最佳化斷筋點!M206="","",最佳化斷筋點!M206)</f>
        <v/>
      </c>
      <c r="AL206" s="6" t="str">
        <f>IF(最佳化斷筋點!N206="","",最佳化斷筋點!N206)</f>
        <v/>
      </c>
      <c r="AM206" s="6" t="str">
        <f>IF(最佳化斷筋點!O206="","",最佳化斷筋點!O206)</f>
        <v/>
      </c>
      <c r="AN206" s="6" t="str">
        <f>IF(最佳化斷筋點!P206="","",最佳化斷筋點!P206)</f>
        <v/>
      </c>
      <c r="AO206" s="6" t="str">
        <f>IF(最佳化斷筋點!Q206="","",最佳化斷筋點!Q206)</f>
        <v/>
      </c>
      <c r="AP206" s="6" t="str">
        <f>IF(最佳化斷筋點!R206="","",最佳化斷筋點!R206)</f>
        <v/>
      </c>
      <c r="AQ206" s="6" t="str">
        <f>IF(最佳化斷筋點!S206="","",最佳化斷筋點!S206)</f>
        <v/>
      </c>
      <c r="AR206" s="6" t="str">
        <f>IF(最佳化斷筋點!T206="","",最佳化斷筋點!T206)</f>
        <v/>
      </c>
      <c r="AS206" s="6" t="str">
        <f>IF(最佳化斷筋點!U206="","",最佳化斷筋點!U206)</f>
        <v/>
      </c>
      <c r="AT206" s="6" t="str">
        <f>IF(最佳化斷筋點!V206="","",最佳化斷筋點!V206)</f>
        <v/>
      </c>
      <c r="AU206" s="6" t="str">
        <f>IF(最佳化斷筋點!W206="","",最佳化斷筋點!W206)</f>
        <v/>
      </c>
      <c r="AV206" s="6" t="str">
        <f>IF(最佳化斷筋點!X206="","",最佳化斷筋點!X206)</f>
        <v/>
      </c>
    </row>
    <row r="207" spans="4:71" x14ac:dyDescent="0.25">
      <c r="D207" s="6" t="s">
        <v>50</v>
      </c>
      <c r="E207" s="6">
        <f t="shared" si="64"/>
        <v>0</v>
      </c>
      <c r="F207" s="6">
        <f t="shared" si="65"/>
        <v>0</v>
      </c>
      <c r="G207" s="6">
        <f t="shared" si="66"/>
        <v>0</v>
      </c>
      <c r="H207" s="6">
        <f t="shared" si="67"/>
        <v>0</v>
      </c>
      <c r="I207" s="6">
        <f t="shared" si="68"/>
        <v>0</v>
      </c>
      <c r="J207" s="6">
        <f t="shared" si="69"/>
        <v>0</v>
      </c>
      <c r="K207" s="6">
        <f t="shared" si="70"/>
        <v>0</v>
      </c>
      <c r="L207" s="6">
        <f t="shared" si="71"/>
        <v>0</v>
      </c>
      <c r="M207" s="6">
        <f t="shared" si="72"/>
        <v>0</v>
      </c>
      <c r="N207" s="6">
        <f t="shared" si="73"/>
        <v>0</v>
      </c>
      <c r="O207" s="6">
        <f t="shared" si="74"/>
        <v>0</v>
      </c>
      <c r="P207" s="6">
        <f t="shared" si="75"/>
        <v>0</v>
      </c>
      <c r="Q207" s="6">
        <f t="shared" si="76"/>
        <v>0</v>
      </c>
      <c r="R207" s="6">
        <f t="shared" si="77"/>
        <v>0</v>
      </c>
      <c r="S207" s="6">
        <f t="shared" si="78"/>
        <v>0</v>
      </c>
      <c r="T207" s="6">
        <f t="shared" si="79"/>
        <v>0</v>
      </c>
      <c r="U207" s="6">
        <f t="shared" si="80"/>
        <v>0</v>
      </c>
      <c r="V207" s="6">
        <f t="shared" si="81"/>
        <v>0</v>
      </c>
      <c r="W207" s="6">
        <f t="shared" si="82"/>
        <v>0</v>
      </c>
      <c r="X207" s="6">
        <f t="shared" si="83"/>
        <v>0</v>
      </c>
      <c r="Y207" s="6">
        <f t="shared" si="84"/>
        <v>0</v>
      </c>
      <c r="AA207" s="6" t="str">
        <f>IF(最佳化斷筋點!C207="","",最佳化斷筋點!C207)</f>
        <v>上層</v>
      </c>
      <c r="AB207" s="6">
        <f>IF(最佳化斷筋點!D207="","",最佳化斷筋點!D207)</f>
        <v>8</v>
      </c>
      <c r="AC207" s="6">
        <f>IF(最佳化斷筋點!E207="","",最佳化斷筋點!E207)</f>
        <v>8</v>
      </c>
      <c r="AD207" s="6">
        <f>IF(最佳化斷筋點!F207="","",最佳化斷筋點!F207)</f>
        <v>7</v>
      </c>
      <c r="AE207" s="6">
        <f>IF(最佳化斷筋點!G207="","",最佳化斷筋點!G207)</f>
        <v>6</v>
      </c>
      <c r="AF207" s="6">
        <f>IF(最佳化斷筋點!H207="","",最佳化斷筋點!H207)</f>
        <v>5</v>
      </c>
      <c r="AG207" s="6">
        <f>IF(最佳化斷筋點!I207="","",最佳化斷筋點!I207)</f>
        <v>5</v>
      </c>
      <c r="AH207" s="6">
        <f>IF(最佳化斷筋點!J207="","",最佳化斷筋點!J207)</f>
        <v>4</v>
      </c>
      <c r="AI207" s="6">
        <f>IF(最佳化斷筋點!K207="","",最佳化斷筋點!K207)</f>
        <v>3</v>
      </c>
      <c r="AJ207" s="6">
        <f>IF(最佳化斷筋點!L207="","",最佳化斷筋點!L207)</f>
        <v>2</v>
      </c>
      <c r="AK207" s="6">
        <f>IF(最佳化斷筋點!M207="","",最佳化斷筋點!M207)</f>
        <v>2</v>
      </c>
      <c r="AL207" s="6">
        <f>IF(最佳化斷筋點!N207="","",最佳化斷筋點!N207)</f>
        <v>2</v>
      </c>
      <c r="AM207" s="6">
        <f>IF(最佳化斷筋點!O207="","",最佳化斷筋點!O207)</f>
        <v>2</v>
      </c>
      <c r="AN207" s="6">
        <f>IF(最佳化斷筋點!P207="","",最佳化斷筋點!P207)</f>
        <v>2</v>
      </c>
      <c r="AO207" s="6">
        <f>IF(最佳化斷筋點!Q207="","",最佳化斷筋點!Q207)</f>
        <v>4</v>
      </c>
      <c r="AP207" s="6">
        <f>IF(最佳化斷筋點!R207="","",最佳化斷筋點!R207)</f>
        <v>4</v>
      </c>
      <c r="AQ207" s="6">
        <f>IF(最佳化斷筋點!S207="","",最佳化斷筋點!S207)</f>
        <v>5</v>
      </c>
      <c r="AR207" s="6">
        <f>IF(最佳化斷筋點!T207="","",最佳化斷筋點!T207)</f>
        <v>6</v>
      </c>
      <c r="AS207" s="6">
        <f>IF(最佳化斷筋點!U207="","",最佳化斷筋點!U207)</f>
        <v>7</v>
      </c>
      <c r="AT207" s="6">
        <f>IF(最佳化斷筋點!V207="","",最佳化斷筋點!V207)</f>
        <v>8</v>
      </c>
      <c r="AU207" s="6">
        <f>IF(最佳化斷筋點!W207="","",最佳化斷筋點!W207)</f>
        <v>9</v>
      </c>
      <c r="AV207" s="6">
        <f>IF(最佳化斷筋點!X207="","",最佳化斷筋點!X207)</f>
        <v>10</v>
      </c>
      <c r="AX207" s="6" t="s">
        <v>50</v>
      </c>
      <c r="AY207" s="6">
        <v>8</v>
      </c>
      <c r="AZ207" s="6">
        <v>8</v>
      </c>
      <c r="BA207" s="6">
        <v>7</v>
      </c>
      <c r="BB207" s="6">
        <v>6</v>
      </c>
      <c r="BC207" s="6">
        <v>5</v>
      </c>
      <c r="BD207" s="6">
        <v>5</v>
      </c>
      <c r="BE207" s="6">
        <v>4</v>
      </c>
      <c r="BF207" s="6">
        <v>3</v>
      </c>
      <c r="BG207" s="6">
        <v>2</v>
      </c>
      <c r="BH207" s="6">
        <v>2</v>
      </c>
      <c r="BI207" s="6">
        <v>2</v>
      </c>
      <c r="BJ207" s="6">
        <v>2</v>
      </c>
      <c r="BK207" s="6">
        <v>2</v>
      </c>
      <c r="BL207" s="6">
        <v>4</v>
      </c>
      <c r="BM207" s="6">
        <v>4</v>
      </c>
      <c r="BN207" s="6">
        <v>5</v>
      </c>
      <c r="BO207" s="6">
        <v>6</v>
      </c>
      <c r="BP207" s="6">
        <v>7</v>
      </c>
      <c r="BQ207" s="6">
        <v>8</v>
      </c>
      <c r="BR207" s="6">
        <v>9</v>
      </c>
      <c r="BS207" s="6">
        <v>10</v>
      </c>
    </row>
    <row r="208" spans="4:71" x14ac:dyDescent="0.25">
      <c r="E208" s="6">
        <f t="shared" si="64"/>
        <v>0</v>
      </c>
      <c r="F208" s="6">
        <f t="shared" si="65"/>
        <v>0</v>
      </c>
      <c r="G208" s="6">
        <f t="shared" si="66"/>
        <v>0</v>
      </c>
      <c r="H208" s="6">
        <f t="shared" si="67"/>
        <v>0</v>
      </c>
      <c r="I208" s="6">
        <f t="shared" si="68"/>
        <v>0</v>
      </c>
      <c r="J208" s="6">
        <f t="shared" si="69"/>
        <v>0</v>
      </c>
      <c r="K208" s="6">
        <f t="shared" si="70"/>
        <v>0</v>
      </c>
      <c r="L208" s="6">
        <f t="shared" si="71"/>
        <v>0</v>
      </c>
      <c r="M208" s="6">
        <f t="shared" si="72"/>
        <v>0</v>
      </c>
      <c r="N208" s="6">
        <f t="shared" si="73"/>
        <v>0</v>
      </c>
      <c r="O208" s="6">
        <f t="shared" si="74"/>
        <v>0</v>
      </c>
      <c r="P208" s="6">
        <f t="shared" si="75"/>
        <v>0</v>
      </c>
      <c r="Q208" s="6">
        <f t="shared" si="76"/>
        <v>0</v>
      </c>
      <c r="R208" s="6">
        <f t="shared" si="77"/>
        <v>0</v>
      </c>
      <c r="S208" s="6">
        <f t="shared" si="78"/>
        <v>0</v>
      </c>
      <c r="T208" s="6">
        <f t="shared" si="79"/>
        <v>0</v>
      </c>
      <c r="U208" s="6">
        <f t="shared" si="80"/>
        <v>0</v>
      </c>
      <c r="V208" s="6">
        <f t="shared" si="81"/>
        <v>0</v>
      </c>
      <c r="W208" s="6">
        <f t="shared" si="82"/>
        <v>0</v>
      </c>
      <c r="X208" s="6">
        <f t="shared" si="83"/>
        <v>0</v>
      </c>
      <c r="Y208" s="6">
        <f t="shared" si="84"/>
        <v>0</v>
      </c>
      <c r="AA208" s="6" t="str">
        <f>IF(最佳化斷筋點!C208="","",最佳化斷筋點!C208)</f>
        <v/>
      </c>
      <c r="AB208" s="6" t="str">
        <f>IF(最佳化斷筋點!D208="","",最佳化斷筋點!D208)</f>
        <v/>
      </c>
      <c r="AC208" s="6" t="str">
        <f>IF(最佳化斷筋點!E208="","",最佳化斷筋點!E208)</f>
        <v/>
      </c>
      <c r="AD208" s="6" t="str">
        <f>IF(最佳化斷筋點!F208="","",最佳化斷筋點!F208)</f>
        <v/>
      </c>
      <c r="AE208" s="6" t="str">
        <f>IF(最佳化斷筋點!G208="","",最佳化斷筋點!G208)</f>
        <v/>
      </c>
      <c r="AF208" s="6" t="str">
        <f>IF(最佳化斷筋點!H208="","",最佳化斷筋點!H208)</f>
        <v/>
      </c>
      <c r="AG208" s="6" t="str">
        <f>IF(最佳化斷筋點!I208="","",最佳化斷筋點!I208)</f>
        <v/>
      </c>
      <c r="AH208" s="6" t="str">
        <f>IF(最佳化斷筋點!J208="","",最佳化斷筋點!J208)</f>
        <v/>
      </c>
      <c r="AI208" s="6" t="str">
        <f>IF(最佳化斷筋點!K208="","",最佳化斷筋點!K208)</f>
        <v/>
      </c>
      <c r="AJ208" s="6" t="str">
        <f>IF(最佳化斷筋點!L208="","",最佳化斷筋點!L208)</f>
        <v/>
      </c>
      <c r="AK208" s="6" t="str">
        <f>IF(最佳化斷筋點!M208="","",最佳化斷筋點!M208)</f>
        <v/>
      </c>
      <c r="AL208" s="6" t="str">
        <f>IF(最佳化斷筋點!N208="","",最佳化斷筋點!N208)</f>
        <v/>
      </c>
      <c r="AM208" s="6" t="str">
        <f>IF(最佳化斷筋點!O208="","",最佳化斷筋點!O208)</f>
        <v/>
      </c>
      <c r="AN208" s="6" t="str">
        <f>IF(最佳化斷筋點!P208="","",最佳化斷筋點!P208)</f>
        <v/>
      </c>
      <c r="AO208" s="6" t="str">
        <f>IF(最佳化斷筋點!Q208="","",最佳化斷筋點!Q208)</f>
        <v/>
      </c>
      <c r="AP208" s="6" t="str">
        <f>IF(最佳化斷筋點!R208="","",最佳化斷筋點!R208)</f>
        <v/>
      </c>
      <c r="AQ208" s="6" t="str">
        <f>IF(最佳化斷筋點!S208="","",最佳化斷筋點!S208)</f>
        <v/>
      </c>
      <c r="AR208" s="6" t="str">
        <f>IF(最佳化斷筋點!T208="","",最佳化斷筋點!T208)</f>
        <v/>
      </c>
      <c r="AS208" s="6" t="str">
        <f>IF(最佳化斷筋點!U208="","",最佳化斷筋點!U208)</f>
        <v/>
      </c>
      <c r="AT208" s="6" t="str">
        <f>IF(最佳化斷筋點!V208="","",最佳化斷筋點!V208)</f>
        <v/>
      </c>
      <c r="AU208" s="6" t="str">
        <f>IF(最佳化斷筋點!W208="","",最佳化斷筋點!W208)</f>
        <v/>
      </c>
      <c r="AV208" s="6" t="str">
        <f>IF(最佳化斷筋點!X208="","",最佳化斷筋點!X208)</f>
        <v/>
      </c>
    </row>
    <row r="209" spans="4:71" x14ac:dyDescent="0.25">
      <c r="D209" s="6" t="s">
        <v>51</v>
      </c>
      <c r="E209" s="6">
        <f t="shared" si="64"/>
        <v>0</v>
      </c>
      <c r="F209" s="6">
        <f t="shared" si="65"/>
        <v>0</v>
      </c>
      <c r="G209" s="6">
        <f t="shared" si="66"/>
        <v>0</v>
      </c>
      <c r="H209" s="6">
        <f t="shared" si="67"/>
        <v>0</v>
      </c>
      <c r="I209" s="6">
        <f t="shared" si="68"/>
        <v>0</v>
      </c>
      <c r="J209" s="6">
        <f t="shared" si="69"/>
        <v>0</v>
      </c>
      <c r="K209" s="6">
        <f t="shared" si="70"/>
        <v>0</v>
      </c>
      <c r="L209" s="6">
        <f t="shared" si="71"/>
        <v>0</v>
      </c>
      <c r="M209" s="6">
        <f t="shared" si="72"/>
        <v>0</v>
      </c>
      <c r="N209" s="6">
        <f t="shared" si="73"/>
        <v>0</v>
      </c>
      <c r="O209" s="6">
        <f t="shared" si="74"/>
        <v>0</v>
      </c>
      <c r="P209" s="6">
        <f t="shared" si="75"/>
        <v>0</v>
      </c>
      <c r="Q209" s="6">
        <f t="shared" si="76"/>
        <v>0</v>
      </c>
      <c r="R209" s="6">
        <f t="shared" si="77"/>
        <v>0</v>
      </c>
      <c r="S209" s="6">
        <f t="shared" si="78"/>
        <v>0</v>
      </c>
      <c r="T209" s="6">
        <f t="shared" si="79"/>
        <v>0</v>
      </c>
      <c r="U209" s="6">
        <f t="shared" si="80"/>
        <v>0</v>
      </c>
      <c r="V209" s="6">
        <f t="shared" si="81"/>
        <v>0</v>
      </c>
      <c r="W209" s="6">
        <f t="shared" si="82"/>
        <v>0</v>
      </c>
      <c r="X209" s="6">
        <f t="shared" si="83"/>
        <v>0</v>
      </c>
      <c r="Y209" s="6">
        <f t="shared" si="84"/>
        <v>0</v>
      </c>
      <c r="AA209" s="6" t="str">
        <f>IF(最佳化斷筋點!C209="","",最佳化斷筋點!C209)</f>
        <v>下層</v>
      </c>
      <c r="AB209" s="6">
        <f>IF(最佳化斷筋點!D209="","",最佳化斷筋點!D209)</f>
        <v>6</v>
      </c>
      <c r="AC209" s="6">
        <f>IF(最佳化斷筋點!E209="","",最佳化斷筋點!E209)</f>
        <v>6</v>
      </c>
      <c r="AD209" s="6">
        <f>IF(最佳化斷筋點!F209="","",最佳化斷筋點!F209)</f>
        <v>5</v>
      </c>
      <c r="AE209" s="6">
        <f>IF(最佳化斷筋點!G209="","",最佳化斷筋點!G209)</f>
        <v>5</v>
      </c>
      <c r="AF209" s="6">
        <f>IF(最佳化斷筋點!H209="","",最佳化斷筋點!H209)</f>
        <v>4</v>
      </c>
      <c r="AG209" s="6">
        <f>IF(最佳化斷筋點!I209="","",最佳化斷筋點!I209)</f>
        <v>5</v>
      </c>
      <c r="AH209" s="6">
        <f>IF(最佳化斷筋點!J209="","",最佳化斷筋點!J209)</f>
        <v>6</v>
      </c>
      <c r="AI209" s="6">
        <f>IF(最佳化斷筋點!K209="","",最佳化斷筋點!K209)</f>
        <v>6</v>
      </c>
      <c r="AJ209" s="6">
        <f>IF(最佳化斷筋點!L209="","",最佳化斷筋點!L209)</f>
        <v>6</v>
      </c>
      <c r="AK209" s="6">
        <f>IF(最佳化斷筋點!M209="","",最佳化斷筋點!M209)</f>
        <v>6</v>
      </c>
      <c r="AL209" s="6">
        <f>IF(最佳化斷筋點!N209="","",最佳化斷筋點!N209)</f>
        <v>6</v>
      </c>
      <c r="AM209" s="6">
        <f>IF(最佳化斷筋點!O209="","",最佳化斷筋點!O209)</f>
        <v>6</v>
      </c>
      <c r="AN209" s="6">
        <f>IF(最佳化斷筋點!P209="","",最佳化斷筋點!P209)</f>
        <v>6</v>
      </c>
      <c r="AO209" s="6">
        <f>IF(最佳化斷筋點!Q209="","",最佳化斷筋點!Q209)</f>
        <v>6</v>
      </c>
      <c r="AP209" s="6">
        <f>IF(最佳化斷筋點!R209="","",最佳化斷筋點!R209)</f>
        <v>6</v>
      </c>
      <c r="AQ209" s="6">
        <f>IF(最佳化斷筋點!S209="","",最佳化斷筋點!S209)</f>
        <v>5</v>
      </c>
      <c r="AR209" s="6">
        <f>IF(最佳化斷筋點!T209="","",最佳化斷筋點!T209)</f>
        <v>4</v>
      </c>
      <c r="AS209" s="6">
        <f>IF(最佳化斷筋點!U209="","",最佳化斷筋點!U209)</f>
        <v>5</v>
      </c>
      <c r="AT209" s="6">
        <f>IF(最佳化斷筋點!V209="","",最佳化斷筋點!V209)</f>
        <v>5</v>
      </c>
      <c r="AU209" s="6">
        <f>IF(最佳化斷筋點!W209="","",最佳化斷筋點!W209)</f>
        <v>6</v>
      </c>
      <c r="AV209" s="6">
        <f>IF(最佳化斷筋點!X209="","",最佳化斷筋點!X209)</f>
        <v>6</v>
      </c>
      <c r="AX209" s="6" t="s">
        <v>51</v>
      </c>
      <c r="AY209" s="6">
        <v>6</v>
      </c>
      <c r="AZ209" s="6">
        <v>6</v>
      </c>
      <c r="BA209" s="6">
        <v>5</v>
      </c>
      <c r="BB209" s="6">
        <v>5</v>
      </c>
      <c r="BC209" s="6">
        <v>4</v>
      </c>
      <c r="BD209" s="6">
        <v>5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5</v>
      </c>
      <c r="BO209" s="6">
        <v>4</v>
      </c>
      <c r="BP209" s="6">
        <v>5</v>
      </c>
      <c r="BQ209" s="6">
        <v>5</v>
      </c>
      <c r="BR209" s="6">
        <v>6</v>
      </c>
      <c r="BS209" s="6">
        <v>6</v>
      </c>
    </row>
    <row r="210" spans="4:71" x14ac:dyDescent="0.25">
      <c r="E210" s="6">
        <f t="shared" si="64"/>
        <v>0</v>
      </c>
      <c r="F210" s="6">
        <f t="shared" si="65"/>
        <v>0</v>
      </c>
      <c r="G210" s="6">
        <f t="shared" si="66"/>
        <v>0</v>
      </c>
      <c r="H210" s="6">
        <f t="shared" si="67"/>
        <v>0</v>
      </c>
      <c r="I210" s="6">
        <f t="shared" si="68"/>
        <v>0</v>
      </c>
      <c r="J210" s="6">
        <f t="shared" si="69"/>
        <v>0</v>
      </c>
      <c r="K210" s="6">
        <f t="shared" si="70"/>
        <v>0</v>
      </c>
      <c r="L210" s="6">
        <f t="shared" si="71"/>
        <v>0</v>
      </c>
      <c r="M210" s="6">
        <f t="shared" si="72"/>
        <v>0</v>
      </c>
      <c r="N210" s="6">
        <f t="shared" si="73"/>
        <v>0</v>
      </c>
      <c r="O210" s="6">
        <f t="shared" si="74"/>
        <v>0</v>
      </c>
      <c r="P210" s="6">
        <f t="shared" si="75"/>
        <v>0</v>
      </c>
      <c r="Q210" s="6">
        <f t="shared" si="76"/>
        <v>0</v>
      </c>
      <c r="R210" s="6">
        <f t="shared" si="77"/>
        <v>0</v>
      </c>
      <c r="S210" s="6">
        <f t="shared" si="78"/>
        <v>0</v>
      </c>
      <c r="T210" s="6">
        <f t="shared" si="79"/>
        <v>0</v>
      </c>
      <c r="U210" s="6">
        <f t="shared" si="80"/>
        <v>0</v>
      </c>
      <c r="V210" s="6">
        <f t="shared" si="81"/>
        <v>0</v>
      </c>
      <c r="W210" s="6">
        <f t="shared" si="82"/>
        <v>0</v>
      </c>
      <c r="X210" s="6">
        <f t="shared" si="83"/>
        <v>0</v>
      </c>
      <c r="Y210" s="6">
        <f t="shared" si="84"/>
        <v>0</v>
      </c>
      <c r="AA210" s="6" t="str">
        <f>IF(最佳化斷筋點!C210="","",最佳化斷筋點!C210)</f>
        <v/>
      </c>
      <c r="AB210" s="6" t="str">
        <f>IF(最佳化斷筋點!D210="","",最佳化斷筋點!D210)</f>
        <v/>
      </c>
      <c r="AC210" s="6" t="str">
        <f>IF(最佳化斷筋點!E210="","",最佳化斷筋點!E210)</f>
        <v/>
      </c>
      <c r="AD210" s="6" t="str">
        <f>IF(最佳化斷筋點!F210="","",最佳化斷筋點!F210)</f>
        <v/>
      </c>
      <c r="AE210" s="6" t="str">
        <f>IF(最佳化斷筋點!G210="","",最佳化斷筋點!G210)</f>
        <v/>
      </c>
      <c r="AF210" s="6" t="str">
        <f>IF(最佳化斷筋點!H210="","",最佳化斷筋點!H210)</f>
        <v/>
      </c>
      <c r="AG210" s="6" t="str">
        <f>IF(最佳化斷筋點!I210="","",最佳化斷筋點!I210)</f>
        <v/>
      </c>
      <c r="AH210" s="6" t="str">
        <f>IF(最佳化斷筋點!J210="","",最佳化斷筋點!J210)</f>
        <v/>
      </c>
      <c r="AI210" s="6" t="str">
        <f>IF(最佳化斷筋點!K210="","",最佳化斷筋點!K210)</f>
        <v/>
      </c>
      <c r="AJ210" s="6" t="str">
        <f>IF(最佳化斷筋點!L210="","",最佳化斷筋點!L210)</f>
        <v/>
      </c>
      <c r="AK210" s="6" t="str">
        <f>IF(最佳化斷筋點!M210="","",最佳化斷筋點!M210)</f>
        <v/>
      </c>
      <c r="AL210" s="6" t="str">
        <f>IF(最佳化斷筋點!N210="","",最佳化斷筋點!N210)</f>
        <v/>
      </c>
      <c r="AM210" s="6" t="str">
        <f>IF(最佳化斷筋點!O210="","",最佳化斷筋點!O210)</f>
        <v/>
      </c>
      <c r="AN210" s="6" t="str">
        <f>IF(最佳化斷筋點!P210="","",最佳化斷筋點!P210)</f>
        <v/>
      </c>
      <c r="AO210" s="6" t="str">
        <f>IF(最佳化斷筋點!Q210="","",最佳化斷筋點!Q210)</f>
        <v/>
      </c>
      <c r="AP210" s="6" t="str">
        <f>IF(最佳化斷筋點!R210="","",最佳化斷筋點!R210)</f>
        <v/>
      </c>
      <c r="AQ210" s="6" t="str">
        <f>IF(最佳化斷筋點!S210="","",最佳化斷筋點!S210)</f>
        <v/>
      </c>
      <c r="AR210" s="6" t="str">
        <f>IF(最佳化斷筋點!T210="","",最佳化斷筋點!T210)</f>
        <v/>
      </c>
      <c r="AS210" s="6" t="str">
        <f>IF(最佳化斷筋點!U210="","",最佳化斷筋點!U210)</f>
        <v/>
      </c>
      <c r="AT210" s="6" t="str">
        <f>IF(最佳化斷筋點!V210="","",最佳化斷筋點!V210)</f>
        <v/>
      </c>
      <c r="AU210" s="6" t="str">
        <f>IF(最佳化斷筋點!W210="","",最佳化斷筋點!W210)</f>
        <v/>
      </c>
      <c r="AV210" s="6" t="str">
        <f>IF(最佳化斷筋點!X210="","",最佳化斷筋點!X210)</f>
        <v/>
      </c>
    </row>
    <row r="211" spans="4:71" x14ac:dyDescent="0.25">
      <c r="D211" s="6" t="s">
        <v>50</v>
      </c>
      <c r="E211" s="6">
        <f t="shared" si="64"/>
        <v>0</v>
      </c>
      <c r="F211" s="6">
        <f t="shared" si="65"/>
        <v>0</v>
      </c>
      <c r="G211" s="6">
        <f t="shared" si="66"/>
        <v>0</v>
      </c>
      <c r="H211" s="6">
        <f t="shared" si="67"/>
        <v>0</v>
      </c>
      <c r="I211" s="6">
        <f t="shared" si="68"/>
        <v>0</v>
      </c>
      <c r="J211" s="6">
        <f t="shared" si="69"/>
        <v>0</v>
      </c>
      <c r="K211" s="6">
        <f t="shared" si="70"/>
        <v>0</v>
      </c>
      <c r="L211" s="6">
        <f t="shared" si="71"/>
        <v>0</v>
      </c>
      <c r="M211" s="6">
        <f t="shared" si="72"/>
        <v>0</v>
      </c>
      <c r="N211" s="6">
        <f t="shared" si="73"/>
        <v>0</v>
      </c>
      <c r="O211" s="6">
        <f t="shared" si="74"/>
        <v>0</v>
      </c>
      <c r="P211" s="6">
        <f t="shared" si="75"/>
        <v>0</v>
      </c>
      <c r="Q211" s="6">
        <f t="shared" si="76"/>
        <v>0</v>
      </c>
      <c r="R211" s="6">
        <f t="shared" si="77"/>
        <v>0</v>
      </c>
      <c r="S211" s="6">
        <f t="shared" si="78"/>
        <v>0</v>
      </c>
      <c r="T211" s="6">
        <f t="shared" si="79"/>
        <v>0</v>
      </c>
      <c r="U211" s="6">
        <f t="shared" si="80"/>
        <v>0</v>
      </c>
      <c r="V211" s="6">
        <f t="shared" si="81"/>
        <v>0</v>
      </c>
      <c r="W211" s="6">
        <f t="shared" si="82"/>
        <v>0</v>
      </c>
      <c r="X211" s="6">
        <f t="shared" si="83"/>
        <v>0</v>
      </c>
      <c r="Y211" s="6">
        <f t="shared" si="84"/>
        <v>0</v>
      </c>
      <c r="AA211" s="6" t="str">
        <f>IF(最佳化斷筋點!C211="","",最佳化斷筋點!C211)</f>
        <v>上層</v>
      </c>
      <c r="AB211" s="6">
        <f>IF(最佳化斷筋點!D211="","",最佳化斷筋點!D211)</f>
        <v>7</v>
      </c>
      <c r="AC211" s="6">
        <f>IF(最佳化斷筋點!E211="","",最佳化斷筋點!E211)</f>
        <v>7</v>
      </c>
      <c r="AD211" s="6">
        <f>IF(最佳化斷筋點!F211="","",最佳化斷筋點!F211)</f>
        <v>6</v>
      </c>
      <c r="AE211" s="6">
        <f>IF(最佳化斷筋點!G211="","",最佳化斷筋點!G211)</f>
        <v>5</v>
      </c>
      <c r="AF211" s="6">
        <f>IF(最佳化斷筋點!H211="","",最佳化斷筋點!H211)</f>
        <v>5</v>
      </c>
      <c r="AG211" s="6">
        <f>IF(最佳化斷筋點!I211="","",最佳化斷筋點!I211)</f>
        <v>4</v>
      </c>
      <c r="AH211" s="6">
        <f>IF(最佳化斷筋點!J211="","",最佳化斷筋點!J211)</f>
        <v>3</v>
      </c>
      <c r="AI211" s="6">
        <f>IF(最佳化斷筋點!K211="","",最佳化斷筋點!K211)</f>
        <v>3</v>
      </c>
      <c r="AJ211" s="6">
        <f>IF(最佳化斷筋點!L211="","",最佳化斷筋點!L211)</f>
        <v>2</v>
      </c>
      <c r="AK211" s="6">
        <f>IF(最佳化斷筋點!M211="","",最佳化斷筋點!M211)</f>
        <v>2</v>
      </c>
      <c r="AL211" s="6">
        <f>IF(最佳化斷筋點!N211="","",最佳化斷筋點!N211)</f>
        <v>2</v>
      </c>
      <c r="AM211" s="6">
        <f>IF(最佳化斷筋點!O211="","",最佳化斷筋點!O211)</f>
        <v>2</v>
      </c>
      <c r="AN211" s="6">
        <f>IF(最佳化斷筋點!P211="","",最佳化斷筋點!P211)</f>
        <v>2</v>
      </c>
      <c r="AO211" s="6">
        <f>IF(最佳化斷筋點!Q211="","",最佳化斷筋點!Q211)</f>
        <v>3</v>
      </c>
      <c r="AP211" s="6">
        <f>IF(最佳化斷筋點!R211="","",最佳化斷筋點!R211)</f>
        <v>4</v>
      </c>
      <c r="AQ211" s="6">
        <f>IF(最佳化斷筋點!S211="","",最佳化斷筋點!S211)</f>
        <v>4</v>
      </c>
      <c r="AR211" s="6">
        <f>IF(最佳化斷筋點!T211="","",最佳化斷筋點!T211)</f>
        <v>5</v>
      </c>
      <c r="AS211" s="6">
        <f>IF(最佳化斷筋點!U211="","",最佳化斷筋點!U211)</f>
        <v>6</v>
      </c>
      <c r="AT211" s="6">
        <f>IF(最佳化斷筋點!V211="","",最佳化斷筋點!V211)</f>
        <v>7</v>
      </c>
      <c r="AU211" s="6">
        <f>IF(最佳化斷筋點!W211="","",最佳化斷筋點!W211)</f>
        <v>8</v>
      </c>
      <c r="AV211" s="6">
        <f>IF(最佳化斷筋點!X211="","",最佳化斷筋點!X211)</f>
        <v>8</v>
      </c>
      <c r="AX211" s="6" t="s">
        <v>50</v>
      </c>
      <c r="AY211" s="6">
        <v>7</v>
      </c>
      <c r="AZ211" s="6">
        <v>7</v>
      </c>
      <c r="BA211" s="6">
        <v>6</v>
      </c>
      <c r="BB211" s="6">
        <v>5</v>
      </c>
      <c r="BC211" s="6">
        <v>5</v>
      </c>
      <c r="BD211" s="6">
        <v>4</v>
      </c>
      <c r="BE211" s="6">
        <v>3</v>
      </c>
      <c r="BF211" s="6">
        <v>3</v>
      </c>
      <c r="BG211" s="6">
        <v>2</v>
      </c>
      <c r="BH211" s="6">
        <v>2</v>
      </c>
      <c r="BI211" s="6">
        <v>2</v>
      </c>
      <c r="BJ211" s="6">
        <v>2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</row>
    <row r="212" spans="4:71" x14ac:dyDescent="0.25">
      <c r="E212" s="6">
        <f t="shared" si="64"/>
        <v>0</v>
      </c>
      <c r="F212" s="6">
        <f t="shared" si="65"/>
        <v>0</v>
      </c>
      <c r="G212" s="6">
        <f t="shared" si="66"/>
        <v>0</v>
      </c>
      <c r="H212" s="6">
        <f t="shared" si="67"/>
        <v>0</v>
      </c>
      <c r="I212" s="6">
        <f t="shared" si="68"/>
        <v>0</v>
      </c>
      <c r="J212" s="6">
        <f t="shared" si="69"/>
        <v>0</v>
      </c>
      <c r="K212" s="6">
        <f t="shared" si="70"/>
        <v>0</v>
      </c>
      <c r="L212" s="6">
        <f t="shared" si="71"/>
        <v>0</v>
      </c>
      <c r="M212" s="6">
        <f t="shared" si="72"/>
        <v>0</v>
      </c>
      <c r="N212" s="6">
        <f t="shared" si="73"/>
        <v>0</v>
      </c>
      <c r="O212" s="6">
        <f t="shared" si="74"/>
        <v>0</v>
      </c>
      <c r="P212" s="6">
        <f t="shared" si="75"/>
        <v>0</v>
      </c>
      <c r="Q212" s="6">
        <f t="shared" si="76"/>
        <v>0</v>
      </c>
      <c r="R212" s="6">
        <f t="shared" si="77"/>
        <v>0</v>
      </c>
      <c r="S212" s="6">
        <f t="shared" si="78"/>
        <v>0</v>
      </c>
      <c r="T212" s="6">
        <f t="shared" si="79"/>
        <v>0</v>
      </c>
      <c r="U212" s="6">
        <f t="shared" si="80"/>
        <v>0</v>
      </c>
      <c r="V212" s="6">
        <f t="shared" si="81"/>
        <v>0</v>
      </c>
      <c r="W212" s="6">
        <f t="shared" si="82"/>
        <v>0</v>
      </c>
      <c r="X212" s="6">
        <f t="shared" si="83"/>
        <v>0</v>
      </c>
      <c r="Y212" s="6">
        <f t="shared" si="84"/>
        <v>0</v>
      </c>
      <c r="AA212" s="6" t="str">
        <f>IF(最佳化斷筋點!C212="","",最佳化斷筋點!C212)</f>
        <v/>
      </c>
      <c r="AB212" s="6" t="str">
        <f>IF(最佳化斷筋點!D212="","",最佳化斷筋點!D212)</f>
        <v/>
      </c>
      <c r="AC212" s="6" t="str">
        <f>IF(最佳化斷筋點!E212="","",最佳化斷筋點!E212)</f>
        <v/>
      </c>
      <c r="AD212" s="6" t="str">
        <f>IF(最佳化斷筋點!F212="","",最佳化斷筋點!F212)</f>
        <v/>
      </c>
      <c r="AE212" s="6" t="str">
        <f>IF(最佳化斷筋點!G212="","",最佳化斷筋點!G212)</f>
        <v/>
      </c>
      <c r="AF212" s="6" t="str">
        <f>IF(最佳化斷筋點!H212="","",最佳化斷筋點!H212)</f>
        <v/>
      </c>
      <c r="AG212" s="6" t="str">
        <f>IF(最佳化斷筋點!I212="","",最佳化斷筋點!I212)</f>
        <v/>
      </c>
      <c r="AH212" s="6" t="str">
        <f>IF(最佳化斷筋點!J212="","",最佳化斷筋點!J212)</f>
        <v/>
      </c>
      <c r="AI212" s="6" t="str">
        <f>IF(最佳化斷筋點!K212="","",最佳化斷筋點!K212)</f>
        <v/>
      </c>
      <c r="AJ212" s="6" t="str">
        <f>IF(最佳化斷筋點!L212="","",最佳化斷筋點!L212)</f>
        <v/>
      </c>
      <c r="AK212" s="6" t="str">
        <f>IF(最佳化斷筋點!M212="","",最佳化斷筋點!M212)</f>
        <v/>
      </c>
      <c r="AL212" s="6" t="str">
        <f>IF(最佳化斷筋點!N212="","",最佳化斷筋點!N212)</f>
        <v/>
      </c>
      <c r="AM212" s="6" t="str">
        <f>IF(最佳化斷筋點!O212="","",最佳化斷筋點!O212)</f>
        <v/>
      </c>
      <c r="AN212" s="6" t="str">
        <f>IF(最佳化斷筋點!P212="","",最佳化斷筋點!P212)</f>
        <v/>
      </c>
      <c r="AO212" s="6" t="str">
        <f>IF(最佳化斷筋點!Q212="","",最佳化斷筋點!Q212)</f>
        <v/>
      </c>
      <c r="AP212" s="6" t="str">
        <f>IF(最佳化斷筋點!R212="","",最佳化斷筋點!R212)</f>
        <v/>
      </c>
      <c r="AQ212" s="6" t="str">
        <f>IF(最佳化斷筋點!S212="","",最佳化斷筋點!S212)</f>
        <v/>
      </c>
      <c r="AR212" s="6" t="str">
        <f>IF(最佳化斷筋點!T212="","",最佳化斷筋點!T212)</f>
        <v/>
      </c>
      <c r="AS212" s="6" t="str">
        <f>IF(最佳化斷筋點!U212="","",最佳化斷筋點!U212)</f>
        <v/>
      </c>
      <c r="AT212" s="6" t="str">
        <f>IF(最佳化斷筋點!V212="","",最佳化斷筋點!V212)</f>
        <v/>
      </c>
      <c r="AU212" s="6" t="str">
        <f>IF(最佳化斷筋點!W212="","",最佳化斷筋點!W212)</f>
        <v/>
      </c>
      <c r="AV212" s="6" t="str">
        <f>IF(最佳化斷筋點!X212="","",最佳化斷筋點!X212)</f>
        <v/>
      </c>
    </row>
    <row r="213" spans="4:71" x14ac:dyDescent="0.25">
      <c r="D213" s="6" t="s">
        <v>51</v>
      </c>
      <c r="E213" s="6">
        <f t="shared" si="64"/>
        <v>0</v>
      </c>
      <c r="F213" s="6">
        <f t="shared" si="65"/>
        <v>0</v>
      </c>
      <c r="G213" s="6">
        <f t="shared" si="66"/>
        <v>0</v>
      </c>
      <c r="H213" s="6">
        <f t="shared" si="67"/>
        <v>0</v>
      </c>
      <c r="I213" s="6">
        <f t="shared" si="68"/>
        <v>0</v>
      </c>
      <c r="J213" s="6">
        <f t="shared" si="69"/>
        <v>0</v>
      </c>
      <c r="K213" s="6">
        <f t="shared" si="70"/>
        <v>0</v>
      </c>
      <c r="L213" s="6">
        <f t="shared" si="71"/>
        <v>0</v>
      </c>
      <c r="M213" s="6">
        <f t="shared" si="72"/>
        <v>0</v>
      </c>
      <c r="N213" s="6">
        <f t="shared" si="73"/>
        <v>0</v>
      </c>
      <c r="O213" s="6">
        <f t="shared" si="74"/>
        <v>0</v>
      </c>
      <c r="P213" s="6">
        <f t="shared" si="75"/>
        <v>0</v>
      </c>
      <c r="Q213" s="6">
        <f t="shared" si="76"/>
        <v>0</v>
      </c>
      <c r="R213" s="6">
        <f t="shared" si="77"/>
        <v>0</v>
      </c>
      <c r="S213" s="6">
        <f t="shared" si="78"/>
        <v>0</v>
      </c>
      <c r="T213" s="6">
        <f t="shared" si="79"/>
        <v>0</v>
      </c>
      <c r="U213" s="6">
        <f t="shared" si="80"/>
        <v>0</v>
      </c>
      <c r="V213" s="6">
        <f t="shared" si="81"/>
        <v>0</v>
      </c>
      <c r="W213" s="6">
        <f t="shared" si="82"/>
        <v>0</v>
      </c>
      <c r="X213" s="6">
        <f t="shared" si="83"/>
        <v>0</v>
      </c>
      <c r="Y213" s="6">
        <f t="shared" si="84"/>
        <v>0</v>
      </c>
      <c r="AA213" s="6" t="str">
        <f>IF(最佳化斷筋點!C213="","",最佳化斷筋點!C213)</f>
        <v>下層</v>
      </c>
      <c r="AB213" s="6">
        <f>IF(最佳化斷筋點!D213="","",最佳化斷筋點!D213)</f>
        <v>5</v>
      </c>
      <c r="AC213" s="6">
        <f>IF(最佳化斷筋點!E213="","",最佳化斷筋點!E213)</f>
        <v>5</v>
      </c>
      <c r="AD213" s="6">
        <f>IF(最佳化斷筋點!F213="","",最佳化斷筋點!F213)</f>
        <v>4</v>
      </c>
      <c r="AE213" s="6">
        <f>IF(最佳化斷筋點!G213="","",最佳化斷筋點!G213)</f>
        <v>4</v>
      </c>
      <c r="AF213" s="6">
        <f>IF(最佳化斷筋點!H213="","",最佳化斷筋點!H213)</f>
        <v>4</v>
      </c>
      <c r="AG213" s="6">
        <f>IF(最佳化斷筋點!I213="","",最佳化斷筋點!I213)</f>
        <v>4</v>
      </c>
      <c r="AH213" s="6">
        <f>IF(最佳化斷筋點!J213="","",最佳化斷筋點!J213)</f>
        <v>5</v>
      </c>
      <c r="AI213" s="6">
        <f>IF(最佳化斷筋點!K213="","",最佳化斷筋點!K213)</f>
        <v>5</v>
      </c>
      <c r="AJ213" s="6">
        <f>IF(最佳化斷筋點!L213="","",最佳化斷筋點!L213)</f>
        <v>5</v>
      </c>
      <c r="AK213" s="6">
        <f>IF(最佳化斷筋點!M213="","",最佳化斷筋點!M213)</f>
        <v>5</v>
      </c>
      <c r="AL213" s="6">
        <f>IF(最佳化斷筋點!N213="","",最佳化斷筋點!N213)</f>
        <v>5</v>
      </c>
      <c r="AM213" s="6">
        <f>IF(最佳化斷筋點!O213="","",最佳化斷筋點!O213)</f>
        <v>5</v>
      </c>
      <c r="AN213" s="6">
        <f>IF(最佳化斷筋點!P213="","",最佳化斷筋點!P213)</f>
        <v>5</v>
      </c>
      <c r="AO213" s="6">
        <f>IF(最佳化斷筋點!Q213="","",最佳化斷筋點!Q213)</f>
        <v>5</v>
      </c>
      <c r="AP213" s="6">
        <f>IF(最佳化斷筋點!R213="","",最佳化斷筋點!R213)</f>
        <v>5</v>
      </c>
      <c r="AQ213" s="6">
        <f>IF(最佳化斷筋點!S213="","",最佳化斷筋點!S213)</f>
        <v>4</v>
      </c>
      <c r="AR213" s="6">
        <f>IF(最佳化斷筋點!T213="","",最佳化斷筋點!T213)</f>
        <v>4</v>
      </c>
      <c r="AS213" s="6">
        <f>IF(最佳化斷筋點!U213="","",最佳化斷筋點!U213)</f>
        <v>4</v>
      </c>
      <c r="AT213" s="6">
        <f>IF(最佳化斷筋點!V213="","",最佳化斷筋點!V213)</f>
        <v>4</v>
      </c>
      <c r="AU213" s="6">
        <f>IF(最佳化斷筋點!W213="","",最佳化斷筋點!W213)</f>
        <v>5</v>
      </c>
      <c r="AV213" s="6">
        <f>IF(最佳化斷筋點!X213="","",最佳化斷筋點!X213)</f>
        <v>5</v>
      </c>
      <c r="AX213" s="6" t="s">
        <v>51</v>
      </c>
      <c r="AY213" s="6">
        <v>5</v>
      </c>
      <c r="AZ213" s="6">
        <v>5</v>
      </c>
      <c r="BA213" s="6">
        <v>4</v>
      </c>
      <c r="BB213" s="6">
        <v>4</v>
      </c>
      <c r="BC213" s="6">
        <v>4</v>
      </c>
      <c r="BD213" s="6">
        <v>4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4</v>
      </c>
      <c r="BO213" s="6">
        <v>4</v>
      </c>
      <c r="BP213" s="6">
        <v>4</v>
      </c>
      <c r="BQ213" s="6">
        <v>4</v>
      </c>
      <c r="BR213" s="6">
        <v>5</v>
      </c>
      <c r="BS213" s="6">
        <v>5</v>
      </c>
    </row>
    <row r="214" spans="4:71" x14ac:dyDescent="0.25">
      <c r="E214" s="6">
        <f t="shared" si="64"/>
        <v>0</v>
      </c>
      <c r="F214" s="6">
        <f t="shared" si="65"/>
        <v>0</v>
      </c>
      <c r="G214" s="6">
        <f t="shared" si="66"/>
        <v>0</v>
      </c>
      <c r="H214" s="6">
        <f t="shared" si="67"/>
        <v>0</v>
      </c>
      <c r="I214" s="6">
        <f t="shared" si="68"/>
        <v>0</v>
      </c>
      <c r="J214" s="6">
        <f t="shared" si="69"/>
        <v>0</v>
      </c>
      <c r="K214" s="6">
        <f t="shared" si="70"/>
        <v>0</v>
      </c>
      <c r="L214" s="6">
        <f t="shared" si="71"/>
        <v>0</v>
      </c>
      <c r="M214" s="6">
        <f t="shared" si="72"/>
        <v>0</v>
      </c>
      <c r="N214" s="6">
        <f t="shared" si="73"/>
        <v>0</v>
      </c>
      <c r="O214" s="6">
        <f t="shared" si="74"/>
        <v>0</v>
      </c>
      <c r="P214" s="6">
        <f t="shared" si="75"/>
        <v>0</v>
      </c>
      <c r="Q214" s="6">
        <f t="shared" si="76"/>
        <v>0</v>
      </c>
      <c r="R214" s="6">
        <f t="shared" si="77"/>
        <v>0</v>
      </c>
      <c r="S214" s="6">
        <f t="shared" si="78"/>
        <v>0</v>
      </c>
      <c r="T214" s="6">
        <f t="shared" si="79"/>
        <v>0</v>
      </c>
      <c r="U214" s="6">
        <f t="shared" si="80"/>
        <v>0</v>
      </c>
      <c r="V214" s="6">
        <f t="shared" si="81"/>
        <v>0</v>
      </c>
      <c r="W214" s="6">
        <f t="shared" si="82"/>
        <v>0</v>
      </c>
      <c r="X214" s="6">
        <f t="shared" si="83"/>
        <v>0</v>
      </c>
      <c r="Y214" s="6">
        <f t="shared" si="84"/>
        <v>0</v>
      </c>
      <c r="AA214" s="6" t="str">
        <f>IF(最佳化斷筋點!C214="","",最佳化斷筋點!C214)</f>
        <v/>
      </c>
      <c r="AB214" s="6" t="str">
        <f>IF(最佳化斷筋點!D214="","",最佳化斷筋點!D214)</f>
        <v/>
      </c>
      <c r="AC214" s="6" t="str">
        <f>IF(最佳化斷筋點!E214="","",最佳化斷筋點!E214)</f>
        <v/>
      </c>
      <c r="AD214" s="6" t="str">
        <f>IF(最佳化斷筋點!F214="","",最佳化斷筋點!F214)</f>
        <v/>
      </c>
      <c r="AE214" s="6" t="str">
        <f>IF(最佳化斷筋點!G214="","",最佳化斷筋點!G214)</f>
        <v/>
      </c>
      <c r="AF214" s="6" t="str">
        <f>IF(最佳化斷筋點!H214="","",最佳化斷筋點!H214)</f>
        <v/>
      </c>
      <c r="AG214" s="6" t="str">
        <f>IF(最佳化斷筋點!I214="","",最佳化斷筋點!I214)</f>
        <v/>
      </c>
      <c r="AH214" s="6" t="str">
        <f>IF(最佳化斷筋點!J214="","",最佳化斷筋點!J214)</f>
        <v/>
      </c>
      <c r="AI214" s="6" t="str">
        <f>IF(最佳化斷筋點!K214="","",最佳化斷筋點!K214)</f>
        <v/>
      </c>
      <c r="AJ214" s="6" t="str">
        <f>IF(最佳化斷筋點!L214="","",最佳化斷筋點!L214)</f>
        <v/>
      </c>
      <c r="AK214" s="6" t="str">
        <f>IF(最佳化斷筋點!M214="","",最佳化斷筋點!M214)</f>
        <v/>
      </c>
      <c r="AL214" s="6" t="str">
        <f>IF(最佳化斷筋點!N214="","",最佳化斷筋點!N214)</f>
        <v/>
      </c>
      <c r="AM214" s="6" t="str">
        <f>IF(最佳化斷筋點!O214="","",最佳化斷筋點!O214)</f>
        <v/>
      </c>
      <c r="AN214" s="6" t="str">
        <f>IF(最佳化斷筋點!P214="","",最佳化斷筋點!P214)</f>
        <v/>
      </c>
      <c r="AO214" s="6" t="str">
        <f>IF(最佳化斷筋點!Q214="","",最佳化斷筋點!Q214)</f>
        <v/>
      </c>
      <c r="AP214" s="6" t="str">
        <f>IF(最佳化斷筋點!R214="","",最佳化斷筋點!R214)</f>
        <v/>
      </c>
      <c r="AQ214" s="6" t="str">
        <f>IF(最佳化斷筋點!S214="","",最佳化斷筋點!S214)</f>
        <v/>
      </c>
      <c r="AR214" s="6" t="str">
        <f>IF(最佳化斷筋點!T214="","",最佳化斷筋點!T214)</f>
        <v/>
      </c>
      <c r="AS214" s="6" t="str">
        <f>IF(最佳化斷筋點!U214="","",最佳化斷筋點!U214)</f>
        <v/>
      </c>
      <c r="AT214" s="6" t="str">
        <f>IF(最佳化斷筋點!V214="","",最佳化斷筋點!V214)</f>
        <v/>
      </c>
      <c r="AU214" s="6" t="str">
        <f>IF(最佳化斷筋點!W214="","",最佳化斷筋點!W214)</f>
        <v/>
      </c>
      <c r="AV214" s="6" t="str">
        <f>IF(最佳化斷筋點!X214="","",最佳化斷筋點!X214)</f>
        <v/>
      </c>
    </row>
    <row r="215" spans="4:71" x14ac:dyDescent="0.25">
      <c r="D215" s="6" t="s">
        <v>50</v>
      </c>
      <c r="E215" s="6">
        <f t="shared" si="64"/>
        <v>0</v>
      </c>
      <c r="F215" s="6">
        <f t="shared" si="65"/>
        <v>0</v>
      </c>
      <c r="G215" s="6">
        <f t="shared" si="66"/>
        <v>0</v>
      </c>
      <c r="H215" s="6">
        <f t="shared" si="67"/>
        <v>0</v>
      </c>
      <c r="I215" s="6">
        <f t="shared" si="68"/>
        <v>0</v>
      </c>
      <c r="J215" s="6">
        <f t="shared" si="69"/>
        <v>0</v>
      </c>
      <c r="K215" s="6">
        <f t="shared" si="70"/>
        <v>0</v>
      </c>
      <c r="L215" s="6">
        <f t="shared" si="71"/>
        <v>0</v>
      </c>
      <c r="M215" s="6">
        <f t="shared" si="72"/>
        <v>0</v>
      </c>
      <c r="N215" s="6">
        <f t="shared" si="73"/>
        <v>0</v>
      </c>
      <c r="O215" s="6">
        <f t="shared" si="74"/>
        <v>0</v>
      </c>
      <c r="P215" s="6">
        <f t="shared" si="75"/>
        <v>0</v>
      </c>
      <c r="Q215" s="6">
        <f t="shared" si="76"/>
        <v>0</v>
      </c>
      <c r="R215" s="6">
        <f t="shared" si="77"/>
        <v>0</v>
      </c>
      <c r="S215" s="6">
        <f t="shared" si="78"/>
        <v>0</v>
      </c>
      <c r="T215" s="6">
        <f t="shared" si="79"/>
        <v>0</v>
      </c>
      <c r="U215" s="6">
        <f t="shared" si="80"/>
        <v>0</v>
      </c>
      <c r="V215" s="6">
        <f t="shared" si="81"/>
        <v>0</v>
      </c>
      <c r="W215" s="6">
        <f t="shared" si="82"/>
        <v>0</v>
      </c>
      <c r="X215" s="6">
        <f t="shared" si="83"/>
        <v>0</v>
      </c>
      <c r="Y215" s="6">
        <f t="shared" si="84"/>
        <v>0</v>
      </c>
      <c r="AA215" s="6" t="str">
        <f>IF(最佳化斷筋點!C215="","",最佳化斷筋點!C215)</f>
        <v>上層</v>
      </c>
      <c r="AB215" s="6">
        <f>IF(最佳化斷筋點!D215="","",最佳化斷筋點!D215)</f>
        <v>8</v>
      </c>
      <c r="AC215" s="6">
        <f>IF(最佳化斷筋點!E215="","",最佳化斷筋點!E215)</f>
        <v>8</v>
      </c>
      <c r="AD215" s="6">
        <f>IF(最佳化斷筋點!F215="","",最佳化斷筋點!F215)</f>
        <v>7</v>
      </c>
      <c r="AE215" s="6">
        <f>IF(最佳化斷筋點!G215="","",最佳化斷筋點!G215)</f>
        <v>6</v>
      </c>
      <c r="AF215" s="6">
        <f>IF(最佳化斷筋點!H215="","",最佳化斷筋點!H215)</f>
        <v>5</v>
      </c>
      <c r="AG215" s="6">
        <f>IF(最佳化斷筋點!I215="","",最佳化斷筋點!I215)</f>
        <v>5</v>
      </c>
      <c r="AH215" s="6">
        <f>IF(最佳化斷筋點!J215="","",最佳化斷筋點!J215)</f>
        <v>4</v>
      </c>
      <c r="AI215" s="6">
        <f>IF(最佳化斷筋點!K215="","",最佳化斷筋點!K215)</f>
        <v>3</v>
      </c>
      <c r="AJ215" s="6">
        <f>IF(最佳化斷筋點!L215="","",最佳化斷筋點!L215)</f>
        <v>2</v>
      </c>
      <c r="AK215" s="6">
        <f>IF(最佳化斷筋點!M215="","",最佳化斷筋點!M215)</f>
        <v>2</v>
      </c>
      <c r="AL215" s="6">
        <f>IF(最佳化斷筋點!N215="","",最佳化斷筋點!N215)</f>
        <v>2</v>
      </c>
      <c r="AM215" s="6">
        <f>IF(最佳化斷筋點!O215="","",最佳化斷筋點!O215)</f>
        <v>2</v>
      </c>
      <c r="AN215" s="6">
        <f>IF(最佳化斷筋點!P215="","",最佳化斷筋點!P215)</f>
        <v>2</v>
      </c>
      <c r="AO215" s="6">
        <f>IF(最佳化斷筋點!Q215="","",最佳化斷筋點!Q215)</f>
        <v>4</v>
      </c>
      <c r="AP215" s="6">
        <f>IF(最佳化斷筋點!R215="","",最佳化斷筋點!R215)</f>
        <v>4</v>
      </c>
      <c r="AQ215" s="6">
        <f>IF(最佳化斷筋點!S215="","",最佳化斷筋點!S215)</f>
        <v>5</v>
      </c>
      <c r="AR215" s="6">
        <f>IF(最佳化斷筋點!T215="","",最佳化斷筋點!T215)</f>
        <v>6</v>
      </c>
      <c r="AS215" s="6">
        <f>IF(最佳化斷筋點!U215="","",最佳化斷筋點!U215)</f>
        <v>7</v>
      </c>
      <c r="AT215" s="6">
        <f>IF(最佳化斷筋點!V215="","",最佳化斷筋點!V215)</f>
        <v>8</v>
      </c>
      <c r="AU215" s="6">
        <f>IF(最佳化斷筋點!W215="","",最佳化斷筋點!W215)</f>
        <v>9</v>
      </c>
      <c r="AV215" s="6">
        <f>IF(最佳化斷筋點!X215="","",最佳化斷筋點!X215)</f>
        <v>10</v>
      </c>
      <c r="AX215" s="6" t="s">
        <v>50</v>
      </c>
      <c r="AY215" s="6">
        <v>8</v>
      </c>
      <c r="AZ215" s="6">
        <v>8</v>
      </c>
      <c r="BA215" s="6">
        <v>7</v>
      </c>
      <c r="BB215" s="6">
        <v>6</v>
      </c>
      <c r="BC215" s="6">
        <v>5</v>
      </c>
      <c r="BD215" s="6">
        <v>5</v>
      </c>
      <c r="BE215" s="6">
        <v>4</v>
      </c>
      <c r="BF215" s="6">
        <v>3</v>
      </c>
      <c r="BG215" s="6">
        <v>2</v>
      </c>
      <c r="BH215" s="6">
        <v>2</v>
      </c>
      <c r="BI215" s="6">
        <v>2</v>
      </c>
      <c r="BJ215" s="6">
        <v>2</v>
      </c>
      <c r="BK215" s="6">
        <v>2</v>
      </c>
      <c r="BL215" s="6">
        <v>4</v>
      </c>
      <c r="BM215" s="6">
        <v>4</v>
      </c>
      <c r="BN215" s="6">
        <v>5</v>
      </c>
      <c r="BO215" s="6">
        <v>6</v>
      </c>
      <c r="BP215" s="6">
        <v>7</v>
      </c>
      <c r="BQ215" s="6">
        <v>8</v>
      </c>
      <c r="BR215" s="6">
        <v>9</v>
      </c>
      <c r="BS215" s="6">
        <v>10</v>
      </c>
    </row>
    <row r="216" spans="4:71" x14ac:dyDescent="0.25">
      <c r="E216" s="6">
        <f t="shared" si="64"/>
        <v>0</v>
      </c>
      <c r="F216" s="6">
        <f t="shared" si="65"/>
        <v>0</v>
      </c>
      <c r="G216" s="6">
        <f t="shared" si="66"/>
        <v>0</v>
      </c>
      <c r="H216" s="6">
        <f t="shared" si="67"/>
        <v>0</v>
      </c>
      <c r="I216" s="6">
        <f t="shared" si="68"/>
        <v>0</v>
      </c>
      <c r="J216" s="6">
        <f t="shared" si="69"/>
        <v>0</v>
      </c>
      <c r="K216" s="6">
        <f t="shared" si="70"/>
        <v>0</v>
      </c>
      <c r="L216" s="6">
        <f t="shared" si="71"/>
        <v>0</v>
      </c>
      <c r="M216" s="6">
        <f t="shared" si="72"/>
        <v>0</v>
      </c>
      <c r="N216" s="6">
        <f t="shared" si="73"/>
        <v>0</v>
      </c>
      <c r="O216" s="6">
        <f t="shared" si="74"/>
        <v>0</v>
      </c>
      <c r="P216" s="6">
        <f t="shared" si="75"/>
        <v>0</v>
      </c>
      <c r="Q216" s="6">
        <f t="shared" si="76"/>
        <v>0</v>
      </c>
      <c r="R216" s="6">
        <f t="shared" si="77"/>
        <v>0</v>
      </c>
      <c r="S216" s="6">
        <f t="shared" si="78"/>
        <v>0</v>
      </c>
      <c r="T216" s="6">
        <f t="shared" si="79"/>
        <v>0</v>
      </c>
      <c r="U216" s="6">
        <f t="shared" si="80"/>
        <v>0</v>
      </c>
      <c r="V216" s="6">
        <f t="shared" si="81"/>
        <v>0</v>
      </c>
      <c r="W216" s="6">
        <f t="shared" si="82"/>
        <v>0</v>
      </c>
      <c r="X216" s="6">
        <f t="shared" si="83"/>
        <v>0</v>
      </c>
      <c r="Y216" s="6">
        <f t="shared" si="84"/>
        <v>0</v>
      </c>
      <c r="AA216" s="6" t="str">
        <f>IF(最佳化斷筋點!C216="","",最佳化斷筋點!C216)</f>
        <v/>
      </c>
      <c r="AB216" s="6" t="str">
        <f>IF(最佳化斷筋點!D216="","",最佳化斷筋點!D216)</f>
        <v/>
      </c>
      <c r="AC216" s="6" t="str">
        <f>IF(最佳化斷筋點!E216="","",最佳化斷筋點!E216)</f>
        <v/>
      </c>
      <c r="AD216" s="6" t="str">
        <f>IF(最佳化斷筋點!F216="","",最佳化斷筋點!F216)</f>
        <v/>
      </c>
      <c r="AE216" s="6" t="str">
        <f>IF(最佳化斷筋點!G216="","",最佳化斷筋點!G216)</f>
        <v/>
      </c>
      <c r="AF216" s="6" t="str">
        <f>IF(最佳化斷筋點!H216="","",最佳化斷筋點!H216)</f>
        <v/>
      </c>
      <c r="AG216" s="6" t="str">
        <f>IF(最佳化斷筋點!I216="","",最佳化斷筋點!I216)</f>
        <v/>
      </c>
      <c r="AH216" s="6" t="str">
        <f>IF(最佳化斷筋點!J216="","",最佳化斷筋點!J216)</f>
        <v/>
      </c>
      <c r="AI216" s="6" t="str">
        <f>IF(最佳化斷筋點!K216="","",最佳化斷筋點!K216)</f>
        <v/>
      </c>
      <c r="AJ216" s="6" t="str">
        <f>IF(最佳化斷筋點!L216="","",最佳化斷筋點!L216)</f>
        <v/>
      </c>
      <c r="AK216" s="6" t="str">
        <f>IF(最佳化斷筋點!M216="","",最佳化斷筋點!M216)</f>
        <v/>
      </c>
      <c r="AL216" s="6" t="str">
        <f>IF(最佳化斷筋點!N216="","",最佳化斷筋點!N216)</f>
        <v/>
      </c>
      <c r="AM216" s="6" t="str">
        <f>IF(最佳化斷筋點!O216="","",最佳化斷筋點!O216)</f>
        <v/>
      </c>
      <c r="AN216" s="6" t="str">
        <f>IF(最佳化斷筋點!P216="","",最佳化斷筋點!P216)</f>
        <v/>
      </c>
      <c r="AO216" s="6" t="str">
        <f>IF(最佳化斷筋點!Q216="","",最佳化斷筋點!Q216)</f>
        <v/>
      </c>
      <c r="AP216" s="6" t="str">
        <f>IF(最佳化斷筋點!R216="","",最佳化斷筋點!R216)</f>
        <v/>
      </c>
      <c r="AQ216" s="6" t="str">
        <f>IF(最佳化斷筋點!S216="","",最佳化斷筋點!S216)</f>
        <v/>
      </c>
      <c r="AR216" s="6" t="str">
        <f>IF(最佳化斷筋點!T216="","",最佳化斷筋點!T216)</f>
        <v/>
      </c>
      <c r="AS216" s="6" t="str">
        <f>IF(最佳化斷筋點!U216="","",最佳化斷筋點!U216)</f>
        <v/>
      </c>
      <c r="AT216" s="6" t="str">
        <f>IF(最佳化斷筋點!V216="","",最佳化斷筋點!V216)</f>
        <v/>
      </c>
      <c r="AU216" s="6" t="str">
        <f>IF(最佳化斷筋點!W216="","",最佳化斷筋點!W216)</f>
        <v/>
      </c>
      <c r="AV216" s="6" t="str">
        <f>IF(最佳化斷筋點!X216="","",最佳化斷筋點!X216)</f>
        <v/>
      </c>
    </row>
    <row r="217" spans="4:71" x14ac:dyDescent="0.25">
      <c r="D217" s="6" t="s">
        <v>51</v>
      </c>
      <c r="E217" s="6">
        <f t="shared" si="64"/>
        <v>0</v>
      </c>
      <c r="F217" s="6">
        <f t="shared" si="65"/>
        <v>0</v>
      </c>
      <c r="G217" s="6">
        <f t="shared" si="66"/>
        <v>0</v>
      </c>
      <c r="H217" s="6">
        <f t="shared" si="67"/>
        <v>0</v>
      </c>
      <c r="I217" s="6">
        <f t="shared" si="68"/>
        <v>0</v>
      </c>
      <c r="J217" s="6">
        <f t="shared" si="69"/>
        <v>0</v>
      </c>
      <c r="K217" s="6">
        <f t="shared" si="70"/>
        <v>0</v>
      </c>
      <c r="L217" s="6">
        <f t="shared" si="71"/>
        <v>0</v>
      </c>
      <c r="M217" s="6">
        <f t="shared" si="72"/>
        <v>0</v>
      </c>
      <c r="N217" s="6">
        <f t="shared" si="73"/>
        <v>0</v>
      </c>
      <c r="O217" s="6">
        <f t="shared" si="74"/>
        <v>0</v>
      </c>
      <c r="P217" s="6">
        <f t="shared" si="75"/>
        <v>0</v>
      </c>
      <c r="Q217" s="6">
        <f t="shared" si="76"/>
        <v>0</v>
      </c>
      <c r="R217" s="6">
        <f t="shared" si="77"/>
        <v>0</v>
      </c>
      <c r="S217" s="6">
        <f t="shared" si="78"/>
        <v>0</v>
      </c>
      <c r="T217" s="6">
        <f t="shared" si="79"/>
        <v>0</v>
      </c>
      <c r="U217" s="6">
        <f t="shared" si="80"/>
        <v>0</v>
      </c>
      <c r="V217" s="6">
        <f t="shared" si="81"/>
        <v>0</v>
      </c>
      <c r="W217" s="6">
        <f t="shared" si="82"/>
        <v>0</v>
      </c>
      <c r="X217" s="6">
        <f t="shared" si="83"/>
        <v>0</v>
      </c>
      <c r="Y217" s="6">
        <f t="shared" si="84"/>
        <v>0</v>
      </c>
      <c r="AA217" s="6" t="str">
        <f>IF(最佳化斷筋點!C217="","",最佳化斷筋點!C217)</f>
        <v>下層</v>
      </c>
      <c r="AB217" s="6">
        <f>IF(最佳化斷筋點!D217="","",最佳化斷筋點!D217)</f>
        <v>6</v>
      </c>
      <c r="AC217" s="6">
        <f>IF(最佳化斷筋點!E217="","",最佳化斷筋點!E217)</f>
        <v>6</v>
      </c>
      <c r="AD217" s="6">
        <f>IF(最佳化斷筋點!F217="","",最佳化斷筋點!F217)</f>
        <v>5</v>
      </c>
      <c r="AE217" s="6">
        <f>IF(最佳化斷筋點!G217="","",最佳化斷筋點!G217)</f>
        <v>5</v>
      </c>
      <c r="AF217" s="6">
        <f>IF(最佳化斷筋點!H217="","",最佳化斷筋點!H217)</f>
        <v>4</v>
      </c>
      <c r="AG217" s="6">
        <f>IF(最佳化斷筋點!I217="","",最佳化斷筋點!I217)</f>
        <v>5</v>
      </c>
      <c r="AH217" s="6">
        <f>IF(最佳化斷筋點!J217="","",最佳化斷筋點!J217)</f>
        <v>6</v>
      </c>
      <c r="AI217" s="6">
        <f>IF(最佳化斷筋點!K217="","",最佳化斷筋點!K217)</f>
        <v>6</v>
      </c>
      <c r="AJ217" s="6">
        <f>IF(最佳化斷筋點!L217="","",最佳化斷筋點!L217)</f>
        <v>6</v>
      </c>
      <c r="AK217" s="6">
        <f>IF(最佳化斷筋點!M217="","",最佳化斷筋點!M217)</f>
        <v>6</v>
      </c>
      <c r="AL217" s="6">
        <f>IF(最佳化斷筋點!N217="","",最佳化斷筋點!N217)</f>
        <v>6</v>
      </c>
      <c r="AM217" s="6">
        <f>IF(最佳化斷筋點!O217="","",最佳化斷筋點!O217)</f>
        <v>6</v>
      </c>
      <c r="AN217" s="6">
        <f>IF(最佳化斷筋點!P217="","",最佳化斷筋點!P217)</f>
        <v>6</v>
      </c>
      <c r="AO217" s="6">
        <f>IF(最佳化斷筋點!Q217="","",最佳化斷筋點!Q217)</f>
        <v>6</v>
      </c>
      <c r="AP217" s="6">
        <f>IF(最佳化斷筋點!R217="","",最佳化斷筋點!R217)</f>
        <v>6</v>
      </c>
      <c r="AQ217" s="6">
        <f>IF(最佳化斷筋點!S217="","",最佳化斷筋點!S217)</f>
        <v>5</v>
      </c>
      <c r="AR217" s="6">
        <f>IF(最佳化斷筋點!T217="","",最佳化斷筋點!T217)</f>
        <v>4</v>
      </c>
      <c r="AS217" s="6">
        <f>IF(最佳化斷筋點!U217="","",最佳化斷筋點!U217)</f>
        <v>5</v>
      </c>
      <c r="AT217" s="6">
        <f>IF(最佳化斷筋點!V217="","",最佳化斷筋點!V217)</f>
        <v>5</v>
      </c>
      <c r="AU217" s="6">
        <f>IF(最佳化斷筋點!W217="","",最佳化斷筋點!W217)</f>
        <v>6</v>
      </c>
      <c r="AV217" s="6">
        <f>IF(最佳化斷筋點!X217="","",最佳化斷筋點!X217)</f>
        <v>6</v>
      </c>
      <c r="AX217" s="6" t="s">
        <v>51</v>
      </c>
      <c r="AY217" s="6">
        <v>6</v>
      </c>
      <c r="AZ217" s="6">
        <v>6</v>
      </c>
      <c r="BA217" s="6">
        <v>5</v>
      </c>
      <c r="BB217" s="6">
        <v>5</v>
      </c>
      <c r="BC217" s="6">
        <v>4</v>
      </c>
      <c r="BD217" s="6">
        <v>5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5</v>
      </c>
      <c r="BO217" s="6">
        <v>4</v>
      </c>
      <c r="BP217" s="6">
        <v>5</v>
      </c>
      <c r="BQ217" s="6">
        <v>5</v>
      </c>
      <c r="BR217" s="6">
        <v>6</v>
      </c>
      <c r="BS217" s="6">
        <v>6</v>
      </c>
    </row>
    <row r="218" spans="4:71" x14ac:dyDescent="0.25">
      <c r="E218" s="6">
        <f t="shared" si="64"/>
        <v>0</v>
      </c>
      <c r="F218" s="6">
        <f t="shared" si="65"/>
        <v>0</v>
      </c>
      <c r="G218" s="6">
        <f t="shared" si="66"/>
        <v>0</v>
      </c>
      <c r="H218" s="6">
        <f t="shared" si="67"/>
        <v>0</v>
      </c>
      <c r="I218" s="6">
        <f t="shared" si="68"/>
        <v>0</v>
      </c>
      <c r="J218" s="6">
        <f t="shared" si="69"/>
        <v>0</v>
      </c>
      <c r="K218" s="6">
        <f t="shared" si="70"/>
        <v>0</v>
      </c>
      <c r="L218" s="6">
        <f t="shared" si="71"/>
        <v>0</v>
      </c>
      <c r="M218" s="6">
        <f t="shared" si="72"/>
        <v>0</v>
      </c>
      <c r="N218" s="6">
        <f t="shared" si="73"/>
        <v>0</v>
      </c>
      <c r="O218" s="6">
        <f t="shared" si="74"/>
        <v>0</v>
      </c>
      <c r="P218" s="6">
        <f t="shared" si="75"/>
        <v>0</v>
      </c>
      <c r="Q218" s="6">
        <f t="shared" si="76"/>
        <v>0</v>
      </c>
      <c r="R218" s="6">
        <f t="shared" si="77"/>
        <v>0</v>
      </c>
      <c r="S218" s="6">
        <f t="shared" si="78"/>
        <v>0</v>
      </c>
      <c r="T218" s="6">
        <f t="shared" si="79"/>
        <v>0</v>
      </c>
      <c r="U218" s="6">
        <f t="shared" si="80"/>
        <v>0</v>
      </c>
      <c r="V218" s="6">
        <f t="shared" si="81"/>
        <v>0</v>
      </c>
      <c r="W218" s="6">
        <f t="shared" si="82"/>
        <v>0</v>
      </c>
      <c r="X218" s="6">
        <f t="shared" si="83"/>
        <v>0</v>
      </c>
      <c r="Y218" s="6">
        <f t="shared" si="84"/>
        <v>0</v>
      </c>
      <c r="AA218" s="6" t="str">
        <f>IF(最佳化斷筋點!C218="","",最佳化斷筋點!C218)</f>
        <v/>
      </c>
      <c r="AB218" s="6" t="str">
        <f>IF(最佳化斷筋點!D218="","",最佳化斷筋點!D218)</f>
        <v/>
      </c>
      <c r="AC218" s="6" t="str">
        <f>IF(最佳化斷筋點!E218="","",最佳化斷筋點!E218)</f>
        <v/>
      </c>
      <c r="AD218" s="6" t="str">
        <f>IF(最佳化斷筋點!F218="","",最佳化斷筋點!F218)</f>
        <v/>
      </c>
      <c r="AE218" s="6" t="str">
        <f>IF(最佳化斷筋點!G218="","",最佳化斷筋點!G218)</f>
        <v/>
      </c>
      <c r="AF218" s="6" t="str">
        <f>IF(最佳化斷筋點!H218="","",最佳化斷筋點!H218)</f>
        <v/>
      </c>
      <c r="AG218" s="6" t="str">
        <f>IF(最佳化斷筋點!I218="","",最佳化斷筋點!I218)</f>
        <v/>
      </c>
      <c r="AH218" s="6" t="str">
        <f>IF(最佳化斷筋點!J218="","",最佳化斷筋點!J218)</f>
        <v/>
      </c>
      <c r="AI218" s="6" t="str">
        <f>IF(最佳化斷筋點!K218="","",最佳化斷筋點!K218)</f>
        <v/>
      </c>
      <c r="AJ218" s="6" t="str">
        <f>IF(最佳化斷筋點!L218="","",最佳化斷筋點!L218)</f>
        <v/>
      </c>
      <c r="AK218" s="6" t="str">
        <f>IF(最佳化斷筋點!M218="","",最佳化斷筋點!M218)</f>
        <v/>
      </c>
      <c r="AL218" s="6" t="str">
        <f>IF(最佳化斷筋點!N218="","",最佳化斷筋點!N218)</f>
        <v/>
      </c>
      <c r="AM218" s="6" t="str">
        <f>IF(最佳化斷筋點!O218="","",最佳化斷筋點!O218)</f>
        <v/>
      </c>
      <c r="AN218" s="6" t="str">
        <f>IF(最佳化斷筋點!P218="","",最佳化斷筋點!P218)</f>
        <v/>
      </c>
      <c r="AO218" s="6" t="str">
        <f>IF(最佳化斷筋點!Q218="","",最佳化斷筋點!Q218)</f>
        <v/>
      </c>
      <c r="AP218" s="6" t="str">
        <f>IF(最佳化斷筋點!R218="","",最佳化斷筋點!R218)</f>
        <v/>
      </c>
      <c r="AQ218" s="6" t="str">
        <f>IF(最佳化斷筋點!S218="","",最佳化斷筋點!S218)</f>
        <v/>
      </c>
      <c r="AR218" s="6" t="str">
        <f>IF(最佳化斷筋點!T218="","",最佳化斷筋點!T218)</f>
        <v/>
      </c>
      <c r="AS218" s="6" t="str">
        <f>IF(最佳化斷筋點!U218="","",最佳化斷筋點!U218)</f>
        <v/>
      </c>
      <c r="AT218" s="6" t="str">
        <f>IF(最佳化斷筋點!V218="","",最佳化斷筋點!V218)</f>
        <v/>
      </c>
      <c r="AU218" s="6" t="str">
        <f>IF(最佳化斷筋點!W218="","",最佳化斷筋點!W218)</f>
        <v/>
      </c>
      <c r="AV218" s="6" t="str">
        <f>IF(最佳化斷筋點!X218="","",最佳化斷筋點!X218)</f>
        <v/>
      </c>
    </row>
    <row r="219" spans="4:71" x14ac:dyDescent="0.25">
      <c r="D219" s="6" t="s">
        <v>50</v>
      </c>
      <c r="E219" s="6">
        <f t="shared" si="64"/>
        <v>0</v>
      </c>
      <c r="F219" s="6">
        <f t="shared" si="65"/>
        <v>0</v>
      </c>
      <c r="G219" s="6">
        <f t="shared" si="66"/>
        <v>0</v>
      </c>
      <c r="H219" s="6">
        <f t="shared" si="67"/>
        <v>0</v>
      </c>
      <c r="I219" s="6">
        <f t="shared" si="68"/>
        <v>0</v>
      </c>
      <c r="J219" s="6">
        <f t="shared" si="69"/>
        <v>0</v>
      </c>
      <c r="K219" s="6">
        <f t="shared" si="70"/>
        <v>0</v>
      </c>
      <c r="L219" s="6">
        <f t="shared" si="71"/>
        <v>0</v>
      </c>
      <c r="M219" s="6">
        <f t="shared" si="72"/>
        <v>0</v>
      </c>
      <c r="N219" s="6">
        <f t="shared" si="73"/>
        <v>0</v>
      </c>
      <c r="O219" s="6">
        <f t="shared" si="74"/>
        <v>0</v>
      </c>
      <c r="P219" s="6">
        <f t="shared" si="75"/>
        <v>0</v>
      </c>
      <c r="Q219" s="6">
        <f t="shared" si="76"/>
        <v>0</v>
      </c>
      <c r="R219" s="6">
        <f t="shared" si="77"/>
        <v>0</v>
      </c>
      <c r="S219" s="6">
        <f t="shared" si="78"/>
        <v>0</v>
      </c>
      <c r="T219" s="6">
        <f t="shared" si="79"/>
        <v>0</v>
      </c>
      <c r="U219" s="6">
        <f t="shared" si="80"/>
        <v>0</v>
      </c>
      <c r="V219" s="6">
        <f t="shared" si="81"/>
        <v>0</v>
      </c>
      <c r="W219" s="6">
        <f t="shared" si="82"/>
        <v>0</v>
      </c>
      <c r="X219" s="6">
        <f t="shared" si="83"/>
        <v>0</v>
      </c>
      <c r="Y219" s="6">
        <f t="shared" si="84"/>
        <v>0</v>
      </c>
      <c r="AA219" s="6" t="str">
        <f>IF(最佳化斷筋點!C219="","",最佳化斷筋點!C219)</f>
        <v>上層</v>
      </c>
      <c r="AB219" s="6">
        <f>IF(最佳化斷筋點!D219="","",最佳化斷筋點!D219)</f>
        <v>8</v>
      </c>
      <c r="AC219" s="6">
        <f>IF(最佳化斷筋點!E219="","",最佳化斷筋點!E219)</f>
        <v>8</v>
      </c>
      <c r="AD219" s="6">
        <f>IF(最佳化斷筋點!F219="","",最佳化斷筋點!F219)</f>
        <v>7</v>
      </c>
      <c r="AE219" s="6">
        <f>IF(最佳化斷筋點!G219="","",最佳化斷筋點!G219)</f>
        <v>6</v>
      </c>
      <c r="AF219" s="6">
        <f>IF(最佳化斷筋點!H219="","",最佳化斷筋點!H219)</f>
        <v>5</v>
      </c>
      <c r="AG219" s="6">
        <f>IF(最佳化斷筋點!I219="","",最佳化斷筋點!I219)</f>
        <v>5</v>
      </c>
      <c r="AH219" s="6">
        <f>IF(最佳化斷筋點!J219="","",最佳化斷筋點!J219)</f>
        <v>4</v>
      </c>
      <c r="AI219" s="6">
        <f>IF(最佳化斷筋點!K219="","",最佳化斷筋點!K219)</f>
        <v>3</v>
      </c>
      <c r="AJ219" s="6">
        <f>IF(最佳化斷筋點!L219="","",最佳化斷筋點!L219)</f>
        <v>2</v>
      </c>
      <c r="AK219" s="6">
        <f>IF(最佳化斷筋點!M219="","",最佳化斷筋點!M219)</f>
        <v>2</v>
      </c>
      <c r="AL219" s="6">
        <f>IF(最佳化斷筋點!N219="","",最佳化斷筋點!N219)</f>
        <v>2</v>
      </c>
      <c r="AM219" s="6">
        <f>IF(最佳化斷筋點!O219="","",最佳化斷筋點!O219)</f>
        <v>2</v>
      </c>
      <c r="AN219" s="6">
        <f>IF(最佳化斷筋點!P219="","",最佳化斷筋點!P219)</f>
        <v>2</v>
      </c>
      <c r="AO219" s="6">
        <f>IF(最佳化斷筋點!Q219="","",最佳化斷筋點!Q219)</f>
        <v>4</v>
      </c>
      <c r="AP219" s="6">
        <f>IF(最佳化斷筋點!R219="","",最佳化斷筋點!R219)</f>
        <v>4</v>
      </c>
      <c r="AQ219" s="6">
        <f>IF(最佳化斷筋點!S219="","",最佳化斷筋點!S219)</f>
        <v>5</v>
      </c>
      <c r="AR219" s="6">
        <f>IF(最佳化斷筋點!T219="","",最佳化斷筋點!T219)</f>
        <v>6</v>
      </c>
      <c r="AS219" s="6">
        <f>IF(最佳化斷筋點!U219="","",最佳化斷筋點!U219)</f>
        <v>7</v>
      </c>
      <c r="AT219" s="6">
        <f>IF(最佳化斷筋點!V219="","",最佳化斷筋點!V219)</f>
        <v>8</v>
      </c>
      <c r="AU219" s="6">
        <f>IF(最佳化斷筋點!W219="","",最佳化斷筋點!W219)</f>
        <v>9</v>
      </c>
      <c r="AV219" s="6">
        <f>IF(最佳化斷筋點!X219="","",最佳化斷筋點!X219)</f>
        <v>10</v>
      </c>
      <c r="AX219" s="6" t="s">
        <v>50</v>
      </c>
      <c r="AY219" s="6">
        <v>8</v>
      </c>
      <c r="AZ219" s="6">
        <v>8</v>
      </c>
      <c r="BA219" s="6">
        <v>7</v>
      </c>
      <c r="BB219" s="6">
        <v>6</v>
      </c>
      <c r="BC219" s="6">
        <v>5</v>
      </c>
      <c r="BD219" s="6">
        <v>5</v>
      </c>
      <c r="BE219" s="6">
        <v>4</v>
      </c>
      <c r="BF219" s="6">
        <v>3</v>
      </c>
      <c r="BG219" s="6">
        <v>2</v>
      </c>
      <c r="BH219" s="6">
        <v>2</v>
      </c>
      <c r="BI219" s="6">
        <v>2</v>
      </c>
      <c r="BJ219" s="6">
        <v>2</v>
      </c>
      <c r="BK219" s="6">
        <v>2</v>
      </c>
      <c r="BL219" s="6">
        <v>4</v>
      </c>
      <c r="BM219" s="6">
        <v>4</v>
      </c>
      <c r="BN219" s="6">
        <v>5</v>
      </c>
      <c r="BO219" s="6">
        <v>6</v>
      </c>
      <c r="BP219" s="6">
        <v>7</v>
      </c>
      <c r="BQ219" s="6">
        <v>8</v>
      </c>
      <c r="BR219" s="6">
        <v>9</v>
      </c>
      <c r="BS219" s="6">
        <v>10</v>
      </c>
    </row>
    <row r="220" spans="4:71" x14ac:dyDescent="0.25">
      <c r="E220" s="6">
        <f t="shared" si="64"/>
        <v>0</v>
      </c>
      <c r="F220" s="6">
        <f t="shared" si="65"/>
        <v>0</v>
      </c>
      <c r="G220" s="6">
        <f t="shared" si="66"/>
        <v>0</v>
      </c>
      <c r="H220" s="6">
        <f t="shared" si="67"/>
        <v>0</v>
      </c>
      <c r="I220" s="6">
        <f t="shared" si="68"/>
        <v>0</v>
      </c>
      <c r="J220" s="6">
        <f t="shared" si="69"/>
        <v>0</v>
      </c>
      <c r="K220" s="6">
        <f t="shared" si="70"/>
        <v>0</v>
      </c>
      <c r="L220" s="6">
        <f t="shared" si="71"/>
        <v>0</v>
      </c>
      <c r="M220" s="6">
        <f t="shared" si="72"/>
        <v>0</v>
      </c>
      <c r="N220" s="6">
        <f t="shared" si="73"/>
        <v>0</v>
      </c>
      <c r="O220" s="6">
        <f t="shared" si="74"/>
        <v>0</v>
      </c>
      <c r="P220" s="6">
        <f t="shared" si="75"/>
        <v>0</v>
      </c>
      <c r="Q220" s="6">
        <f t="shared" si="76"/>
        <v>0</v>
      </c>
      <c r="R220" s="6">
        <f t="shared" si="77"/>
        <v>0</v>
      </c>
      <c r="S220" s="6">
        <f t="shared" si="78"/>
        <v>0</v>
      </c>
      <c r="T220" s="6">
        <f t="shared" si="79"/>
        <v>0</v>
      </c>
      <c r="U220" s="6">
        <f t="shared" si="80"/>
        <v>0</v>
      </c>
      <c r="V220" s="6">
        <f t="shared" si="81"/>
        <v>0</v>
      </c>
      <c r="W220" s="6">
        <f t="shared" si="82"/>
        <v>0</v>
      </c>
      <c r="X220" s="6">
        <f t="shared" si="83"/>
        <v>0</v>
      </c>
      <c r="Y220" s="6">
        <f t="shared" si="84"/>
        <v>0</v>
      </c>
      <c r="AA220" s="6" t="str">
        <f>IF(最佳化斷筋點!C220="","",最佳化斷筋點!C220)</f>
        <v/>
      </c>
      <c r="AB220" s="6" t="str">
        <f>IF(最佳化斷筋點!D220="","",最佳化斷筋點!D220)</f>
        <v/>
      </c>
      <c r="AC220" s="6" t="str">
        <f>IF(最佳化斷筋點!E220="","",最佳化斷筋點!E220)</f>
        <v/>
      </c>
      <c r="AD220" s="6" t="str">
        <f>IF(最佳化斷筋點!F220="","",最佳化斷筋點!F220)</f>
        <v/>
      </c>
      <c r="AE220" s="6" t="str">
        <f>IF(最佳化斷筋點!G220="","",最佳化斷筋點!G220)</f>
        <v/>
      </c>
      <c r="AF220" s="6" t="str">
        <f>IF(最佳化斷筋點!H220="","",最佳化斷筋點!H220)</f>
        <v/>
      </c>
      <c r="AG220" s="6" t="str">
        <f>IF(最佳化斷筋點!I220="","",最佳化斷筋點!I220)</f>
        <v/>
      </c>
      <c r="AH220" s="6" t="str">
        <f>IF(最佳化斷筋點!J220="","",最佳化斷筋點!J220)</f>
        <v/>
      </c>
      <c r="AI220" s="6" t="str">
        <f>IF(最佳化斷筋點!K220="","",最佳化斷筋點!K220)</f>
        <v/>
      </c>
      <c r="AJ220" s="6" t="str">
        <f>IF(最佳化斷筋點!L220="","",最佳化斷筋點!L220)</f>
        <v/>
      </c>
      <c r="AK220" s="6" t="str">
        <f>IF(最佳化斷筋點!M220="","",最佳化斷筋點!M220)</f>
        <v/>
      </c>
      <c r="AL220" s="6" t="str">
        <f>IF(最佳化斷筋點!N220="","",最佳化斷筋點!N220)</f>
        <v/>
      </c>
      <c r="AM220" s="6" t="str">
        <f>IF(最佳化斷筋點!O220="","",最佳化斷筋點!O220)</f>
        <v/>
      </c>
      <c r="AN220" s="6" t="str">
        <f>IF(最佳化斷筋點!P220="","",最佳化斷筋點!P220)</f>
        <v/>
      </c>
      <c r="AO220" s="6" t="str">
        <f>IF(最佳化斷筋點!Q220="","",最佳化斷筋點!Q220)</f>
        <v/>
      </c>
      <c r="AP220" s="6" t="str">
        <f>IF(最佳化斷筋點!R220="","",最佳化斷筋點!R220)</f>
        <v/>
      </c>
      <c r="AQ220" s="6" t="str">
        <f>IF(最佳化斷筋點!S220="","",最佳化斷筋點!S220)</f>
        <v/>
      </c>
      <c r="AR220" s="6" t="str">
        <f>IF(最佳化斷筋點!T220="","",最佳化斷筋點!T220)</f>
        <v/>
      </c>
      <c r="AS220" s="6" t="str">
        <f>IF(最佳化斷筋點!U220="","",最佳化斷筋點!U220)</f>
        <v/>
      </c>
      <c r="AT220" s="6" t="str">
        <f>IF(最佳化斷筋點!V220="","",最佳化斷筋點!V220)</f>
        <v/>
      </c>
      <c r="AU220" s="6" t="str">
        <f>IF(最佳化斷筋點!W220="","",最佳化斷筋點!W220)</f>
        <v/>
      </c>
      <c r="AV220" s="6" t="str">
        <f>IF(最佳化斷筋點!X220="","",最佳化斷筋點!X220)</f>
        <v/>
      </c>
    </row>
    <row r="221" spans="4:71" x14ac:dyDescent="0.25">
      <c r="D221" s="6" t="s">
        <v>51</v>
      </c>
      <c r="E221" s="6">
        <f t="shared" si="64"/>
        <v>0</v>
      </c>
      <c r="F221" s="6">
        <f t="shared" si="65"/>
        <v>0</v>
      </c>
      <c r="G221" s="6">
        <f t="shared" si="66"/>
        <v>0</v>
      </c>
      <c r="H221" s="6">
        <f t="shared" si="67"/>
        <v>0</v>
      </c>
      <c r="I221" s="6">
        <f t="shared" si="68"/>
        <v>0</v>
      </c>
      <c r="J221" s="6">
        <f t="shared" si="69"/>
        <v>0</v>
      </c>
      <c r="K221" s="6">
        <f t="shared" si="70"/>
        <v>0</v>
      </c>
      <c r="L221" s="6">
        <f t="shared" si="71"/>
        <v>0</v>
      </c>
      <c r="M221" s="6">
        <f t="shared" si="72"/>
        <v>0</v>
      </c>
      <c r="N221" s="6">
        <f t="shared" si="73"/>
        <v>0</v>
      </c>
      <c r="O221" s="6">
        <f t="shared" si="74"/>
        <v>0</v>
      </c>
      <c r="P221" s="6">
        <f t="shared" si="75"/>
        <v>0</v>
      </c>
      <c r="Q221" s="6">
        <f t="shared" si="76"/>
        <v>0</v>
      </c>
      <c r="R221" s="6">
        <f t="shared" si="77"/>
        <v>0</v>
      </c>
      <c r="S221" s="6">
        <f t="shared" si="78"/>
        <v>0</v>
      </c>
      <c r="T221" s="6">
        <f t="shared" si="79"/>
        <v>0</v>
      </c>
      <c r="U221" s="6">
        <f t="shared" si="80"/>
        <v>0</v>
      </c>
      <c r="V221" s="6">
        <f t="shared" si="81"/>
        <v>0</v>
      </c>
      <c r="W221" s="6">
        <f t="shared" si="82"/>
        <v>0</v>
      </c>
      <c r="X221" s="6">
        <f t="shared" si="83"/>
        <v>0</v>
      </c>
      <c r="Y221" s="6">
        <f t="shared" si="84"/>
        <v>0</v>
      </c>
      <c r="AA221" s="6" t="str">
        <f>IF(最佳化斷筋點!C221="","",最佳化斷筋點!C221)</f>
        <v>下層</v>
      </c>
      <c r="AB221" s="6">
        <f>IF(最佳化斷筋點!D221="","",最佳化斷筋點!D221)</f>
        <v>6</v>
      </c>
      <c r="AC221" s="6">
        <f>IF(最佳化斷筋點!E221="","",最佳化斷筋點!E221)</f>
        <v>6</v>
      </c>
      <c r="AD221" s="6">
        <f>IF(最佳化斷筋點!F221="","",最佳化斷筋點!F221)</f>
        <v>5</v>
      </c>
      <c r="AE221" s="6">
        <f>IF(最佳化斷筋點!G221="","",最佳化斷筋點!G221)</f>
        <v>5</v>
      </c>
      <c r="AF221" s="6">
        <f>IF(最佳化斷筋點!H221="","",最佳化斷筋點!H221)</f>
        <v>4</v>
      </c>
      <c r="AG221" s="6">
        <f>IF(最佳化斷筋點!I221="","",最佳化斷筋點!I221)</f>
        <v>5</v>
      </c>
      <c r="AH221" s="6">
        <f>IF(最佳化斷筋點!J221="","",最佳化斷筋點!J221)</f>
        <v>6</v>
      </c>
      <c r="AI221" s="6">
        <f>IF(最佳化斷筋點!K221="","",最佳化斷筋點!K221)</f>
        <v>6</v>
      </c>
      <c r="AJ221" s="6">
        <f>IF(最佳化斷筋點!L221="","",最佳化斷筋點!L221)</f>
        <v>6</v>
      </c>
      <c r="AK221" s="6">
        <f>IF(最佳化斷筋點!M221="","",最佳化斷筋點!M221)</f>
        <v>6</v>
      </c>
      <c r="AL221" s="6">
        <f>IF(最佳化斷筋點!N221="","",最佳化斷筋點!N221)</f>
        <v>6</v>
      </c>
      <c r="AM221" s="6">
        <f>IF(最佳化斷筋點!O221="","",最佳化斷筋點!O221)</f>
        <v>6</v>
      </c>
      <c r="AN221" s="6">
        <f>IF(最佳化斷筋點!P221="","",最佳化斷筋點!P221)</f>
        <v>6</v>
      </c>
      <c r="AO221" s="6">
        <f>IF(最佳化斷筋點!Q221="","",最佳化斷筋點!Q221)</f>
        <v>6</v>
      </c>
      <c r="AP221" s="6">
        <f>IF(最佳化斷筋點!R221="","",最佳化斷筋點!R221)</f>
        <v>6</v>
      </c>
      <c r="AQ221" s="6">
        <f>IF(最佳化斷筋點!S221="","",最佳化斷筋點!S221)</f>
        <v>5</v>
      </c>
      <c r="AR221" s="6">
        <f>IF(最佳化斷筋點!T221="","",最佳化斷筋點!T221)</f>
        <v>4</v>
      </c>
      <c r="AS221" s="6">
        <f>IF(最佳化斷筋點!U221="","",最佳化斷筋點!U221)</f>
        <v>5</v>
      </c>
      <c r="AT221" s="6">
        <f>IF(最佳化斷筋點!V221="","",最佳化斷筋點!V221)</f>
        <v>5</v>
      </c>
      <c r="AU221" s="6">
        <f>IF(最佳化斷筋點!W221="","",最佳化斷筋點!W221)</f>
        <v>6</v>
      </c>
      <c r="AV221" s="6">
        <f>IF(最佳化斷筋點!X221="","",最佳化斷筋點!X221)</f>
        <v>6</v>
      </c>
      <c r="AX221" s="6" t="s">
        <v>51</v>
      </c>
      <c r="AY221" s="6">
        <v>6</v>
      </c>
      <c r="AZ221" s="6">
        <v>6</v>
      </c>
      <c r="BA221" s="6">
        <v>5</v>
      </c>
      <c r="BB221" s="6">
        <v>5</v>
      </c>
      <c r="BC221" s="6">
        <v>4</v>
      </c>
      <c r="BD221" s="6">
        <v>5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5</v>
      </c>
      <c r="BO221" s="6">
        <v>4</v>
      </c>
      <c r="BP221" s="6">
        <v>5</v>
      </c>
      <c r="BQ221" s="6">
        <v>5</v>
      </c>
      <c r="BR221" s="6">
        <v>6</v>
      </c>
      <c r="BS221" s="6">
        <v>6</v>
      </c>
    </row>
    <row r="222" spans="4:71" x14ac:dyDescent="0.25">
      <c r="E222" s="6">
        <f t="shared" si="64"/>
        <v>0</v>
      </c>
      <c r="F222" s="6">
        <f t="shared" si="65"/>
        <v>0</v>
      </c>
      <c r="G222" s="6">
        <f t="shared" si="66"/>
        <v>0</v>
      </c>
      <c r="H222" s="6">
        <f t="shared" si="67"/>
        <v>0</v>
      </c>
      <c r="I222" s="6">
        <f t="shared" si="68"/>
        <v>0</v>
      </c>
      <c r="J222" s="6">
        <f t="shared" si="69"/>
        <v>0</v>
      </c>
      <c r="K222" s="6">
        <f t="shared" si="70"/>
        <v>0</v>
      </c>
      <c r="L222" s="6">
        <f t="shared" si="71"/>
        <v>0</v>
      </c>
      <c r="M222" s="6">
        <f t="shared" si="72"/>
        <v>0</v>
      </c>
      <c r="N222" s="6">
        <f t="shared" si="73"/>
        <v>0</v>
      </c>
      <c r="O222" s="6">
        <f t="shared" si="74"/>
        <v>0</v>
      </c>
      <c r="P222" s="6">
        <f t="shared" si="75"/>
        <v>0</v>
      </c>
      <c r="Q222" s="6">
        <f t="shared" si="76"/>
        <v>0</v>
      </c>
      <c r="R222" s="6">
        <f t="shared" si="77"/>
        <v>0</v>
      </c>
      <c r="S222" s="6">
        <f t="shared" si="78"/>
        <v>0</v>
      </c>
      <c r="T222" s="6">
        <f t="shared" si="79"/>
        <v>0</v>
      </c>
      <c r="U222" s="6">
        <f t="shared" si="80"/>
        <v>0</v>
      </c>
      <c r="V222" s="6">
        <f t="shared" si="81"/>
        <v>0</v>
      </c>
      <c r="W222" s="6">
        <f t="shared" si="82"/>
        <v>0</v>
      </c>
      <c r="X222" s="6">
        <f t="shared" si="83"/>
        <v>0</v>
      </c>
      <c r="Y222" s="6">
        <f t="shared" si="84"/>
        <v>0</v>
      </c>
      <c r="AA222" s="6" t="str">
        <f>IF(最佳化斷筋點!C222="","",最佳化斷筋點!C222)</f>
        <v/>
      </c>
      <c r="AB222" s="6" t="str">
        <f>IF(最佳化斷筋點!D222="","",最佳化斷筋點!D222)</f>
        <v/>
      </c>
      <c r="AC222" s="6" t="str">
        <f>IF(最佳化斷筋點!E222="","",最佳化斷筋點!E222)</f>
        <v/>
      </c>
      <c r="AD222" s="6" t="str">
        <f>IF(最佳化斷筋點!F222="","",最佳化斷筋點!F222)</f>
        <v/>
      </c>
      <c r="AE222" s="6" t="str">
        <f>IF(最佳化斷筋點!G222="","",最佳化斷筋點!G222)</f>
        <v/>
      </c>
      <c r="AF222" s="6" t="str">
        <f>IF(最佳化斷筋點!H222="","",最佳化斷筋點!H222)</f>
        <v/>
      </c>
      <c r="AG222" s="6" t="str">
        <f>IF(最佳化斷筋點!I222="","",最佳化斷筋點!I222)</f>
        <v/>
      </c>
      <c r="AH222" s="6" t="str">
        <f>IF(最佳化斷筋點!J222="","",最佳化斷筋點!J222)</f>
        <v/>
      </c>
      <c r="AI222" s="6" t="str">
        <f>IF(最佳化斷筋點!K222="","",最佳化斷筋點!K222)</f>
        <v/>
      </c>
      <c r="AJ222" s="6" t="str">
        <f>IF(最佳化斷筋點!L222="","",最佳化斷筋點!L222)</f>
        <v/>
      </c>
      <c r="AK222" s="6" t="str">
        <f>IF(最佳化斷筋點!M222="","",最佳化斷筋點!M222)</f>
        <v/>
      </c>
      <c r="AL222" s="6" t="str">
        <f>IF(最佳化斷筋點!N222="","",最佳化斷筋點!N222)</f>
        <v/>
      </c>
      <c r="AM222" s="6" t="str">
        <f>IF(最佳化斷筋點!O222="","",最佳化斷筋點!O222)</f>
        <v/>
      </c>
      <c r="AN222" s="6" t="str">
        <f>IF(最佳化斷筋點!P222="","",最佳化斷筋點!P222)</f>
        <v/>
      </c>
      <c r="AO222" s="6" t="str">
        <f>IF(最佳化斷筋點!Q222="","",最佳化斷筋點!Q222)</f>
        <v/>
      </c>
      <c r="AP222" s="6" t="str">
        <f>IF(最佳化斷筋點!R222="","",最佳化斷筋點!R222)</f>
        <v/>
      </c>
      <c r="AQ222" s="6" t="str">
        <f>IF(最佳化斷筋點!S222="","",最佳化斷筋點!S222)</f>
        <v/>
      </c>
      <c r="AR222" s="6" t="str">
        <f>IF(最佳化斷筋點!T222="","",最佳化斷筋點!T222)</f>
        <v/>
      </c>
      <c r="AS222" s="6" t="str">
        <f>IF(最佳化斷筋點!U222="","",最佳化斷筋點!U222)</f>
        <v/>
      </c>
      <c r="AT222" s="6" t="str">
        <f>IF(最佳化斷筋點!V222="","",最佳化斷筋點!V222)</f>
        <v/>
      </c>
      <c r="AU222" s="6" t="str">
        <f>IF(最佳化斷筋點!W222="","",最佳化斷筋點!W222)</f>
        <v/>
      </c>
      <c r="AV222" s="6" t="str">
        <f>IF(最佳化斷筋點!X222="","",最佳化斷筋點!X222)</f>
        <v/>
      </c>
    </row>
    <row r="223" spans="4:71" x14ac:dyDescent="0.25">
      <c r="D223" s="6" t="s">
        <v>50</v>
      </c>
      <c r="E223" s="6">
        <f t="shared" si="64"/>
        <v>0</v>
      </c>
      <c r="F223" s="6">
        <f t="shared" si="65"/>
        <v>0</v>
      </c>
      <c r="G223" s="6">
        <f t="shared" si="66"/>
        <v>0</v>
      </c>
      <c r="H223" s="6">
        <f t="shared" si="67"/>
        <v>0</v>
      </c>
      <c r="I223" s="6">
        <f t="shared" si="68"/>
        <v>0</v>
      </c>
      <c r="J223" s="6">
        <f t="shared" si="69"/>
        <v>0</v>
      </c>
      <c r="K223" s="6">
        <f t="shared" si="70"/>
        <v>0</v>
      </c>
      <c r="L223" s="6">
        <f t="shared" si="71"/>
        <v>0</v>
      </c>
      <c r="M223" s="6">
        <f t="shared" si="72"/>
        <v>0</v>
      </c>
      <c r="N223" s="6">
        <f t="shared" si="73"/>
        <v>0</v>
      </c>
      <c r="O223" s="6">
        <f t="shared" si="74"/>
        <v>0</v>
      </c>
      <c r="P223" s="6">
        <f t="shared" si="75"/>
        <v>0</v>
      </c>
      <c r="Q223" s="6">
        <f t="shared" si="76"/>
        <v>0</v>
      </c>
      <c r="R223" s="6">
        <f t="shared" si="77"/>
        <v>0</v>
      </c>
      <c r="S223" s="6">
        <f t="shared" si="78"/>
        <v>0</v>
      </c>
      <c r="T223" s="6">
        <f t="shared" si="79"/>
        <v>0</v>
      </c>
      <c r="U223" s="6">
        <f t="shared" si="80"/>
        <v>0</v>
      </c>
      <c r="V223" s="6">
        <f t="shared" si="81"/>
        <v>0</v>
      </c>
      <c r="W223" s="6">
        <f t="shared" si="82"/>
        <v>0</v>
      </c>
      <c r="X223" s="6">
        <f t="shared" si="83"/>
        <v>0</v>
      </c>
      <c r="Y223" s="6">
        <f t="shared" si="84"/>
        <v>0</v>
      </c>
      <c r="AA223" s="6" t="str">
        <f>IF(最佳化斷筋點!C223="","",最佳化斷筋點!C223)</f>
        <v>上層</v>
      </c>
      <c r="AB223" s="6">
        <f>IF(最佳化斷筋點!D223="","",最佳化斷筋點!D223)</f>
        <v>2</v>
      </c>
      <c r="AC223" s="6">
        <f>IF(最佳化斷筋點!E223="","",最佳化斷筋點!E223)</f>
        <v>2</v>
      </c>
      <c r="AD223" s="6">
        <f>IF(最佳化斷筋點!F223="","",最佳化斷筋點!F223)</f>
        <v>2</v>
      </c>
      <c r="AE223" s="6">
        <f>IF(最佳化斷筋點!G223="","",最佳化斷筋點!G223)</f>
        <v>2</v>
      </c>
      <c r="AF223" s="6">
        <f>IF(最佳化斷筋點!H223="","",最佳化斷筋點!H223)</f>
        <v>2</v>
      </c>
      <c r="AG223" s="6">
        <f>IF(最佳化斷筋點!I223="","",最佳化斷筋點!I223)</f>
        <v>2</v>
      </c>
      <c r="AH223" s="6">
        <f>IF(最佳化斷筋點!J223="","",最佳化斷筋點!J223)</f>
        <v>2</v>
      </c>
      <c r="AI223" s="6">
        <f>IF(最佳化斷筋點!K223="","",最佳化斷筋點!K223)</f>
        <v>2</v>
      </c>
      <c r="AJ223" s="6">
        <f>IF(最佳化斷筋點!L223="","",最佳化斷筋點!L223)</f>
        <v>2</v>
      </c>
      <c r="AK223" s="6">
        <f>IF(最佳化斷筋點!M223="","",最佳化斷筋點!M223)</f>
        <v>2</v>
      </c>
      <c r="AL223" s="6">
        <f>IF(最佳化斷筋點!N223="","",最佳化斷筋點!N223)</f>
        <v>2</v>
      </c>
      <c r="AM223" s="6">
        <f>IF(最佳化斷筋點!O223="","",最佳化斷筋點!O223)</f>
        <v>2</v>
      </c>
      <c r="AN223" s="6">
        <f>IF(最佳化斷筋點!P223="","",最佳化斷筋點!P223)</f>
        <v>2</v>
      </c>
      <c r="AO223" s="6">
        <f>IF(最佳化斷筋點!Q223="","",最佳化斷筋點!Q223)</f>
        <v>2</v>
      </c>
      <c r="AP223" s="6">
        <f>IF(最佳化斷筋點!R223="","",最佳化斷筋點!R223)</f>
        <v>2</v>
      </c>
      <c r="AQ223" s="6">
        <f>IF(最佳化斷筋點!S223="","",最佳化斷筋點!S223)</f>
        <v>3</v>
      </c>
      <c r="AR223" s="6">
        <f>IF(最佳化斷筋點!T223="","",最佳化斷筋點!T223)</f>
        <v>3</v>
      </c>
      <c r="AS223" s="6">
        <f>IF(最佳化斷筋點!U223="","",最佳化斷筋點!U223)</f>
        <v>4</v>
      </c>
      <c r="AT223" s="6">
        <f>IF(最佳化斷筋點!V223="","",最佳化斷筋點!V223)</f>
        <v>4</v>
      </c>
      <c r="AU223" s="6">
        <f>IF(最佳化斷筋點!W223="","",最佳化斷筋點!W223)</f>
        <v>5</v>
      </c>
      <c r="AV223" s="6">
        <f>IF(最佳化斷筋點!X223="","",最佳化斷筋點!X223)</f>
        <v>5</v>
      </c>
      <c r="AX223" s="6" t="s">
        <v>50</v>
      </c>
      <c r="AY223" s="6">
        <v>2</v>
      </c>
      <c r="AZ223" s="6">
        <v>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</row>
    <row r="224" spans="4:71" x14ac:dyDescent="0.25">
      <c r="E224" s="6">
        <f t="shared" si="64"/>
        <v>0</v>
      </c>
      <c r="F224" s="6">
        <f t="shared" si="65"/>
        <v>0</v>
      </c>
      <c r="G224" s="6">
        <f t="shared" si="66"/>
        <v>0</v>
      </c>
      <c r="H224" s="6">
        <f t="shared" si="67"/>
        <v>0</v>
      </c>
      <c r="I224" s="6">
        <f t="shared" si="68"/>
        <v>0</v>
      </c>
      <c r="J224" s="6">
        <f t="shared" si="69"/>
        <v>0</v>
      </c>
      <c r="K224" s="6">
        <f t="shared" si="70"/>
        <v>0</v>
      </c>
      <c r="L224" s="6">
        <f t="shared" si="71"/>
        <v>0</v>
      </c>
      <c r="M224" s="6">
        <f t="shared" si="72"/>
        <v>0</v>
      </c>
      <c r="N224" s="6">
        <f t="shared" si="73"/>
        <v>0</v>
      </c>
      <c r="O224" s="6">
        <f t="shared" si="74"/>
        <v>0</v>
      </c>
      <c r="P224" s="6">
        <f t="shared" si="75"/>
        <v>0</v>
      </c>
      <c r="Q224" s="6">
        <f t="shared" si="76"/>
        <v>0</v>
      </c>
      <c r="R224" s="6">
        <f t="shared" si="77"/>
        <v>0</v>
      </c>
      <c r="S224" s="6">
        <f t="shared" si="78"/>
        <v>0</v>
      </c>
      <c r="T224" s="6">
        <f t="shared" si="79"/>
        <v>0</v>
      </c>
      <c r="U224" s="6">
        <f t="shared" si="80"/>
        <v>0</v>
      </c>
      <c r="V224" s="6">
        <f t="shared" si="81"/>
        <v>0</v>
      </c>
      <c r="W224" s="6">
        <f t="shared" si="82"/>
        <v>0</v>
      </c>
      <c r="X224" s="6">
        <f t="shared" si="83"/>
        <v>0</v>
      </c>
      <c r="Y224" s="6">
        <f t="shared" si="84"/>
        <v>0</v>
      </c>
      <c r="AA224" s="6" t="str">
        <f>IF(最佳化斷筋點!C224="","",最佳化斷筋點!C224)</f>
        <v/>
      </c>
      <c r="AB224" s="6" t="str">
        <f>IF(最佳化斷筋點!D224="","",最佳化斷筋點!D224)</f>
        <v/>
      </c>
      <c r="AC224" s="6" t="str">
        <f>IF(最佳化斷筋點!E224="","",最佳化斷筋點!E224)</f>
        <v/>
      </c>
      <c r="AD224" s="6" t="str">
        <f>IF(最佳化斷筋點!F224="","",最佳化斷筋點!F224)</f>
        <v/>
      </c>
      <c r="AE224" s="6" t="str">
        <f>IF(最佳化斷筋點!G224="","",最佳化斷筋點!G224)</f>
        <v/>
      </c>
      <c r="AF224" s="6" t="str">
        <f>IF(最佳化斷筋點!H224="","",最佳化斷筋點!H224)</f>
        <v/>
      </c>
      <c r="AG224" s="6" t="str">
        <f>IF(最佳化斷筋點!I224="","",最佳化斷筋點!I224)</f>
        <v/>
      </c>
      <c r="AH224" s="6" t="str">
        <f>IF(最佳化斷筋點!J224="","",最佳化斷筋點!J224)</f>
        <v/>
      </c>
      <c r="AI224" s="6" t="str">
        <f>IF(最佳化斷筋點!K224="","",最佳化斷筋點!K224)</f>
        <v/>
      </c>
      <c r="AJ224" s="6" t="str">
        <f>IF(最佳化斷筋點!L224="","",最佳化斷筋點!L224)</f>
        <v/>
      </c>
      <c r="AK224" s="6" t="str">
        <f>IF(最佳化斷筋點!M224="","",最佳化斷筋點!M224)</f>
        <v/>
      </c>
      <c r="AL224" s="6" t="str">
        <f>IF(最佳化斷筋點!N224="","",最佳化斷筋點!N224)</f>
        <v/>
      </c>
      <c r="AM224" s="6" t="str">
        <f>IF(最佳化斷筋點!O224="","",最佳化斷筋點!O224)</f>
        <v/>
      </c>
      <c r="AN224" s="6" t="str">
        <f>IF(最佳化斷筋點!P224="","",最佳化斷筋點!P224)</f>
        <v/>
      </c>
      <c r="AO224" s="6" t="str">
        <f>IF(最佳化斷筋點!Q224="","",最佳化斷筋點!Q224)</f>
        <v/>
      </c>
      <c r="AP224" s="6" t="str">
        <f>IF(最佳化斷筋點!R224="","",最佳化斷筋點!R224)</f>
        <v/>
      </c>
      <c r="AQ224" s="6" t="str">
        <f>IF(最佳化斷筋點!S224="","",最佳化斷筋點!S224)</f>
        <v/>
      </c>
      <c r="AR224" s="6" t="str">
        <f>IF(最佳化斷筋點!T224="","",最佳化斷筋點!T224)</f>
        <v/>
      </c>
      <c r="AS224" s="6" t="str">
        <f>IF(最佳化斷筋點!U224="","",最佳化斷筋點!U224)</f>
        <v/>
      </c>
      <c r="AT224" s="6" t="str">
        <f>IF(最佳化斷筋點!V224="","",最佳化斷筋點!V224)</f>
        <v/>
      </c>
      <c r="AU224" s="6" t="str">
        <f>IF(最佳化斷筋點!W224="","",最佳化斷筋點!W224)</f>
        <v/>
      </c>
      <c r="AV224" s="6" t="str">
        <f>IF(最佳化斷筋點!X224="","",最佳化斷筋點!X224)</f>
        <v/>
      </c>
    </row>
    <row r="225" spans="4:71" x14ac:dyDescent="0.25">
      <c r="D225" s="6" t="s">
        <v>51</v>
      </c>
      <c r="E225" s="6">
        <f t="shared" si="64"/>
        <v>0</v>
      </c>
      <c r="F225" s="6">
        <f t="shared" si="65"/>
        <v>0</v>
      </c>
      <c r="G225" s="6">
        <f t="shared" si="66"/>
        <v>0</v>
      </c>
      <c r="H225" s="6">
        <f t="shared" si="67"/>
        <v>0</v>
      </c>
      <c r="I225" s="6">
        <f t="shared" si="68"/>
        <v>0</v>
      </c>
      <c r="J225" s="6">
        <f t="shared" si="69"/>
        <v>0</v>
      </c>
      <c r="K225" s="6">
        <f t="shared" si="70"/>
        <v>0</v>
      </c>
      <c r="L225" s="6">
        <f t="shared" si="71"/>
        <v>0</v>
      </c>
      <c r="M225" s="6">
        <f t="shared" si="72"/>
        <v>0</v>
      </c>
      <c r="N225" s="6">
        <f t="shared" si="73"/>
        <v>0</v>
      </c>
      <c r="O225" s="6">
        <f t="shared" si="74"/>
        <v>0</v>
      </c>
      <c r="P225" s="6">
        <f t="shared" si="75"/>
        <v>0</v>
      </c>
      <c r="Q225" s="6">
        <f t="shared" si="76"/>
        <v>0</v>
      </c>
      <c r="R225" s="6">
        <f t="shared" si="77"/>
        <v>0</v>
      </c>
      <c r="S225" s="6">
        <f t="shared" si="78"/>
        <v>0</v>
      </c>
      <c r="T225" s="6">
        <f t="shared" si="79"/>
        <v>0</v>
      </c>
      <c r="U225" s="6">
        <f t="shared" si="80"/>
        <v>0</v>
      </c>
      <c r="V225" s="6">
        <f t="shared" si="81"/>
        <v>0</v>
      </c>
      <c r="W225" s="6">
        <f t="shared" si="82"/>
        <v>0</v>
      </c>
      <c r="X225" s="6">
        <f t="shared" si="83"/>
        <v>0</v>
      </c>
      <c r="Y225" s="6">
        <f t="shared" si="84"/>
        <v>0</v>
      </c>
      <c r="AA225" s="6" t="str">
        <f>IF(最佳化斷筋點!C225="","",最佳化斷筋點!C225)</f>
        <v>下層</v>
      </c>
      <c r="AB225" s="6">
        <f>IF(最佳化斷筋點!D225="","",最佳化斷筋點!D225)</f>
        <v>5</v>
      </c>
      <c r="AC225" s="6">
        <f>IF(最佳化斷筋點!E225="","",最佳化斷筋點!E225)</f>
        <v>5</v>
      </c>
      <c r="AD225" s="6">
        <f>IF(最佳化斷筋點!F225="","",最佳化斷筋點!F225)</f>
        <v>4</v>
      </c>
      <c r="AE225" s="6">
        <f>IF(最佳化斷筋點!G225="","",最佳化斷筋點!G225)</f>
        <v>4</v>
      </c>
      <c r="AF225" s="6">
        <f>IF(最佳化斷筋點!H225="","",最佳化斷筋點!H225)</f>
        <v>4</v>
      </c>
      <c r="AG225" s="6">
        <f>IF(最佳化斷筋點!I225="","",最佳化斷筋點!I225)</f>
        <v>4</v>
      </c>
      <c r="AH225" s="6">
        <f>IF(最佳化斷筋點!J225="","",最佳化斷筋點!J225)</f>
        <v>5</v>
      </c>
      <c r="AI225" s="6">
        <f>IF(最佳化斷筋點!K225="","",最佳化斷筋點!K225)</f>
        <v>5</v>
      </c>
      <c r="AJ225" s="6">
        <f>IF(最佳化斷筋點!L225="","",最佳化斷筋點!L225)</f>
        <v>5</v>
      </c>
      <c r="AK225" s="6">
        <f>IF(最佳化斷筋點!M225="","",最佳化斷筋點!M225)</f>
        <v>5</v>
      </c>
      <c r="AL225" s="6">
        <f>IF(最佳化斷筋點!N225="","",最佳化斷筋點!N225)</f>
        <v>5</v>
      </c>
      <c r="AM225" s="6">
        <f>IF(最佳化斷筋點!O225="","",最佳化斷筋點!O225)</f>
        <v>5</v>
      </c>
      <c r="AN225" s="6">
        <f>IF(最佳化斷筋點!P225="","",最佳化斷筋點!P225)</f>
        <v>5</v>
      </c>
      <c r="AO225" s="6">
        <f>IF(最佳化斷筋點!Q225="","",最佳化斷筋點!Q225)</f>
        <v>5</v>
      </c>
      <c r="AP225" s="6">
        <f>IF(最佳化斷筋點!R225="","",最佳化斷筋點!R225)</f>
        <v>5</v>
      </c>
      <c r="AQ225" s="6">
        <f>IF(最佳化斷筋點!S225="","",最佳化斷筋點!S225)</f>
        <v>4</v>
      </c>
      <c r="AR225" s="6">
        <f>IF(最佳化斷筋點!T225="","",最佳化斷筋點!T225)</f>
        <v>4</v>
      </c>
      <c r="AS225" s="6">
        <f>IF(最佳化斷筋點!U225="","",最佳化斷筋點!U225)</f>
        <v>3</v>
      </c>
      <c r="AT225" s="6">
        <f>IF(最佳化斷筋點!V225="","",最佳化斷筋點!V225)</f>
        <v>3</v>
      </c>
      <c r="AU225" s="6">
        <f>IF(最佳化斷筋點!W225="","",最佳化斷筋點!W225)</f>
        <v>3</v>
      </c>
      <c r="AV225" s="6">
        <f>IF(最佳化斷筋點!X225="","",最佳化斷筋點!X225)</f>
        <v>3</v>
      </c>
      <c r="AX225" s="6" t="s">
        <v>51</v>
      </c>
      <c r="AY225" s="6">
        <v>5</v>
      </c>
      <c r="AZ225" s="6">
        <v>5</v>
      </c>
      <c r="BA225" s="6">
        <v>4</v>
      </c>
      <c r="BB225" s="6">
        <v>4</v>
      </c>
      <c r="BC225" s="6">
        <v>4</v>
      </c>
      <c r="BD225" s="6">
        <v>4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4</v>
      </c>
      <c r="BO225" s="6">
        <v>4</v>
      </c>
      <c r="BP225" s="6">
        <v>3</v>
      </c>
      <c r="BQ225" s="6">
        <v>3</v>
      </c>
      <c r="BR225" s="6">
        <v>3</v>
      </c>
      <c r="BS225" s="6">
        <v>3</v>
      </c>
    </row>
    <row r="226" spans="4:71" x14ac:dyDescent="0.25">
      <c r="E226" s="6">
        <f t="shared" si="64"/>
        <v>0</v>
      </c>
      <c r="F226" s="6">
        <f t="shared" si="65"/>
        <v>0</v>
      </c>
      <c r="G226" s="6">
        <f t="shared" si="66"/>
        <v>0</v>
      </c>
      <c r="H226" s="6">
        <f t="shared" si="67"/>
        <v>0</v>
      </c>
      <c r="I226" s="6">
        <f t="shared" si="68"/>
        <v>0</v>
      </c>
      <c r="J226" s="6">
        <f t="shared" si="69"/>
        <v>0</v>
      </c>
      <c r="K226" s="6">
        <f t="shared" si="70"/>
        <v>0</v>
      </c>
      <c r="L226" s="6">
        <f t="shared" si="71"/>
        <v>0</v>
      </c>
      <c r="M226" s="6">
        <f t="shared" si="72"/>
        <v>0</v>
      </c>
      <c r="N226" s="6">
        <f t="shared" si="73"/>
        <v>0</v>
      </c>
      <c r="O226" s="6">
        <f t="shared" si="74"/>
        <v>0</v>
      </c>
      <c r="P226" s="6">
        <f t="shared" si="75"/>
        <v>0</v>
      </c>
      <c r="Q226" s="6">
        <f t="shared" si="76"/>
        <v>0</v>
      </c>
      <c r="R226" s="6">
        <f t="shared" si="77"/>
        <v>0</v>
      </c>
      <c r="S226" s="6">
        <f t="shared" si="78"/>
        <v>0</v>
      </c>
      <c r="T226" s="6">
        <f t="shared" si="79"/>
        <v>0</v>
      </c>
      <c r="U226" s="6">
        <f t="shared" si="80"/>
        <v>0</v>
      </c>
      <c r="V226" s="6">
        <f t="shared" si="81"/>
        <v>0</v>
      </c>
      <c r="W226" s="6">
        <f t="shared" si="82"/>
        <v>0</v>
      </c>
      <c r="X226" s="6">
        <f t="shared" si="83"/>
        <v>0</v>
      </c>
      <c r="Y226" s="6">
        <f t="shared" si="84"/>
        <v>0</v>
      </c>
      <c r="AA226" s="6" t="str">
        <f>IF(最佳化斷筋點!C226="","",最佳化斷筋點!C226)</f>
        <v/>
      </c>
      <c r="AB226" s="6" t="str">
        <f>IF(最佳化斷筋點!D226="","",最佳化斷筋點!D226)</f>
        <v/>
      </c>
      <c r="AC226" s="6" t="str">
        <f>IF(最佳化斷筋點!E226="","",最佳化斷筋點!E226)</f>
        <v/>
      </c>
      <c r="AD226" s="6" t="str">
        <f>IF(最佳化斷筋點!F226="","",最佳化斷筋點!F226)</f>
        <v/>
      </c>
      <c r="AE226" s="6" t="str">
        <f>IF(最佳化斷筋點!G226="","",最佳化斷筋點!G226)</f>
        <v/>
      </c>
      <c r="AF226" s="6" t="str">
        <f>IF(最佳化斷筋點!H226="","",最佳化斷筋點!H226)</f>
        <v/>
      </c>
      <c r="AG226" s="6" t="str">
        <f>IF(最佳化斷筋點!I226="","",最佳化斷筋點!I226)</f>
        <v/>
      </c>
      <c r="AH226" s="6" t="str">
        <f>IF(最佳化斷筋點!J226="","",最佳化斷筋點!J226)</f>
        <v/>
      </c>
      <c r="AI226" s="6" t="str">
        <f>IF(最佳化斷筋點!K226="","",最佳化斷筋點!K226)</f>
        <v/>
      </c>
      <c r="AJ226" s="6" t="str">
        <f>IF(最佳化斷筋點!L226="","",最佳化斷筋點!L226)</f>
        <v/>
      </c>
      <c r="AK226" s="6" t="str">
        <f>IF(最佳化斷筋點!M226="","",最佳化斷筋點!M226)</f>
        <v/>
      </c>
      <c r="AL226" s="6" t="str">
        <f>IF(最佳化斷筋點!N226="","",最佳化斷筋點!N226)</f>
        <v/>
      </c>
      <c r="AM226" s="6" t="str">
        <f>IF(最佳化斷筋點!O226="","",最佳化斷筋點!O226)</f>
        <v/>
      </c>
      <c r="AN226" s="6" t="str">
        <f>IF(最佳化斷筋點!P226="","",最佳化斷筋點!P226)</f>
        <v/>
      </c>
      <c r="AO226" s="6" t="str">
        <f>IF(最佳化斷筋點!Q226="","",最佳化斷筋點!Q226)</f>
        <v/>
      </c>
      <c r="AP226" s="6" t="str">
        <f>IF(最佳化斷筋點!R226="","",最佳化斷筋點!R226)</f>
        <v/>
      </c>
      <c r="AQ226" s="6" t="str">
        <f>IF(最佳化斷筋點!S226="","",最佳化斷筋點!S226)</f>
        <v/>
      </c>
      <c r="AR226" s="6" t="str">
        <f>IF(最佳化斷筋點!T226="","",最佳化斷筋點!T226)</f>
        <v/>
      </c>
      <c r="AS226" s="6" t="str">
        <f>IF(最佳化斷筋點!U226="","",最佳化斷筋點!U226)</f>
        <v/>
      </c>
      <c r="AT226" s="6" t="str">
        <f>IF(最佳化斷筋點!V226="","",最佳化斷筋點!V226)</f>
        <v/>
      </c>
      <c r="AU226" s="6" t="str">
        <f>IF(最佳化斷筋點!W226="","",最佳化斷筋點!W226)</f>
        <v/>
      </c>
      <c r="AV226" s="6" t="str">
        <f>IF(最佳化斷筋點!X226="","",最佳化斷筋點!X226)</f>
        <v/>
      </c>
    </row>
    <row r="227" spans="4:71" x14ac:dyDescent="0.25">
      <c r="D227" s="6" t="s">
        <v>50</v>
      </c>
      <c r="E227" s="6">
        <f t="shared" si="64"/>
        <v>0</v>
      </c>
      <c r="F227" s="6">
        <f t="shared" si="65"/>
        <v>0</v>
      </c>
      <c r="G227" s="6">
        <f t="shared" si="66"/>
        <v>0</v>
      </c>
      <c r="H227" s="6">
        <f t="shared" si="67"/>
        <v>0</v>
      </c>
      <c r="I227" s="6">
        <f t="shared" si="68"/>
        <v>0</v>
      </c>
      <c r="J227" s="6">
        <f t="shared" si="69"/>
        <v>0</v>
      </c>
      <c r="K227" s="6">
        <f t="shared" si="70"/>
        <v>0</v>
      </c>
      <c r="L227" s="6">
        <f t="shared" si="71"/>
        <v>0</v>
      </c>
      <c r="M227" s="6">
        <f t="shared" si="72"/>
        <v>0</v>
      </c>
      <c r="N227" s="6">
        <f t="shared" si="73"/>
        <v>0</v>
      </c>
      <c r="O227" s="6">
        <f t="shared" si="74"/>
        <v>0</v>
      </c>
      <c r="P227" s="6">
        <f t="shared" si="75"/>
        <v>0</v>
      </c>
      <c r="Q227" s="6">
        <f t="shared" si="76"/>
        <v>0</v>
      </c>
      <c r="R227" s="6">
        <f t="shared" si="77"/>
        <v>0</v>
      </c>
      <c r="S227" s="6">
        <f t="shared" si="78"/>
        <v>0</v>
      </c>
      <c r="T227" s="6">
        <f t="shared" si="79"/>
        <v>0</v>
      </c>
      <c r="U227" s="6">
        <f t="shared" si="80"/>
        <v>0</v>
      </c>
      <c r="V227" s="6">
        <f t="shared" si="81"/>
        <v>0</v>
      </c>
      <c r="W227" s="6">
        <f t="shared" si="82"/>
        <v>0</v>
      </c>
      <c r="X227" s="6">
        <f t="shared" si="83"/>
        <v>0</v>
      </c>
      <c r="Y227" s="6">
        <f t="shared" si="84"/>
        <v>0</v>
      </c>
      <c r="AA227" s="6" t="str">
        <f>IF(最佳化斷筋點!C227="","",最佳化斷筋點!C227)</f>
        <v>上層</v>
      </c>
      <c r="AB227" s="6">
        <f>IF(最佳化斷筋點!D227="","",最佳化斷筋點!D227)</f>
        <v>5</v>
      </c>
      <c r="AC227" s="6">
        <f>IF(最佳化斷筋點!E227="","",最佳化斷筋點!E227)</f>
        <v>5</v>
      </c>
      <c r="AD227" s="6">
        <f>IF(最佳化斷筋點!F227="","",最佳化斷筋點!F227)</f>
        <v>4</v>
      </c>
      <c r="AE227" s="6">
        <f>IF(最佳化斷筋點!G227="","",最佳化斷筋點!G227)</f>
        <v>4</v>
      </c>
      <c r="AF227" s="6">
        <f>IF(最佳化斷筋點!H227="","",最佳化斷筋點!H227)</f>
        <v>4</v>
      </c>
      <c r="AG227" s="6">
        <f>IF(最佳化斷筋點!I227="","",最佳化斷筋點!I227)</f>
        <v>3</v>
      </c>
      <c r="AH227" s="6">
        <f>IF(最佳化斷筋點!J227="","",最佳化斷筋點!J227)</f>
        <v>3</v>
      </c>
      <c r="AI227" s="6">
        <f>IF(最佳化斷筋點!K227="","",最佳化斷筋點!K227)</f>
        <v>2</v>
      </c>
      <c r="AJ227" s="6">
        <f>IF(最佳化斷筋點!L227="","",最佳化斷筋點!L227)</f>
        <v>2</v>
      </c>
      <c r="AK227" s="6">
        <f>IF(最佳化斷筋點!M227="","",最佳化斷筋點!M227)</f>
        <v>2</v>
      </c>
      <c r="AL227" s="6">
        <f>IF(最佳化斷筋點!N227="","",最佳化斷筋點!N227)</f>
        <v>2</v>
      </c>
      <c r="AM227" s="6">
        <f>IF(最佳化斷筋點!O227="","",最佳化斷筋點!O227)</f>
        <v>2</v>
      </c>
      <c r="AN227" s="6">
        <f>IF(最佳化斷筋點!P227="","",最佳化斷筋點!P227)</f>
        <v>2</v>
      </c>
      <c r="AO227" s="6">
        <f>IF(最佳化斷筋點!Q227="","",最佳化斷筋點!Q227)</f>
        <v>2</v>
      </c>
      <c r="AP227" s="6">
        <f>IF(最佳化斷筋點!R227="","",最佳化斷筋點!R227)</f>
        <v>2</v>
      </c>
      <c r="AQ227" s="6">
        <f>IF(最佳化斷筋點!S227="","",最佳化斷筋點!S227)</f>
        <v>3</v>
      </c>
      <c r="AR227" s="6">
        <f>IF(最佳化斷筋點!T227="","",最佳化斷筋點!T227)</f>
        <v>3</v>
      </c>
      <c r="AS227" s="6">
        <f>IF(最佳化斷筋點!U227="","",最佳化斷筋點!U227)</f>
        <v>4</v>
      </c>
      <c r="AT227" s="6">
        <f>IF(最佳化斷筋點!V227="","",最佳化斷筋點!V227)</f>
        <v>4</v>
      </c>
      <c r="AU227" s="6">
        <f>IF(最佳化斷筋點!W227="","",最佳化斷筋點!W227)</f>
        <v>5</v>
      </c>
      <c r="AV227" s="6">
        <f>IF(最佳化斷筋點!X227="","",最佳化斷筋點!X227)</f>
        <v>5</v>
      </c>
      <c r="AX227" s="6" t="s">
        <v>50</v>
      </c>
      <c r="AY227" s="6">
        <v>5</v>
      </c>
      <c r="AZ227" s="6">
        <v>5</v>
      </c>
      <c r="BA227" s="6">
        <v>4</v>
      </c>
      <c r="BB227" s="6">
        <v>4</v>
      </c>
      <c r="BC227" s="6">
        <v>4</v>
      </c>
      <c r="BD227" s="6">
        <v>3</v>
      </c>
      <c r="BE227" s="6">
        <v>3</v>
      </c>
      <c r="BF227" s="6">
        <v>2</v>
      </c>
      <c r="BG227" s="6">
        <v>2</v>
      </c>
      <c r="BH227" s="6">
        <v>2</v>
      </c>
      <c r="BI227" s="6">
        <v>2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</row>
    <row r="228" spans="4:71" x14ac:dyDescent="0.25">
      <c r="E228" s="6">
        <f t="shared" si="64"/>
        <v>0</v>
      </c>
      <c r="F228" s="6">
        <f t="shared" si="65"/>
        <v>0</v>
      </c>
      <c r="G228" s="6">
        <f t="shared" si="66"/>
        <v>0</v>
      </c>
      <c r="H228" s="6">
        <f t="shared" si="67"/>
        <v>0</v>
      </c>
      <c r="I228" s="6">
        <f t="shared" si="68"/>
        <v>0</v>
      </c>
      <c r="J228" s="6">
        <f t="shared" si="69"/>
        <v>0</v>
      </c>
      <c r="K228" s="6">
        <f t="shared" si="70"/>
        <v>0</v>
      </c>
      <c r="L228" s="6">
        <f t="shared" si="71"/>
        <v>0</v>
      </c>
      <c r="M228" s="6">
        <f t="shared" si="72"/>
        <v>0</v>
      </c>
      <c r="N228" s="6">
        <f t="shared" si="73"/>
        <v>0</v>
      </c>
      <c r="O228" s="6">
        <f t="shared" si="74"/>
        <v>0</v>
      </c>
      <c r="P228" s="6">
        <f t="shared" si="75"/>
        <v>0</v>
      </c>
      <c r="Q228" s="6">
        <f t="shared" si="76"/>
        <v>0</v>
      </c>
      <c r="R228" s="6">
        <f t="shared" si="77"/>
        <v>0</v>
      </c>
      <c r="S228" s="6">
        <f t="shared" si="78"/>
        <v>0</v>
      </c>
      <c r="T228" s="6">
        <f t="shared" si="79"/>
        <v>0</v>
      </c>
      <c r="U228" s="6">
        <f t="shared" si="80"/>
        <v>0</v>
      </c>
      <c r="V228" s="6">
        <f t="shared" si="81"/>
        <v>0</v>
      </c>
      <c r="W228" s="6">
        <f t="shared" si="82"/>
        <v>0</v>
      </c>
      <c r="X228" s="6">
        <f t="shared" si="83"/>
        <v>0</v>
      </c>
      <c r="Y228" s="6">
        <f t="shared" si="84"/>
        <v>0</v>
      </c>
      <c r="AA228" s="6" t="str">
        <f>IF(最佳化斷筋點!C228="","",最佳化斷筋點!C228)</f>
        <v/>
      </c>
      <c r="AB228" s="6" t="str">
        <f>IF(最佳化斷筋點!D228="","",最佳化斷筋點!D228)</f>
        <v/>
      </c>
      <c r="AC228" s="6" t="str">
        <f>IF(最佳化斷筋點!E228="","",最佳化斷筋點!E228)</f>
        <v/>
      </c>
      <c r="AD228" s="6" t="str">
        <f>IF(最佳化斷筋點!F228="","",最佳化斷筋點!F228)</f>
        <v/>
      </c>
      <c r="AE228" s="6" t="str">
        <f>IF(最佳化斷筋點!G228="","",最佳化斷筋點!G228)</f>
        <v/>
      </c>
      <c r="AF228" s="6" t="str">
        <f>IF(最佳化斷筋點!H228="","",最佳化斷筋點!H228)</f>
        <v/>
      </c>
      <c r="AG228" s="6" t="str">
        <f>IF(最佳化斷筋點!I228="","",最佳化斷筋點!I228)</f>
        <v/>
      </c>
      <c r="AH228" s="6" t="str">
        <f>IF(最佳化斷筋點!J228="","",最佳化斷筋點!J228)</f>
        <v/>
      </c>
      <c r="AI228" s="6" t="str">
        <f>IF(最佳化斷筋點!K228="","",最佳化斷筋點!K228)</f>
        <v/>
      </c>
      <c r="AJ228" s="6" t="str">
        <f>IF(最佳化斷筋點!L228="","",最佳化斷筋點!L228)</f>
        <v/>
      </c>
      <c r="AK228" s="6" t="str">
        <f>IF(最佳化斷筋點!M228="","",最佳化斷筋點!M228)</f>
        <v/>
      </c>
      <c r="AL228" s="6" t="str">
        <f>IF(最佳化斷筋點!N228="","",最佳化斷筋點!N228)</f>
        <v/>
      </c>
      <c r="AM228" s="6" t="str">
        <f>IF(最佳化斷筋點!O228="","",最佳化斷筋點!O228)</f>
        <v/>
      </c>
      <c r="AN228" s="6" t="str">
        <f>IF(最佳化斷筋點!P228="","",最佳化斷筋點!P228)</f>
        <v/>
      </c>
      <c r="AO228" s="6" t="str">
        <f>IF(最佳化斷筋點!Q228="","",最佳化斷筋點!Q228)</f>
        <v/>
      </c>
      <c r="AP228" s="6" t="str">
        <f>IF(最佳化斷筋點!R228="","",最佳化斷筋點!R228)</f>
        <v/>
      </c>
      <c r="AQ228" s="6" t="str">
        <f>IF(最佳化斷筋點!S228="","",最佳化斷筋點!S228)</f>
        <v/>
      </c>
      <c r="AR228" s="6" t="str">
        <f>IF(最佳化斷筋點!T228="","",最佳化斷筋點!T228)</f>
        <v/>
      </c>
      <c r="AS228" s="6" t="str">
        <f>IF(最佳化斷筋點!U228="","",最佳化斷筋點!U228)</f>
        <v/>
      </c>
      <c r="AT228" s="6" t="str">
        <f>IF(最佳化斷筋點!V228="","",最佳化斷筋點!V228)</f>
        <v/>
      </c>
      <c r="AU228" s="6" t="str">
        <f>IF(最佳化斷筋點!W228="","",最佳化斷筋點!W228)</f>
        <v/>
      </c>
      <c r="AV228" s="6" t="str">
        <f>IF(最佳化斷筋點!X228="","",最佳化斷筋點!X228)</f>
        <v/>
      </c>
    </row>
    <row r="229" spans="4:71" x14ac:dyDescent="0.25">
      <c r="D229" s="6" t="s">
        <v>51</v>
      </c>
      <c r="E229" s="6">
        <f t="shared" si="64"/>
        <v>0</v>
      </c>
      <c r="F229" s="6">
        <f t="shared" si="65"/>
        <v>0</v>
      </c>
      <c r="G229" s="6">
        <f t="shared" si="66"/>
        <v>0</v>
      </c>
      <c r="H229" s="6">
        <f t="shared" si="67"/>
        <v>0</v>
      </c>
      <c r="I229" s="6">
        <f t="shared" si="68"/>
        <v>0</v>
      </c>
      <c r="J229" s="6">
        <f t="shared" si="69"/>
        <v>0</v>
      </c>
      <c r="K229" s="6">
        <f t="shared" si="70"/>
        <v>0</v>
      </c>
      <c r="L229" s="6">
        <f t="shared" si="71"/>
        <v>0</v>
      </c>
      <c r="M229" s="6">
        <f t="shared" si="72"/>
        <v>0</v>
      </c>
      <c r="N229" s="6">
        <f t="shared" si="73"/>
        <v>0</v>
      </c>
      <c r="O229" s="6">
        <f t="shared" si="74"/>
        <v>0</v>
      </c>
      <c r="P229" s="6">
        <f t="shared" si="75"/>
        <v>0</v>
      </c>
      <c r="Q229" s="6">
        <f t="shared" si="76"/>
        <v>0</v>
      </c>
      <c r="R229" s="6">
        <f t="shared" si="77"/>
        <v>0</v>
      </c>
      <c r="S229" s="6">
        <f t="shared" si="78"/>
        <v>0</v>
      </c>
      <c r="T229" s="6">
        <f t="shared" si="79"/>
        <v>0</v>
      </c>
      <c r="U229" s="6">
        <f t="shared" si="80"/>
        <v>0</v>
      </c>
      <c r="V229" s="6">
        <f t="shared" si="81"/>
        <v>0</v>
      </c>
      <c r="W229" s="6">
        <f t="shared" si="82"/>
        <v>0</v>
      </c>
      <c r="X229" s="6">
        <f t="shared" si="83"/>
        <v>0</v>
      </c>
      <c r="Y229" s="6">
        <f t="shared" si="84"/>
        <v>0</v>
      </c>
      <c r="AA229" s="6" t="str">
        <f>IF(最佳化斷筋點!C229="","",最佳化斷筋點!C229)</f>
        <v>下層</v>
      </c>
      <c r="AB229" s="6">
        <f>IF(最佳化斷筋點!D229="","",最佳化斷筋點!D229)</f>
        <v>3</v>
      </c>
      <c r="AC229" s="6">
        <f>IF(最佳化斷筋點!E229="","",最佳化斷筋點!E229)</f>
        <v>3</v>
      </c>
      <c r="AD229" s="6">
        <f>IF(最佳化斷筋點!F229="","",最佳化斷筋點!F229)</f>
        <v>3</v>
      </c>
      <c r="AE229" s="6">
        <f>IF(最佳化斷筋點!G229="","",最佳化斷筋點!G229)</f>
        <v>3</v>
      </c>
      <c r="AF229" s="6">
        <f>IF(最佳化斷筋點!H229="","",最佳化斷筋點!H229)</f>
        <v>3</v>
      </c>
      <c r="AG229" s="6">
        <f>IF(最佳化斷筋點!I229="","",最佳化斷筋點!I229)</f>
        <v>3</v>
      </c>
      <c r="AH229" s="6">
        <f>IF(最佳化斷筋點!J229="","",最佳化斷筋點!J229)</f>
        <v>4</v>
      </c>
      <c r="AI229" s="6">
        <f>IF(最佳化斷筋點!K229="","",最佳化斷筋點!K229)</f>
        <v>4</v>
      </c>
      <c r="AJ229" s="6">
        <f>IF(最佳化斷筋點!L229="","",最佳化斷筋點!L229)</f>
        <v>4</v>
      </c>
      <c r="AK229" s="6">
        <f>IF(最佳化斷筋點!M229="","",最佳化斷筋點!M229)</f>
        <v>4</v>
      </c>
      <c r="AL229" s="6">
        <f>IF(最佳化斷筋點!N229="","",最佳化斷筋點!N229)</f>
        <v>4</v>
      </c>
      <c r="AM229" s="6">
        <f>IF(最佳化斷筋點!O229="","",最佳化斷筋點!O229)</f>
        <v>4</v>
      </c>
      <c r="AN229" s="6">
        <f>IF(最佳化斷筋點!P229="","",最佳化斷筋點!P229)</f>
        <v>4</v>
      </c>
      <c r="AO229" s="6">
        <f>IF(最佳化斷筋點!Q229="","",最佳化斷筋點!Q229)</f>
        <v>4</v>
      </c>
      <c r="AP229" s="6">
        <f>IF(最佳化斷筋點!R229="","",最佳化斷筋點!R229)</f>
        <v>4</v>
      </c>
      <c r="AQ229" s="6">
        <f>IF(最佳化斷筋點!S229="","",最佳化斷筋點!S229)</f>
        <v>3</v>
      </c>
      <c r="AR229" s="6">
        <f>IF(最佳化斷筋點!T229="","",最佳化斷筋點!T229)</f>
        <v>3</v>
      </c>
      <c r="AS229" s="6">
        <f>IF(最佳化斷筋點!U229="","",最佳化斷筋點!U229)</f>
        <v>3</v>
      </c>
      <c r="AT229" s="6">
        <f>IF(最佳化斷筋點!V229="","",最佳化斷筋點!V229)</f>
        <v>3</v>
      </c>
      <c r="AU229" s="6">
        <f>IF(最佳化斷筋點!W229="","",最佳化斷筋點!W229)</f>
        <v>3</v>
      </c>
      <c r="AV229" s="6">
        <f>IF(最佳化斷筋點!X229="","",最佳化斷筋點!X229)</f>
        <v>3</v>
      </c>
      <c r="AX229" s="6" t="s">
        <v>51</v>
      </c>
      <c r="AY229" s="6">
        <v>3</v>
      </c>
      <c r="AZ229" s="6">
        <v>3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3</v>
      </c>
      <c r="BO229" s="6">
        <v>3</v>
      </c>
      <c r="BP229" s="6">
        <v>3</v>
      </c>
      <c r="BQ229" s="6">
        <v>3</v>
      </c>
      <c r="BR229" s="6">
        <v>3</v>
      </c>
      <c r="BS229" s="6">
        <v>3</v>
      </c>
    </row>
    <row r="230" spans="4:71" x14ac:dyDescent="0.25">
      <c r="E230" s="6">
        <f t="shared" si="64"/>
        <v>0</v>
      </c>
      <c r="F230" s="6">
        <f t="shared" si="65"/>
        <v>0</v>
      </c>
      <c r="G230" s="6">
        <f t="shared" si="66"/>
        <v>0</v>
      </c>
      <c r="H230" s="6">
        <f t="shared" si="67"/>
        <v>0</v>
      </c>
      <c r="I230" s="6">
        <f t="shared" si="68"/>
        <v>0</v>
      </c>
      <c r="J230" s="6">
        <f t="shared" si="69"/>
        <v>0</v>
      </c>
      <c r="K230" s="6">
        <f t="shared" si="70"/>
        <v>0</v>
      </c>
      <c r="L230" s="6">
        <f t="shared" si="71"/>
        <v>0</v>
      </c>
      <c r="M230" s="6">
        <f t="shared" si="72"/>
        <v>0</v>
      </c>
      <c r="N230" s="6">
        <f t="shared" si="73"/>
        <v>0</v>
      </c>
      <c r="O230" s="6">
        <f t="shared" si="74"/>
        <v>0</v>
      </c>
      <c r="P230" s="6">
        <f t="shared" si="75"/>
        <v>0</v>
      </c>
      <c r="Q230" s="6">
        <f t="shared" si="76"/>
        <v>0</v>
      </c>
      <c r="R230" s="6">
        <f t="shared" si="77"/>
        <v>0</v>
      </c>
      <c r="S230" s="6">
        <f t="shared" si="78"/>
        <v>0</v>
      </c>
      <c r="T230" s="6">
        <f t="shared" si="79"/>
        <v>0</v>
      </c>
      <c r="U230" s="6">
        <f t="shared" si="80"/>
        <v>0</v>
      </c>
      <c r="V230" s="6">
        <f t="shared" si="81"/>
        <v>0</v>
      </c>
      <c r="W230" s="6">
        <f t="shared" si="82"/>
        <v>0</v>
      </c>
      <c r="X230" s="6">
        <f t="shared" si="83"/>
        <v>0</v>
      </c>
      <c r="Y230" s="6">
        <f t="shared" si="84"/>
        <v>0</v>
      </c>
      <c r="AA230" s="6" t="str">
        <f>IF(最佳化斷筋點!C230="","",最佳化斷筋點!C230)</f>
        <v/>
      </c>
      <c r="AB230" s="6" t="str">
        <f>IF(最佳化斷筋點!D230="","",最佳化斷筋點!D230)</f>
        <v/>
      </c>
      <c r="AC230" s="6" t="str">
        <f>IF(最佳化斷筋點!E230="","",最佳化斷筋點!E230)</f>
        <v/>
      </c>
      <c r="AD230" s="6" t="str">
        <f>IF(最佳化斷筋點!F230="","",最佳化斷筋點!F230)</f>
        <v/>
      </c>
      <c r="AE230" s="6" t="str">
        <f>IF(最佳化斷筋點!G230="","",最佳化斷筋點!G230)</f>
        <v/>
      </c>
      <c r="AF230" s="6" t="str">
        <f>IF(最佳化斷筋點!H230="","",最佳化斷筋點!H230)</f>
        <v/>
      </c>
      <c r="AG230" s="6" t="str">
        <f>IF(最佳化斷筋點!I230="","",最佳化斷筋點!I230)</f>
        <v/>
      </c>
      <c r="AH230" s="6" t="str">
        <f>IF(最佳化斷筋點!J230="","",最佳化斷筋點!J230)</f>
        <v/>
      </c>
      <c r="AI230" s="6" t="str">
        <f>IF(最佳化斷筋點!K230="","",最佳化斷筋點!K230)</f>
        <v/>
      </c>
      <c r="AJ230" s="6" t="str">
        <f>IF(最佳化斷筋點!L230="","",最佳化斷筋點!L230)</f>
        <v/>
      </c>
      <c r="AK230" s="6" t="str">
        <f>IF(最佳化斷筋點!M230="","",最佳化斷筋點!M230)</f>
        <v/>
      </c>
      <c r="AL230" s="6" t="str">
        <f>IF(最佳化斷筋點!N230="","",最佳化斷筋點!N230)</f>
        <v/>
      </c>
      <c r="AM230" s="6" t="str">
        <f>IF(最佳化斷筋點!O230="","",最佳化斷筋點!O230)</f>
        <v/>
      </c>
      <c r="AN230" s="6" t="str">
        <f>IF(最佳化斷筋點!P230="","",最佳化斷筋點!P230)</f>
        <v/>
      </c>
      <c r="AO230" s="6" t="str">
        <f>IF(最佳化斷筋點!Q230="","",最佳化斷筋點!Q230)</f>
        <v/>
      </c>
      <c r="AP230" s="6" t="str">
        <f>IF(最佳化斷筋點!R230="","",最佳化斷筋點!R230)</f>
        <v/>
      </c>
      <c r="AQ230" s="6" t="str">
        <f>IF(最佳化斷筋點!S230="","",最佳化斷筋點!S230)</f>
        <v/>
      </c>
      <c r="AR230" s="6" t="str">
        <f>IF(最佳化斷筋點!T230="","",最佳化斷筋點!T230)</f>
        <v/>
      </c>
      <c r="AS230" s="6" t="str">
        <f>IF(最佳化斷筋點!U230="","",最佳化斷筋點!U230)</f>
        <v/>
      </c>
      <c r="AT230" s="6" t="str">
        <f>IF(最佳化斷筋點!V230="","",最佳化斷筋點!V230)</f>
        <v/>
      </c>
      <c r="AU230" s="6" t="str">
        <f>IF(最佳化斷筋點!W230="","",最佳化斷筋點!W230)</f>
        <v/>
      </c>
      <c r="AV230" s="6" t="str">
        <f>IF(最佳化斷筋點!X230="","",最佳化斷筋點!X230)</f>
        <v/>
      </c>
    </row>
    <row r="231" spans="4:71" x14ac:dyDescent="0.25">
      <c r="D231" s="6" t="s">
        <v>50</v>
      </c>
      <c r="E231" s="6">
        <f t="shared" si="64"/>
        <v>0</v>
      </c>
      <c r="F231" s="6">
        <f t="shared" si="65"/>
        <v>0</v>
      </c>
      <c r="G231" s="6">
        <f t="shared" si="66"/>
        <v>0</v>
      </c>
      <c r="H231" s="6">
        <f t="shared" si="67"/>
        <v>0</v>
      </c>
      <c r="I231" s="6">
        <f t="shared" si="68"/>
        <v>0</v>
      </c>
      <c r="J231" s="6">
        <f t="shared" si="69"/>
        <v>0</v>
      </c>
      <c r="K231" s="6">
        <f t="shared" si="70"/>
        <v>0</v>
      </c>
      <c r="L231" s="6">
        <f t="shared" si="71"/>
        <v>0</v>
      </c>
      <c r="M231" s="6">
        <f t="shared" si="72"/>
        <v>0</v>
      </c>
      <c r="N231" s="6">
        <f t="shared" si="73"/>
        <v>0</v>
      </c>
      <c r="O231" s="6">
        <f t="shared" si="74"/>
        <v>0</v>
      </c>
      <c r="P231" s="6">
        <f t="shared" si="75"/>
        <v>0</v>
      </c>
      <c r="Q231" s="6">
        <f t="shared" si="76"/>
        <v>0</v>
      </c>
      <c r="R231" s="6">
        <f t="shared" si="77"/>
        <v>0</v>
      </c>
      <c r="S231" s="6">
        <f t="shared" si="78"/>
        <v>0</v>
      </c>
      <c r="T231" s="6">
        <f t="shared" si="79"/>
        <v>0</v>
      </c>
      <c r="U231" s="6">
        <f t="shared" si="80"/>
        <v>0</v>
      </c>
      <c r="V231" s="6">
        <f t="shared" si="81"/>
        <v>0</v>
      </c>
      <c r="W231" s="6">
        <f t="shared" si="82"/>
        <v>0</v>
      </c>
      <c r="X231" s="6">
        <f t="shared" si="83"/>
        <v>0</v>
      </c>
      <c r="Y231" s="6">
        <f t="shared" si="84"/>
        <v>0</v>
      </c>
      <c r="AA231" s="6" t="str">
        <f>IF(最佳化斷筋點!C231="","",最佳化斷筋點!C231)</f>
        <v>上層</v>
      </c>
      <c r="AB231" s="6">
        <f>IF(最佳化斷筋點!D231="","",最佳化斷筋點!D231)</f>
        <v>5</v>
      </c>
      <c r="AC231" s="6">
        <f>IF(最佳化斷筋點!E231="","",最佳化斷筋點!E231)</f>
        <v>5</v>
      </c>
      <c r="AD231" s="6">
        <f>IF(最佳化斷筋點!F231="","",最佳化斷筋點!F231)</f>
        <v>4</v>
      </c>
      <c r="AE231" s="6">
        <f>IF(最佳化斷筋點!G231="","",最佳化斷筋點!G231)</f>
        <v>4</v>
      </c>
      <c r="AF231" s="6">
        <f>IF(最佳化斷筋點!H231="","",最佳化斷筋點!H231)</f>
        <v>4</v>
      </c>
      <c r="AG231" s="6">
        <f>IF(最佳化斷筋點!I231="","",最佳化斷筋點!I231)</f>
        <v>3</v>
      </c>
      <c r="AH231" s="6">
        <f>IF(最佳化斷筋點!J231="","",最佳化斷筋點!J231)</f>
        <v>3</v>
      </c>
      <c r="AI231" s="6">
        <f>IF(最佳化斷筋點!K231="","",最佳化斷筋點!K231)</f>
        <v>2</v>
      </c>
      <c r="AJ231" s="6">
        <f>IF(最佳化斷筋點!L231="","",最佳化斷筋點!L231)</f>
        <v>2</v>
      </c>
      <c r="AK231" s="6">
        <f>IF(最佳化斷筋點!M231="","",最佳化斷筋點!M231)</f>
        <v>2</v>
      </c>
      <c r="AL231" s="6">
        <f>IF(最佳化斷筋點!N231="","",最佳化斷筋點!N231)</f>
        <v>2</v>
      </c>
      <c r="AM231" s="6">
        <f>IF(最佳化斷筋點!O231="","",最佳化斷筋點!O231)</f>
        <v>2</v>
      </c>
      <c r="AN231" s="6">
        <f>IF(最佳化斷筋點!P231="","",最佳化斷筋點!P231)</f>
        <v>2</v>
      </c>
      <c r="AO231" s="6">
        <f>IF(最佳化斷筋點!Q231="","",最佳化斷筋點!Q231)</f>
        <v>2</v>
      </c>
      <c r="AP231" s="6">
        <f>IF(最佳化斷筋點!R231="","",最佳化斷筋點!R231)</f>
        <v>2</v>
      </c>
      <c r="AQ231" s="6">
        <f>IF(最佳化斷筋點!S231="","",最佳化斷筋點!S231)</f>
        <v>3</v>
      </c>
      <c r="AR231" s="6">
        <f>IF(最佳化斷筋點!T231="","",最佳化斷筋點!T231)</f>
        <v>3</v>
      </c>
      <c r="AS231" s="6">
        <f>IF(最佳化斷筋點!U231="","",最佳化斷筋點!U231)</f>
        <v>4</v>
      </c>
      <c r="AT231" s="6">
        <f>IF(最佳化斷筋點!V231="","",最佳化斷筋點!V231)</f>
        <v>4</v>
      </c>
      <c r="AU231" s="6">
        <f>IF(最佳化斷筋點!W231="","",最佳化斷筋點!W231)</f>
        <v>5</v>
      </c>
      <c r="AV231" s="6">
        <f>IF(最佳化斷筋點!X231="","",最佳化斷筋點!X231)</f>
        <v>5</v>
      </c>
      <c r="AX231" s="6" t="s">
        <v>50</v>
      </c>
      <c r="AY231" s="6">
        <v>5</v>
      </c>
      <c r="AZ231" s="6">
        <v>5</v>
      </c>
      <c r="BA231" s="6">
        <v>4</v>
      </c>
      <c r="BB231" s="6">
        <v>4</v>
      </c>
      <c r="BC231" s="6">
        <v>4</v>
      </c>
      <c r="BD231" s="6">
        <v>3</v>
      </c>
      <c r="BE231" s="6">
        <v>3</v>
      </c>
      <c r="BF231" s="6">
        <v>2</v>
      </c>
      <c r="BG231" s="6">
        <v>2</v>
      </c>
      <c r="BH231" s="6">
        <v>2</v>
      </c>
      <c r="BI231" s="6">
        <v>2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</row>
    <row r="232" spans="4:71" x14ac:dyDescent="0.25">
      <c r="E232" s="6">
        <f t="shared" si="64"/>
        <v>0</v>
      </c>
      <c r="F232" s="6">
        <f t="shared" si="65"/>
        <v>0</v>
      </c>
      <c r="G232" s="6">
        <f t="shared" si="66"/>
        <v>0</v>
      </c>
      <c r="H232" s="6">
        <f t="shared" si="67"/>
        <v>0</v>
      </c>
      <c r="I232" s="6">
        <f t="shared" si="68"/>
        <v>0</v>
      </c>
      <c r="J232" s="6">
        <f t="shared" si="69"/>
        <v>0</v>
      </c>
      <c r="K232" s="6">
        <f t="shared" si="70"/>
        <v>0</v>
      </c>
      <c r="L232" s="6">
        <f t="shared" si="71"/>
        <v>0</v>
      </c>
      <c r="M232" s="6">
        <f t="shared" si="72"/>
        <v>0</v>
      </c>
      <c r="N232" s="6">
        <f t="shared" si="73"/>
        <v>0</v>
      </c>
      <c r="O232" s="6">
        <f t="shared" si="74"/>
        <v>0</v>
      </c>
      <c r="P232" s="6">
        <f t="shared" si="75"/>
        <v>0</v>
      </c>
      <c r="Q232" s="6">
        <f t="shared" si="76"/>
        <v>0</v>
      </c>
      <c r="R232" s="6">
        <f t="shared" si="77"/>
        <v>0</v>
      </c>
      <c r="S232" s="6">
        <f t="shared" si="78"/>
        <v>0</v>
      </c>
      <c r="T232" s="6">
        <f t="shared" si="79"/>
        <v>0</v>
      </c>
      <c r="U232" s="6">
        <f t="shared" si="80"/>
        <v>0</v>
      </c>
      <c r="V232" s="6">
        <f t="shared" si="81"/>
        <v>0</v>
      </c>
      <c r="W232" s="6">
        <f t="shared" si="82"/>
        <v>0</v>
      </c>
      <c r="X232" s="6">
        <f t="shared" si="83"/>
        <v>0</v>
      </c>
      <c r="Y232" s="6">
        <f t="shared" si="84"/>
        <v>0</v>
      </c>
      <c r="AA232" s="6" t="str">
        <f>IF(最佳化斷筋點!C232="","",最佳化斷筋點!C232)</f>
        <v/>
      </c>
      <c r="AB232" s="6" t="str">
        <f>IF(最佳化斷筋點!D232="","",最佳化斷筋點!D232)</f>
        <v/>
      </c>
      <c r="AC232" s="6" t="str">
        <f>IF(最佳化斷筋點!E232="","",最佳化斷筋點!E232)</f>
        <v/>
      </c>
      <c r="AD232" s="6" t="str">
        <f>IF(最佳化斷筋點!F232="","",最佳化斷筋點!F232)</f>
        <v/>
      </c>
      <c r="AE232" s="6" t="str">
        <f>IF(最佳化斷筋點!G232="","",最佳化斷筋點!G232)</f>
        <v/>
      </c>
      <c r="AF232" s="6" t="str">
        <f>IF(最佳化斷筋點!H232="","",最佳化斷筋點!H232)</f>
        <v/>
      </c>
      <c r="AG232" s="6" t="str">
        <f>IF(最佳化斷筋點!I232="","",最佳化斷筋點!I232)</f>
        <v/>
      </c>
      <c r="AH232" s="6" t="str">
        <f>IF(最佳化斷筋點!J232="","",最佳化斷筋點!J232)</f>
        <v/>
      </c>
      <c r="AI232" s="6" t="str">
        <f>IF(最佳化斷筋點!K232="","",最佳化斷筋點!K232)</f>
        <v/>
      </c>
      <c r="AJ232" s="6" t="str">
        <f>IF(最佳化斷筋點!L232="","",最佳化斷筋點!L232)</f>
        <v/>
      </c>
      <c r="AK232" s="6" t="str">
        <f>IF(最佳化斷筋點!M232="","",最佳化斷筋點!M232)</f>
        <v/>
      </c>
      <c r="AL232" s="6" t="str">
        <f>IF(最佳化斷筋點!N232="","",最佳化斷筋點!N232)</f>
        <v/>
      </c>
      <c r="AM232" s="6" t="str">
        <f>IF(最佳化斷筋點!O232="","",最佳化斷筋點!O232)</f>
        <v/>
      </c>
      <c r="AN232" s="6" t="str">
        <f>IF(最佳化斷筋點!P232="","",最佳化斷筋點!P232)</f>
        <v/>
      </c>
      <c r="AO232" s="6" t="str">
        <f>IF(最佳化斷筋點!Q232="","",最佳化斷筋點!Q232)</f>
        <v/>
      </c>
      <c r="AP232" s="6" t="str">
        <f>IF(最佳化斷筋點!R232="","",最佳化斷筋點!R232)</f>
        <v/>
      </c>
      <c r="AQ232" s="6" t="str">
        <f>IF(最佳化斷筋點!S232="","",最佳化斷筋點!S232)</f>
        <v/>
      </c>
      <c r="AR232" s="6" t="str">
        <f>IF(最佳化斷筋點!T232="","",最佳化斷筋點!T232)</f>
        <v/>
      </c>
      <c r="AS232" s="6" t="str">
        <f>IF(最佳化斷筋點!U232="","",最佳化斷筋點!U232)</f>
        <v/>
      </c>
      <c r="AT232" s="6" t="str">
        <f>IF(最佳化斷筋點!V232="","",最佳化斷筋點!V232)</f>
        <v/>
      </c>
      <c r="AU232" s="6" t="str">
        <f>IF(最佳化斷筋點!W232="","",最佳化斷筋點!W232)</f>
        <v/>
      </c>
      <c r="AV232" s="6" t="str">
        <f>IF(最佳化斷筋點!X232="","",最佳化斷筋點!X232)</f>
        <v/>
      </c>
    </row>
    <row r="233" spans="4:71" x14ac:dyDescent="0.25">
      <c r="D233" s="6" t="s">
        <v>51</v>
      </c>
      <c r="E233" s="6">
        <f t="shared" si="64"/>
        <v>0</v>
      </c>
      <c r="F233" s="6">
        <f t="shared" si="65"/>
        <v>0</v>
      </c>
      <c r="G233" s="6">
        <f t="shared" si="66"/>
        <v>0</v>
      </c>
      <c r="H233" s="6">
        <f t="shared" si="67"/>
        <v>0</v>
      </c>
      <c r="I233" s="6">
        <f t="shared" si="68"/>
        <v>0</v>
      </c>
      <c r="J233" s="6">
        <f t="shared" si="69"/>
        <v>0</v>
      </c>
      <c r="K233" s="6">
        <f t="shared" si="70"/>
        <v>0</v>
      </c>
      <c r="L233" s="6">
        <f t="shared" si="71"/>
        <v>0</v>
      </c>
      <c r="M233" s="6">
        <f t="shared" si="72"/>
        <v>0</v>
      </c>
      <c r="N233" s="6">
        <f t="shared" si="73"/>
        <v>0</v>
      </c>
      <c r="O233" s="6">
        <f t="shared" si="74"/>
        <v>0</v>
      </c>
      <c r="P233" s="6">
        <f t="shared" si="75"/>
        <v>0</v>
      </c>
      <c r="Q233" s="6">
        <f t="shared" si="76"/>
        <v>0</v>
      </c>
      <c r="R233" s="6">
        <f t="shared" si="77"/>
        <v>0</v>
      </c>
      <c r="S233" s="6">
        <f t="shared" si="78"/>
        <v>0</v>
      </c>
      <c r="T233" s="6">
        <f t="shared" si="79"/>
        <v>0</v>
      </c>
      <c r="U233" s="6">
        <f t="shared" si="80"/>
        <v>0</v>
      </c>
      <c r="V233" s="6">
        <f t="shared" si="81"/>
        <v>0</v>
      </c>
      <c r="W233" s="6">
        <f t="shared" si="82"/>
        <v>0</v>
      </c>
      <c r="X233" s="6">
        <f t="shared" si="83"/>
        <v>0</v>
      </c>
      <c r="Y233" s="6">
        <f t="shared" si="84"/>
        <v>0</v>
      </c>
      <c r="AA233" s="6" t="str">
        <f>IF(最佳化斷筋點!C233="","",最佳化斷筋點!C233)</f>
        <v>下層</v>
      </c>
      <c r="AB233" s="6">
        <f>IF(最佳化斷筋點!D233="","",最佳化斷筋點!D233)</f>
        <v>3</v>
      </c>
      <c r="AC233" s="6">
        <f>IF(最佳化斷筋點!E233="","",最佳化斷筋點!E233)</f>
        <v>3</v>
      </c>
      <c r="AD233" s="6">
        <f>IF(最佳化斷筋點!F233="","",最佳化斷筋點!F233)</f>
        <v>3</v>
      </c>
      <c r="AE233" s="6">
        <f>IF(最佳化斷筋點!G233="","",最佳化斷筋點!G233)</f>
        <v>3</v>
      </c>
      <c r="AF233" s="6">
        <f>IF(最佳化斷筋點!H233="","",最佳化斷筋點!H233)</f>
        <v>3</v>
      </c>
      <c r="AG233" s="6">
        <f>IF(最佳化斷筋點!I233="","",最佳化斷筋點!I233)</f>
        <v>3</v>
      </c>
      <c r="AH233" s="6">
        <f>IF(最佳化斷筋點!J233="","",最佳化斷筋點!J233)</f>
        <v>4</v>
      </c>
      <c r="AI233" s="6">
        <f>IF(最佳化斷筋點!K233="","",最佳化斷筋點!K233)</f>
        <v>4</v>
      </c>
      <c r="AJ233" s="6">
        <f>IF(最佳化斷筋點!L233="","",最佳化斷筋點!L233)</f>
        <v>4</v>
      </c>
      <c r="AK233" s="6">
        <f>IF(最佳化斷筋點!M233="","",最佳化斷筋點!M233)</f>
        <v>4</v>
      </c>
      <c r="AL233" s="6">
        <f>IF(最佳化斷筋點!N233="","",最佳化斷筋點!N233)</f>
        <v>4</v>
      </c>
      <c r="AM233" s="6">
        <f>IF(最佳化斷筋點!O233="","",最佳化斷筋點!O233)</f>
        <v>4</v>
      </c>
      <c r="AN233" s="6">
        <f>IF(最佳化斷筋點!P233="","",最佳化斷筋點!P233)</f>
        <v>4</v>
      </c>
      <c r="AO233" s="6">
        <f>IF(最佳化斷筋點!Q233="","",最佳化斷筋點!Q233)</f>
        <v>4</v>
      </c>
      <c r="AP233" s="6">
        <f>IF(最佳化斷筋點!R233="","",最佳化斷筋點!R233)</f>
        <v>4</v>
      </c>
      <c r="AQ233" s="6">
        <f>IF(最佳化斷筋點!S233="","",最佳化斷筋點!S233)</f>
        <v>3</v>
      </c>
      <c r="AR233" s="6">
        <f>IF(最佳化斷筋點!T233="","",最佳化斷筋點!T233)</f>
        <v>3</v>
      </c>
      <c r="AS233" s="6">
        <f>IF(最佳化斷筋點!U233="","",最佳化斷筋點!U233)</f>
        <v>3</v>
      </c>
      <c r="AT233" s="6">
        <f>IF(最佳化斷筋點!V233="","",最佳化斷筋點!V233)</f>
        <v>3</v>
      </c>
      <c r="AU233" s="6">
        <f>IF(最佳化斷筋點!W233="","",最佳化斷筋點!W233)</f>
        <v>3</v>
      </c>
      <c r="AV233" s="6">
        <f>IF(最佳化斷筋點!X233="","",最佳化斷筋點!X233)</f>
        <v>3</v>
      </c>
      <c r="AX233" s="6" t="s">
        <v>51</v>
      </c>
      <c r="AY233" s="6">
        <v>3</v>
      </c>
      <c r="AZ233" s="6">
        <v>3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3</v>
      </c>
      <c r="BO233" s="6">
        <v>3</v>
      </c>
      <c r="BP233" s="6">
        <v>3</v>
      </c>
      <c r="BQ233" s="6">
        <v>3</v>
      </c>
      <c r="BR233" s="6">
        <v>3</v>
      </c>
      <c r="BS233" s="6">
        <v>3</v>
      </c>
    </row>
    <row r="234" spans="4:71" x14ac:dyDescent="0.25">
      <c r="E234" s="6">
        <f t="shared" si="64"/>
        <v>0</v>
      </c>
      <c r="F234" s="6">
        <f t="shared" si="65"/>
        <v>0</v>
      </c>
      <c r="G234" s="6">
        <f t="shared" si="66"/>
        <v>0</v>
      </c>
      <c r="H234" s="6">
        <f t="shared" si="67"/>
        <v>0</v>
      </c>
      <c r="I234" s="6">
        <f t="shared" si="68"/>
        <v>0</v>
      </c>
      <c r="J234" s="6">
        <f t="shared" si="69"/>
        <v>0</v>
      </c>
      <c r="K234" s="6">
        <f t="shared" si="70"/>
        <v>0</v>
      </c>
      <c r="L234" s="6">
        <f t="shared" si="71"/>
        <v>0</v>
      </c>
      <c r="M234" s="6">
        <f t="shared" si="72"/>
        <v>0</v>
      </c>
      <c r="N234" s="6">
        <f t="shared" si="73"/>
        <v>0</v>
      </c>
      <c r="O234" s="6">
        <f t="shared" si="74"/>
        <v>0</v>
      </c>
      <c r="P234" s="6">
        <f t="shared" si="75"/>
        <v>0</v>
      </c>
      <c r="Q234" s="6">
        <f t="shared" si="76"/>
        <v>0</v>
      </c>
      <c r="R234" s="6">
        <f t="shared" si="77"/>
        <v>0</v>
      </c>
      <c r="S234" s="6">
        <f t="shared" si="78"/>
        <v>0</v>
      </c>
      <c r="T234" s="6">
        <f t="shared" si="79"/>
        <v>0</v>
      </c>
      <c r="U234" s="6">
        <f t="shared" si="80"/>
        <v>0</v>
      </c>
      <c r="V234" s="6">
        <f t="shared" si="81"/>
        <v>0</v>
      </c>
      <c r="W234" s="6">
        <f t="shared" si="82"/>
        <v>0</v>
      </c>
      <c r="X234" s="6">
        <f t="shared" si="83"/>
        <v>0</v>
      </c>
      <c r="Y234" s="6">
        <f t="shared" si="84"/>
        <v>0</v>
      </c>
      <c r="AA234" s="6" t="str">
        <f>IF(最佳化斷筋點!C234="","",最佳化斷筋點!C234)</f>
        <v/>
      </c>
      <c r="AB234" s="6" t="str">
        <f>IF(最佳化斷筋點!D234="","",最佳化斷筋點!D234)</f>
        <v/>
      </c>
      <c r="AC234" s="6" t="str">
        <f>IF(最佳化斷筋點!E234="","",最佳化斷筋點!E234)</f>
        <v/>
      </c>
      <c r="AD234" s="6" t="str">
        <f>IF(最佳化斷筋點!F234="","",最佳化斷筋點!F234)</f>
        <v/>
      </c>
      <c r="AE234" s="6" t="str">
        <f>IF(最佳化斷筋點!G234="","",最佳化斷筋點!G234)</f>
        <v/>
      </c>
      <c r="AF234" s="6" t="str">
        <f>IF(最佳化斷筋點!H234="","",最佳化斷筋點!H234)</f>
        <v/>
      </c>
      <c r="AG234" s="6" t="str">
        <f>IF(最佳化斷筋點!I234="","",最佳化斷筋點!I234)</f>
        <v/>
      </c>
      <c r="AH234" s="6" t="str">
        <f>IF(最佳化斷筋點!J234="","",最佳化斷筋點!J234)</f>
        <v/>
      </c>
      <c r="AI234" s="6" t="str">
        <f>IF(最佳化斷筋點!K234="","",最佳化斷筋點!K234)</f>
        <v/>
      </c>
      <c r="AJ234" s="6" t="str">
        <f>IF(最佳化斷筋點!L234="","",最佳化斷筋點!L234)</f>
        <v/>
      </c>
      <c r="AK234" s="6" t="str">
        <f>IF(最佳化斷筋點!M234="","",最佳化斷筋點!M234)</f>
        <v/>
      </c>
      <c r="AL234" s="6" t="str">
        <f>IF(最佳化斷筋點!N234="","",最佳化斷筋點!N234)</f>
        <v/>
      </c>
      <c r="AM234" s="6" t="str">
        <f>IF(最佳化斷筋點!O234="","",最佳化斷筋點!O234)</f>
        <v/>
      </c>
      <c r="AN234" s="6" t="str">
        <f>IF(最佳化斷筋點!P234="","",最佳化斷筋點!P234)</f>
        <v/>
      </c>
      <c r="AO234" s="6" t="str">
        <f>IF(最佳化斷筋點!Q234="","",最佳化斷筋點!Q234)</f>
        <v/>
      </c>
      <c r="AP234" s="6" t="str">
        <f>IF(最佳化斷筋點!R234="","",最佳化斷筋點!R234)</f>
        <v/>
      </c>
      <c r="AQ234" s="6" t="str">
        <f>IF(最佳化斷筋點!S234="","",最佳化斷筋點!S234)</f>
        <v/>
      </c>
      <c r="AR234" s="6" t="str">
        <f>IF(最佳化斷筋點!T234="","",最佳化斷筋點!T234)</f>
        <v/>
      </c>
      <c r="AS234" s="6" t="str">
        <f>IF(最佳化斷筋點!U234="","",最佳化斷筋點!U234)</f>
        <v/>
      </c>
      <c r="AT234" s="6" t="str">
        <f>IF(最佳化斷筋點!V234="","",最佳化斷筋點!V234)</f>
        <v/>
      </c>
      <c r="AU234" s="6" t="str">
        <f>IF(最佳化斷筋點!W234="","",最佳化斷筋點!W234)</f>
        <v/>
      </c>
      <c r="AV234" s="6" t="str">
        <f>IF(最佳化斷筋點!X234="","",最佳化斷筋點!X234)</f>
        <v/>
      </c>
    </row>
    <row r="235" spans="4:71" x14ac:dyDescent="0.25">
      <c r="D235" s="6" t="s">
        <v>50</v>
      </c>
      <c r="E235" s="6">
        <f t="shared" si="64"/>
        <v>0</v>
      </c>
      <c r="F235" s="6">
        <f t="shared" si="65"/>
        <v>0</v>
      </c>
      <c r="G235" s="6">
        <f t="shared" si="66"/>
        <v>0</v>
      </c>
      <c r="H235" s="6">
        <f t="shared" si="67"/>
        <v>0</v>
      </c>
      <c r="I235" s="6">
        <f t="shared" si="68"/>
        <v>0</v>
      </c>
      <c r="J235" s="6">
        <f t="shared" si="69"/>
        <v>0</v>
      </c>
      <c r="K235" s="6">
        <f t="shared" si="70"/>
        <v>0</v>
      </c>
      <c r="L235" s="6">
        <f t="shared" si="71"/>
        <v>0</v>
      </c>
      <c r="M235" s="6">
        <f t="shared" si="72"/>
        <v>0</v>
      </c>
      <c r="N235" s="6">
        <f t="shared" si="73"/>
        <v>0</v>
      </c>
      <c r="O235" s="6">
        <f t="shared" si="74"/>
        <v>0</v>
      </c>
      <c r="P235" s="6">
        <f t="shared" si="75"/>
        <v>0</v>
      </c>
      <c r="Q235" s="6">
        <f t="shared" si="76"/>
        <v>0</v>
      </c>
      <c r="R235" s="6">
        <f t="shared" si="77"/>
        <v>0</v>
      </c>
      <c r="S235" s="6">
        <f t="shared" si="78"/>
        <v>0</v>
      </c>
      <c r="T235" s="6">
        <f t="shared" si="79"/>
        <v>0</v>
      </c>
      <c r="U235" s="6">
        <f t="shared" si="80"/>
        <v>0</v>
      </c>
      <c r="V235" s="6">
        <f t="shared" si="81"/>
        <v>0</v>
      </c>
      <c r="W235" s="6">
        <f t="shared" si="82"/>
        <v>0</v>
      </c>
      <c r="X235" s="6">
        <f t="shared" si="83"/>
        <v>0</v>
      </c>
      <c r="Y235" s="6">
        <f t="shared" si="84"/>
        <v>0</v>
      </c>
      <c r="AA235" s="6" t="str">
        <f>IF(最佳化斷筋點!C235="","",最佳化斷筋點!C235)</f>
        <v>上層</v>
      </c>
      <c r="AB235" s="6">
        <f>IF(最佳化斷筋點!D235="","",最佳化斷筋點!D235)</f>
        <v>5</v>
      </c>
      <c r="AC235" s="6">
        <f>IF(最佳化斷筋點!E235="","",最佳化斷筋點!E235)</f>
        <v>5</v>
      </c>
      <c r="AD235" s="6">
        <f>IF(最佳化斷筋點!F235="","",最佳化斷筋點!F235)</f>
        <v>4</v>
      </c>
      <c r="AE235" s="6">
        <f>IF(最佳化斷筋點!G235="","",最佳化斷筋點!G235)</f>
        <v>4</v>
      </c>
      <c r="AF235" s="6">
        <f>IF(最佳化斷筋點!H235="","",最佳化斷筋點!H235)</f>
        <v>4</v>
      </c>
      <c r="AG235" s="6">
        <f>IF(最佳化斷筋點!I235="","",最佳化斷筋點!I235)</f>
        <v>3</v>
      </c>
      <c r="AH235" s="6">
        <f>IF(最佳化斷筋點!J235="","",最佳化斷筋點!J235)</f>
        <v>3</v>
      </c>
      <c r="AI235" s="6">
        <f>IF(最佳化斷筋點!K235="","",最佳化斷筋點!K235)</f>
        <v>2</v>
      </c>
      <c r="AJ235" s="6">
        <f>IF(最佳化斷筋點!L235="","",最佳化斷筋點!L235)</f>
        <v>2</v>
      </c>
      <c r="AK235" s="6">
        <f>IF(最佳化斷筋點!M235="","",最佳化斷筋點!M235)</f>
        <v>2</v>
      </c>
      <c r="AL235" s="6">
        <f>IF(最佳化斷筋點!N235="","",最佳化斷筋點!N235)</f>
        <v>2</v>
      </c>
      <c r="AM235" s="6">
        <f>IF(最佳化斷筋點!O235="","",最佳化斷筋點!O235)</f>
        <v>2</v>
      </c>
      <c r="AN235" s="6">
        <f>IF(最佳化斷筋點!P235="","",最佳化斷筋點!P235)</f>
        <v>2</v>
      </c>
      <c r="AO235" s="6">
        <f>IF(最佳化斷筋點!Q235="","",最佳化斷筋點!Q235)</f>
        <v>2</v>
      </c>
      <c r="AP235" s="6">
        <f>IF(最佳化斷筋點!R235="","",最佳化斷筋點!R235)</f>
        <v>2</v>
      </c>
      <c r="AQ235" s="6">
        <f>IF(最佳化斷筋點!S235="","",最佳化斷筋點!S235)</f>
        <v>3</v>
      </c>
      <c r="AR235" s="6">
        <f>IF(最佳化斷筋點!T235="","",最佳化斷筋點!T235)</f>
        <v>3</v>
      </c>
      <c r="AS235" s="6">
        <f>IF(最佳化斷筋點!U235="","",最佳化斷筋點!U235)</f>
        <v>4</v>
      </c>
      <c r="AT235" s="6">
        <f>IF(最佳化斷筋點!V235="","",最佳化斷筋點!V235)</f>
        <v>4</v>
      </c>
      <c r="AU235" s="6">
        <f>IF(最佳化斷筋點!W235="","",最佳化斷筋點!W235)</f>
        <v>5</v>
      </c>
      <c r="AV235" s="6">
        <f>IF(最佳化斷筋點!X235="","",最佳化斷筋點!X235)</f>
        <v>5</v>
      </c>
      <c r="AX235" s="6" t="s">
        <v>50</v>
      </c>
      <c r="AY235" s="6">
        <v>5</v>
      </c>
      <c r="AZ235" s="6">
        <v>5</v>
      </c>
      <c r="BA235" s="6">
        <v>4</v>
      </c>
      <c r="BB235" s="6">
        <v>4</v>
      </c>
      <c r="BC235" s="6">
        <v>4</v>
      </c>
      <c r="BD235" s="6">
        <v>3</v>
      </c>
      <c r="BE235" s="6">
        <v>3</v>
      </c>
      <c r="BF235" s="6">
        <v>2</v>
      </c>
      <c r="BG235" s="6">
        <v>2</v>
      </c>
      <c r="BH235" s="6">
        <v>2</v>
      </c>
      <c r="BI235" s="6">
        <v>2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</row>
    <row r="236" spans="4:71" x14ac:dyDescent="0.25">
      <c r="E236" s="6">
        <f t="shared" si="64"/>
        <v>0</v>
      </c>
      <c r="F236" s="6">
        <f t="shared" si="65"/>
        <v>0</v>
      </c>
      <c r="G236" s="6">
        <f t="shared" si="66"/>
        <v>0</v>
      </c>
      <c r="H236" s="6">
        <f t="shared" si="67"/>
        <v>0</v>
      </c>
      <c r="I236" s="6">
        <f t="shared" si="68"/>
        <v>0</v>
      </c>
      <c r="J236" s="6">
        <f t="shared" si="69"/>
        <v>0</v>
      </c>
      <c r="K236" s="6">
        <f t="shared" si="70"/>
        <v>0</v>
      </c>
      <c r="L236" s="6">
        <f t="shared" si="71"/>
        <v>0</v>
      </c>
      <c r="M236" s="6">
        <f t="shared" si="72"/>
        <v>0</v>
      </c>
      <c r="N236" s="6">
        <f t="shared" si="73"/>
        <v>0</v>
      </c>
      <c r="O236" s="6">
        <f t="shared" si="74"/>
        <v>0</v>
      </c>
      <c r="P236" s="6">
        <f t="shared" si="75"/>
        <v>0</v>
      </c>
      <c r="Q236" s="6">
        <f t="shared" si="76"/>
        <v>0</v>
      </c>
      <c r="R236" s="6">
        <f t="shared" si="77"/>
        <v>0</v>
      </c>
      <c r="S236" s="6">
        <f t="shared" si="78"/>
        <v>0</v>
      </c>
      <c r="T236" s="6">
        <f t="shared" si="79"/>
        <v>0</v>
      </c>
      <c r="U236" s="6">
        <f t="shared" si="80"/>
        <v>0</v>
      </c>
      <c r="V236" s="6">
        <f t="shared" si="81"/>
        <v>0</v>
      </c>
      <c r="W236" s="6">
        <f t="shared" si="82"/>
        <v>0</v>
      </c>
      <c r="X236" s="6">
        <f t="shared" si="83"/>
        <v>0</v>
      </c>
      <c r="Y236" s="6">
        <f t="shared" si="84"/>
        <v>0</v>
      </c>
      <c r="AA236" s="6" t="str">
        <f>IF(最佳化斷筋點!C236="","",最佳化斷筋點!C236)</f>
        <v/>
      </c>
      <c r="AB236" s="6" t="str">
        <f>IF(最佳化斷筋點!D236="","",最佳化斷筋點!D236)</f>
        <v/>
      </c>
      <c r="AC236" s="6" t="str">
        <f>IF(最佳化斷筋點!E236="","",最佳化斷筋點!E236)</f>
        <v/>
      </c>
      <c r="AD236" s="6" t="str">
        <f>IF(最佳化斷筋點!F236="","",最佳化斷筋點!F236)</f>
        <v/>
      </c>
      <c r="AE236" s="6" t="str">
        <f>IF(最佳化斷筋點!G236="","",最佳化斷筋點!G236)</f>
        <v/>
      </c>
      <c r="AF236" s="6" t="str">
        <f>IF(最佳化斷筋點!H236="","",最佳化斷筋點!H236)</f>
        <v/>
      </c>
      <c r="AG236" s="6" t="str">
        <f>IF(最佳化斷筋點!I236="","",最佳化斷筋點!I236)</f>
        <v/>
      </c>
      <c r="AH236" s="6" t="str">
        <f>IF(最佳化斷筋點!J236="","",最佳化斷筋點!J236)</f>
        <v/>
      </c>
      <c r="AI236" s="6" t="str">
        <f>IF(最佳化斷筋點!K236="","",最佳化斷筋點!K236)</f>
        <v/>
      </c>
      <c r="AJ236" s="6" t="str">
        <f>IF(最佳化斷筋點!L236="","",最佳化斷筋點!L236)</f>
        <v/>
      </c>
      <c r="AK236" s="6" t="str">
        <f>IF(最佳化斷筋點!M236="","",最佳化斷筋點!M236)</f>
        <v/>
      </c>
      <c r="AL236" s="6" t="str">
        <f>IF(最佳化斷筋點!N236="","",最佳化斷筋點!N236)</f>
        <v/>
      </c>
      <c r="AM236" s="6" t="str">
        <f>IF(最佳化斷筋點!O236="","",最佳化斷筋點!O236)</f>
        <v/>
      </c>
      <c r="AN236" s="6" t="str">
        <f>IF(最佳化斷筋點!P236="","",最佳化斷筋點!P236)</f>
        <v/>
      </c>
      <c r="AO236" s="6" t="str">
        <f>IF(最佳化斷筋點!Q236="","",最佳化斷筋點!Q236)</f>
        <v/>
      </c>
      <c r="AP236" s="6" t="str">
        <f>IF(最佳化斷筋點!R236="","",最佳化斷筋點!R236)</f>
        <v/>
      </c>
      <c r="AQ236" s="6" t="str">
        <f>IF(最佳化斷筋點!S236="","",最佳化斷筋點!S236)</f>
        <v/>
      </c>
      <c r="AR236" s="6" t="str">
        <f>IF(最佳化斷筋點!T236="","",最佳化斷筋點!T236)</f>
        <v/>
      </c>
      <c r="AS236" s="6" t="str">
        <f>IF(最佳化斷筋點!U236="","",最佳化斷筋點!U236)</f>
        <v/>
      </c>
      <c r="AT236" s="6" t="str">
        <f>IF(最佳化斷筋點!V236="","",最佳化斷筋點!V236)</f>
        <v/>
      </c>
      <c r="AU236" s="6" t="str">
        <f>IF(最佳化斷筋點!W236="","",最佳化斷筋點!W236)</f>
        <v/>
      </c>
      <c r="AV236" s="6" t="str">
        <f>IF(最佳化斷筋點!X236="","",最佳化斷筋點!X236)</f>
        <v/>
      </c>
    </row>
    <row r="237" spans="4:71" x14ac:dyDescent="0.25">
      <c r="D237" s="6" t="s">
        <v>51</v>
      </c>
      <c r="E237" s="6">
        <f t="shared" si="64"/>
        <v>0</v>
      </c>
      <c r="F237" s="6">
        <f t="shared" si="65"/>
        <v>0</v>
      </c>
      <c r="G237" s="6">
        <f t="shared" si="66"/>
        <v>0</v>
      </c>
      <c r="H237" s="6">
        <f t="shared" si="67"/>
        <v>0</v>
      </c>
      <c r="I237" s="6">
        <f t="shared" si="68"/>
        <v>0</v>
      </c>
      <c r="J237" s="6">
        <f t="shared" si="69"/>
        <v>0</v>
      </c>
      <c r="K237" s="6">
        <f t="shared" si="70"/>
        <v>0</v>
      </c>
      <c r="L237" s="6">
        <f t="shared" si="71"/>
        <v>0</v>
      </c>
      <c r="M237" s="6">
        <f t="shared" si="72"/>
        <v>0</v>
      </c>
      <c r="N237" s="6">
        <f t="shared" si="73"/>
        <v>0</v>
      </c>
      <c r="O237" s="6">
        <f t="shared" si="74"/>
        <v>0</v>
      </c>
      <c r="P237" s="6">
        <f t="shared" si="75"/>
        <v>0</v>
      </c>
      <c r="Q237" s="6">
        <f t="shared" si="76"/>
        <v>0</v>
      </c>
      <c r="R237" s="6">
        <f t="shared" si="77"/>
        <v>0</v>
      </c>
      <c r="S237" s="6">
        <f t="shared" si="78"/>
        <v>0</v>
      </c>
      <c r="T237" s="6">
        <f t="shared" si="79"/>
        <v>0</v>
      </c>
      <c r="U237" s="6">
        <f t="shared" si="80"/>
        <v>0</v>
      </c>
      <c r="V237" s="6">
        <f t="shared" si="81"/>
        <v>0</v>
      </c>
      <c r="W237" s="6">
        <f t="shared" si="82"/>
        <v>0</v>
      </c>
      <c r="X237" s="6">
        <f t="shared" si="83"/>
        <v>0</v>
      </c>
      <c r="Y237" s="6">
        <f t="shared" si="84"/>
        <v>0</v>
      </c>
      <c r="AA237" s="6" t="str">
        <f>IF(最佳化斷筋點!C237="","",最佳化斷筋點!C237)</f>
        <v>下層</v>
      </c>
      <c r="AB237" s="6">
        <f>IF(最佳化斷筋點!D237="","",最佳化斷筋點!D237)</f>
        <v>3</v>
      </c>
      <c r="AC237" s="6">
        <f>IF(最佳化斷筋點!E237="","",最佳化斷筋點!E237)</f>
        <v>3</v>
      </c>
      <c r="AD237" s="6">
        <f>IF(最佳化斷筋點!F237="","",最佳化斷筋點!F237)</f>
        <v>3</v>
      </c>
      <c r="AE237" s="6">
        <f>IF(最佳化斷筋點!G237="","",最佳化斷筋點!G237)</f>
        <v>3</v>
      </c>
      <c r="AF237" s="6">
        <f>IF(最佳化斷筋點!H237="","",最佳化斷筋點!H237)</f>
        <v>3</v>
      </c>
      <c r="AG237" s="6">
        <f>IF(最佳化斷筋點!I237="","",最佳化斷筋點!I237)</f>
        <v>3</v>
      </c>
      <c r="AH237" s="6">
        <f>IF(最佳化斷筋點!J237="","",最佳化斷筋點!J237)</f>
        <v>4</v>
      </c>
      <c r="AI237" s="6">
        <f>IF(最佳化斷筋點!K237="","",最佳化斷筋點!K237)</f>
        <v>4</v>
      </c>
      <c r="AJ237" s="6">
        <f>IF(最佳化斷筋點!L237="","",最佳化斷筋點!L237)</f>
        <v>4</v>
      </c>
      <c r="AK237" s="6">
        <f>IF(最佳化斷筋點!M237="","",最佳化斷筋點!M237)</f>
        <v>4</v>
      </c>
      <c r="AL237" s="6">
        <f>IF(最佳化斷筋點!N237="","",最佳化斷筋點!N237)</f>
        <v>4</v>
      </c>
      <c r="AM237" s="6">
        <f>IF(最佳化斷筋點!O237="","",最佳化斷筋點!O237)</f>
        <v>4</v>
      </c>
      <c r="AN237" s="6">
        <f>IF(最佳化斷筋點!P237="","",最佳化斷筋點!P237)</f>
        <v>4</v>
      </c>
      <c r="AO237" s="6">
        <f>IF(最佳化斷筋點!Q237="","",最佳化斷筋點!Q237)</f>
        <v>4</v>
      </c>
      <c r="AP237" s="6">
        <f>IF(最佳化斷筋點!R237="","",最佳化斷筋點!R237)</f>
        <v>4</v>
      </c>
      <c r="AQ237" s="6">
        <f>IF(最佳化斷筋點!S237="","",最佳化斷筋點!S237)</f>
        <v>3</v>
      </c>
      <c r="AR237" s="6">
        <f>IF(最佳化斷筋點!T237="","",最佳化斷筋點!T237)</f>
        <v>3</v>
      </c>
      <c r="AS237" s="6">
        <f>IF(最佳化斷筋點!U237="","",最佳化斷筋點!U237)</f>
        <v>3</v>
      </c>
      <c r="AT237" s="6">
        <f>IF(最佳化斷筋點!V237="","",最佳化斷筋點!V237)</f>
        <v>3</v>
      </c>
      <c r="AU237" s="6">
        <f>IF(最佳化斷筋點!W237="","",最佳化斷筋點!W237)</f>
        <v>3</v>
      </c>
      <c r="AV237" s="6">
        <f>IF(最佳化斷筋點!X237="","",最佳化斷筋點!X237)</f>
        <v>3</v>
      </c>
      <c r="AX237" s="6" t="s">
        <v>51</v>
      </c>
      <c r="AY237" s="6">
        <v>3</v>
      </c>
      <c r="AZ237" s="6">
        <v>3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3</v>
      </c>
      <c r="BO237" s="6">
        <v>3</v>
      </c>
      <c r="BP237" s="6">
        <v>3</v>
      </c>
      <c r="BQ237" s="6">
        <v>3</v>
      </c>
      <c r="BR237" s="6">
        <v>3</v>
      </c>
      <c r="BS237" s="6">
        <v>3</v>
      </c>
    </row>
    <row r="238" spans="4:71" x14ac:dyDescent="0.25">
      <c r="E238" s="6">
        <f t="shared" si="64"/>
        <v>0</v>
      </c>
      <c r="F238" s="6">
        <f t="shared" si="65"/>
        <v>0</v>
      </c>
      <c r="G238" s="6">
        <f t="shared" si="66"/>
        <v>0</v>
      </c>
      <c r="H238" s="6">
        <f t="shared" si="67"/>
        <v>0</v>
      </c>
      <c r="I238" s="6">
        <f t="shared" si="68"/>
        <v>0</v>
      </c>
      <c r="J238" s="6">
        <f t="shared" si="69"/>
        <v>0</v>
      </c>
      <c r="K238" s="6">
        <f t="shared" si="70"/>
        <v>0</v>
      </c>
      <c r="L238" s="6">
        <f t="shared" si="71"/>
        <v>0</v>
      </c>
      <c r="M238" s="6">
        <f t="shared" si="72"/>
        <v>0</v>
      </c>
      <c r="N238" s="6">
        <f t="shared" si="73"/>
        <v>0</v>
      </c>
      <c r="O238" s="6">
        <f t="shared" si="74"/>
        <v>0</v>
      </c>
      <c r="P238" s="6">
        <f t="shared" si="75"/>
        <v>0</v>
      </c>
      <c r="Q238" s="6">
        <f t="shared" si="76"/>
        <v>0</v>
      </c>
      <c r="R238" s="6">
        <f t="shared" si="77"/>
        <v>0</v>
      </c>
      <c r="S238" s="6">
        <f t="shared" si="78"/>
        <v>0</v>
      </c>
      <c r="T238" s="6">
        <f t="shared" si="79"/>
        <v>0</v>
      </c>
      <c r="U238" s="6">
        <f t="shared" si="80"/>
        <v>0</v>
      </c>
      <c r="V238" s="6">
        <f t="shared" si="81"/>
        <v>0</v>
      </c>
      <c r="W238" s="6">
        <f t="shared" si="82"/>
        <v>0</v>
      </c>
      <c r="X238" s="6">
        <f t="shared" si="83"/>
        <v>0</v>
      </c>
      <c r="Y238" s="6">
        <f t="shared" si="84"/>
        <v>0</v>
      </c>
      <c r="AA238" s="6" t="str">
        <f>IF(最佳化斷筋點!C238="","",最佳化斷筋點!C238)</f>
        <v/>
      </c>
      <c r="AB238" s="6" t="str">
        <f>IF(最佳化斷筋點!D238="","",最佳化斷筋點!D238)</f>
        <v/>
      </c>
      <c r="AC238" s="6" t="str">
        <f>IF(最佳化斷筋點!E238="","",最佳化斷筋點!E238)</f>
        <v/>
      </c>
      <c r="AD238" s="6" t="str">
        <f>IF(最佳化斷筋點!F238="","",最佳化斷筋點!F238)</f>
        <v/>
      </c>
      <c r="AE238" s="6" t="str">
        <f>IF(最佳化斷筋點!G238="","",最佳化斷筋點!G238)</f>
        <v/>
      </c>
      <c r="AF238" s="6" t="str">
        <f>IF(最佳化斷筋點!H238="","",最佳化斷筋點!H238)</f>
        <v/>
      </c>
      <c r="AG238" s="6" t="str">
        <f>IF(最佳化斷筋點!I238="","",最佳化斷筋點!I238)</f>
        <v/>
      </c>
      <c r="AH238" s="6" t="str">
        <f>IF(最佳化斷筋點!J238="","",最佳化斷筋點!J238)</f>
        <v/>
      </c>
      <c r="AI238" s="6" t="str">
        <f>IF(最佳化斷筋點!K238="","",最佳化斷筋點!K238)</f>
        <v/>
      </c>
      <c r="AJ238" s="6" t="str">
        <f>IF(最佳化斷筋點!L238="","",最佳化斷筋點!L238)</f>
        <v/>
      </c>
      <c r="AK238" s="6" t="str">
        <f>IF(最佳化斷筋點!M238="","",最佳化斷筋點!M238)</f>
        <v/>
      </c>
      <c r="AL238" s="6" t="str">
        <f>IF(最佳化斷筋點!N238="","",最佳化斷筋點!N238)</f>
        <v/>
      </c>
      <c r="AM238" s="6" t="str">
        <f>IF(最佳化斷筋點!O238="","",最佳化斷筋點!O238)</f>
        <v/>
      </c>
      <c r="AN238" s="6" t="str">
        <f>IF(最佳化斷筋點!P238="","",最佳化斷筋點!P238)</f>
        <v/>
      </c>
      <c r="AO238" s="6" t="str">
        <f>IF(最佳化斷筋點!Q238="","",最佳化斷筋點!Q238)</f>
        <v/>
      </c>
      <c r="AP238" s="6" t="str">
        <f>IF(最佳化斷筋點!R238="","",最佳化斷筋點!R238)</f>
        <v/>
      </c>
      <c r="AQ238" s="6" t="str">
        <f>IF(最佳化斷筋點!S238="","",最佳化斷筋點!S238)</f>
        <v/>
      </c>
      <c r="AR238" s="6" t="str">
        <f>IF(最佳化斷筋點!T238="","",最佳化斷筋點!T238)</f>
        <v/>
      </c>
      <c r="AS238" s="6" t="str">
        <f>IF(最佳化斷筋點!U238="","",最佳化斷筋點!U238)</f>
        <v/>
      </c>
      <c r="AT238" s="6" t="str">
        <f>IF(最佳化斷筋點!V238="","",最佳化斷筋點!V238)</f>
        <v/>
      </c>
      <c r="AU238" s="6" t="str">
        <f>IF(最佳化斷筋點!W238="","",最佳化斷筋點!W238)</f>
        <v/>
      </c>
      <c r="AV238" s="6" t="str">
        <f>IF(最佳化斷筋點!X238="","",最佳化斷筋點!X238)</f>
        <v/>
      </c>
    </row>
    <row r="239" spans="4:71" x14ac:dyDescent="0.25">
      <c r="D239" s="6" t="s">
        <v>50</v>
      </c>
      <c r="E239" s="6">
        <f t="shared" si="64"/>
        <v>0</v>
      </c>
      <c r="F239" s="6">
        <f t="shared" si="65"/>
        <v>0</v>
      </c>
      <c r="G239" s="6">
        <f t="shared" si="66"/>
        <v>0</v>
      </c>
      <c r="H239" s="6">
        <f t="shared" si="67"/>
        <v>0</v>
      </c>
      <c r="I239" s="6">
        <f t="shared" si="68"/>
        <v>0</v>
      </c>
      <c r="J239" s="6">
        <f t="shared" si="69"/>
        <v>0</v>
      </c>
      <c r="K239" s="6">
        <f t="shared" si="70"/>
        <v>0</v>
      </c>
      <c r="L239" s="6">
        <f t="shared" si="71"/>
        <v>0</v>
      </c>
      <c r="M239" s="6">
        <f t="shared" si="72"/>
        <v>0</v>
      </c>
      <c r="N239" s="6">
        <f t="shared" si="73"/>
        <v>0</v>
      </c>
      <c r="O239" s="6">
        <f t="shared" si="74"/>
        <v>0</v>
      </c>
      <c r="P239" s="6">
        <f t="shared" si="75"/>
        <v>0</v>
      </c>
      <c r="Q239" s="6">
        <f t="shared" si="76"/>
        <v>0</v>
      </c>
      <c r="R239" s="6">
        <f t="shared" si="77"/>
        <v>0</v>
      </c>
      <c r="S239" s="6">
        <f t="shared" si="78"/>
        <v>0</v>
      </c>
      <c r="T239" s="6">
        <f t="shared" si="79"/>
        <v>0</v>
      </c>
      <c r="U239" s="6">
        <f t="shared" si="80"/>
        <v>0</v>
      </c>
      <c r="V239" s="6">
        <f t="shared" si="81"/>
        <v>0</v>
      </c>
      <c r="W239" s="6">
        <f t="shared" si="82"/>
        <v>0</v>
      </c>
      <c r="X239" s="6">
        <f t="shared" si="83"/>
        <v>0</v>
      </c>
      <c r="Y239" s="6">
        <f t="shared" si="84"/>
        <v>0</v>
      </c>
      <c r="AA239" s="6" t="str">
        <f>IF(最佳化斷筋點!C239="","",最佳化斷筋點!C239)</f>
        <v>上層</v>
      </c>
      <c r="AB239" s="6">
        <f>IF(最佳化斷筋點!D239="","",最佳化斷筋點!D239)</f>
        <v>5</v>
      </c>
      <c r="AC239" s="6">
        <f>IF(最佳化斷筋點!E239="","",最佳化斷筋點!E239)</f>
        <v>5</v>
      </c>
      <c r="AD239" s="6">
        <f>IF(最佳化斷筋點!F239="","",最佳化斷筋點!F239)</f>
        <v>4</v>
      </c>
      <c r="AE239" s="6">
        <f>IF(最佳化斷筋點!G239="","",最佳化斷筋點!G239)</f>
        <v>4</v>
      </c>
      <c r="AF239" s="6">
        <f>IF(最佳化斷筋點!H239="","",最佳化斷筋點!H239)</f>
        <v>4</v>
      </c>
      <c r="AG239" s="6">
        <f>IF(最佳化斷筋點!I239="","",最佳化斷筋點!I239)</f>
        <v>3</v>
      </c>
      <c r="AH239" s="6">
        <f>IF(最佳化斷筋點!J239="","",最佳化斷筋點!J239)</f>
        <v>3</v>
      </c>
      <c r="AI239" s="6">
        <f>IF(最佳化斷筋點!K239="","",最佳化斷筋點!K239)</f>
        <v>2</v>
      </c>
      <c r="AJ239" s="6">
        <f>IF(最佳化斷筋點!L239="","",最佳化斷筋點!L239)</f>
        <v>2</v>
      </c>
      <c r="AK239" s="6">
        <f>IF(最佳化斷筋點!M239="","",最佳化斷筋點!M239)</f>
        <v>2</v>
      </c>
      <c r="AL239" s="6">
        <f>IF(最佳化斷筋點!N239="","",最佳化斷筋點!N239)</f>
        <v>2</v>
      </c>
      <c r="AM239" s="6">
        <f>IF(最佳化斷筋點!O239="","",最佳化斷筋點!O239)</f>
        <v>2</v>
      </c>
      <c r="AN239" s="6">
        <f>IF(最佳化斷筋點!P239="","",最佳化斷筋點!P239)</f>
        <v>2</v>
      </c>
      <c r="AO239" s="6">
        <f>IF(最佳化斷筋點!Q239="","",最佳化斷筋點!Q239)</f>
        <v>2</v>
      </c>
      <c r="AP239" s="6">
        <f>IF(最佳化斷筋點!R239="","",最佳化斷筋點!R239)</f>
        <v>2</v>
      </c>
      <c r="AQ239" s="6">
        <f>IF(最佳化斷筋點!S239="","",最佳化斷筋點!S239)</f>
        <v>3</v>
      </c>
      <c r="AR239" s="6">
        <f>IF(最佳化斷筋點!T239="","",最佳化斷筋點!T239)</f>
        <v>3</v>
      </c>
      <c r="AS239" s="6">
        <f>IF(最佳化斷筋點!U239="","",最佳化斷筋點!U239)</f>
        <v>4</v>
      </c>
      <c r="AT239" s="6">
        <f>IF(最佳化斷筋點!V239="","",最佳化斷筋點!V239)</f>
        <v>4</v>
      </c>
      <c r="AU239" s="6">
        <f>IF(最佳化斷筋點!W239="","",最佳化斷筋點!W239)</f>
        <v>5</v>
      </c>
      <c r="AV239" s="6">
        <f>IF(最佳化斷筋點!X239="","",最佳化斷筋點!X239)</f>
        <v>5</v>
      </c>
      <c r="AX239" s="6" t="s">
        <v>50</v>
      </c>
      <c r="AY239" s="6">
        <v>5</v>
      </c>
      <c r="AZ239" s="6">
        <v>5</v>
      </c>
      <c r="BA239" s="6">
        <v>4</v>
      </c>
      <c r="BB239" s="6">
        <v>4</v>
      </c>
      <c r="BC239" s="6">
        <v>4</v>
      </c>
      <c r="BD239" s="6">
        <v>3</v>
      </c>
      <c r="BE239" s="6">
        <v>3</v>
      </c>
      <c r="BF239" s="6">
        <v>2</v>
      </c>
      <c r="BG239" s="6">
        <v>2</v>
      </c>
      <c r="BH239" s="6">
        <v>2</v>
      </c>
      <c r="BI239" s="6">
        <v>2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</row>
    <row r="240" spans="4:71" x14ac:dyDescent="0.25">
      <c r="E240" s="6">
        <f t="shared" si="64"/>
        <v>0</v>
      </c>
      <c r="F240" s="6">
        <f t="shared" si="65"/>
        <v>0</v>
      </c>
      <c r="G240" s="6">
        <f t="shared" si="66"/>
        <v>0</v>
      </c>
      <c r="H240" s="6">
        <f t="shared" si="67"/>
        <v>0</v>
      </c>
      <c r="I240" s="6">
        <f t="shared" si="68"/>
        <v>0</v>
      </c>
      <c r="J240" s="6">
        <f t="shared" si="69"/>
        <v>0</v>
      </c>
      <c r="K240" s="6">
        <f t="shared" si="70"/>
        <v>0</v>
      </c>
      <c r="L240" s="6">
        <f t="shared" si="71"/>
        <v>0</v>
      </c>
      <c r="M240" s="6">
        <f t="shared" si="72"/>
        <v>0</v>
      </c>
      <c r="N240" s="6">
        <f t="shared" si="73"/>
        <v>0</v>
      </c>
      <c r="O240" s="6">
        <f t="shared" si="74"/>
        <v>0</v>
      </c>
      <c r="P240" s="6">
        <f t="shared" si="75"/>
        <v>0</v>
      </c>
      <c r="Q240" s="6">
        <f t="shared" si="76"/>
        <v>0</v>
      </c>
      <c r="R240" s="6">
        <f t="shared" si="77"/>
        <v>0</v>
      </c>
      <c r="S240" s="6">
        <f t="shared" si="78"/>
        <v>0</v>
      </c>
      <c r="T240" s="6">
        <f t="shared" si="79"/>
        <v>0</v>
      </c>
      <c r="U240" s="6">
        <f t="shared" si="80"/>
        <v>0</v>
      </c>
      <c r="V240" s="6">
        <f t="shared" si="81"/>
        <v>0</v>
      </c>
      <c r="W240" s="6">
        <f t="shared" si="82"/>
        <v>0</v>
      </c>
      <c r="X240" s="6">
        <f t="shared" si="83"/>
        <v>0</v>
      </c>
      <c r="Y240" s="6">
        <f t="shared" si="84"/>
        <v>0</v>
      </c>
      <c r="AA240" s="6" t="str">
        <f>IF(最佳化斷筋點!C240="","",最佳化斷筋點!C240)</f>
        <v/>
      </c>
      <c r="AB240" s="6" t="str">
        <f>IF(最佳化斷筋點!D240="","",最佳化斷筋點!D240)</f>
        <v/>
      </c>
      <c r="AC240" s="6" t="str">
        <f>IF(最佳化斷筋點!E240="","",最佳化斷筋點!E240)</f>
        <v/>
      </c>
      <c r="AD240" s="6" t="str">
        <f>IF(最佳化斷筋點!F240="","",最佳化斷筋點!F240)</f>
        <v/>
      </c>
      <c r="AE240" s="6" t="str">
        <f>IF(最佳化斷筋點!G240="","",最佳化斷筋點!G240)</f>
        <v/>
      </c>
      <c r="AF240" s="6" t="str">
        <f>IF(最佳化斷筋點!H240="","",最佳化斷筋點!H240)</f>
        <v/>
      </c>
      <c r="AG240" s="6" t="str">
        <f>IF(最佳化斷筋點!I240="","",最佳化斷筋點!I240)</f>
        <v/>
      </c>
      <c r="AH240" s="6" t="str">
        <f>IF(最佳化斷筋點!J240="","",最佳化斷筋點!J240)</f>
        <v/>
      </c>
      <c r="AI240" s="6" t="str">
        <f>IF(最佳化斷筋點!K240="","",最佳化斷筋點!K240)</f>
        <v/>
      </c>
      <c r="AJ240" s="6" t="str">
        <f>IF(最佳化斷筋點!L240="","",最佳化斷筋點!L240)</f>
        <v/>
      </c>
      <c r="AK240" s="6" t="str">
        <f>IF(最佳化斷筋點!M240="","",最佳化斷筋點!M240)</f>
        <v/>
      </c>
      <c r="AL240" s="6" t="str">
        <f>IF(最佳化斷筋點!N240="","",最佳化斷筋點!N240)</f>
        <v/>
      </c>
      <c r="AM240" s="6" t="str">
        <f>IF(最佳化斷筋點!O240="","",最佳化斷筋點!O240)</f>
        <v/>
      </c>
      <c r="AN240" s="6" t="str">
        <f>IF(最佳化斷筋點!P240="","",最佳化斷筋點!P240)</f>
        <v/>
      </c>
      <c r="AO240" s="6" t="str">
        <f>IF(最佳化斷筋點!Q240="","",最佳化斷筋點!Q240)</f>
        <v/>
      </c>
      <c r="AP240" s="6" t="str">
        <f>IF(最佳化斷筋點!R240="","",最佳化斷筋點!R240)</f>
        <v/>
      </c>
      <c r="AQ240" s="6" t="str">
        <f>IF(最佳化斷筋點!S240="","",最佳化斷筋點!S240)</f>
        <v/>
      </c>
      <c r="AR240" s="6" t="str">
        <f>IF(最佳化斷筋點!T240="","",最佳化斷筋點!T240)</f>
        <v/>
      </c>
      <c r="AS240" s="6" t="str">
        <f>IF(最佳化斷筋點!U240="","",最佳化斷筋點!U240)</f>
        <v/>
      </c>
      <c r="AT240" s="6" t="str">
        <f>IF(最佳化斷筋點!V240="","",最佳化斷筋點!V240)</f>
        <v/>
      </c>
      <c r="AU240" s="6" t="str">
        <f>IF(最佳化斷筋點!W240="","",最佳化斷筋點!W240)</f>
        <v/>
      </c>
      <c r="AV240" s="6" t="str">
        <f>IF(最佳化斷筋點!X240="","",最佳化斷筋點!X240)</f>
        <v/>
      </c>
    </row>
    <row r="241" spans="4:71" x14ac:dyDescent="0.25">
      <c r="D241" s="6" t="s">
        <v>51</v>
      </c>
      <c r="E241" s="6">
        <f t="shared" si="64"/>
        <v>0</v>
      </c>
      <c r="F241" s="6">
        <f t="shared" si="65"/>
        <v>0</v>
      </c>
      <c r="G241" s="6">
        <f t="shared" si="66"/>
        <v>0</v>
      </c>
      <c r="H241" s="6">
        <f t="shared" si="67"/>
        <v>0</v>
      </c>
      <c r="I241" s="6">
        <f t="shared" si="68"/>
        <v>0</v>
      </c>
      <c r="J241" s="6">
        <f t="shared" si="69"/>
        <v>0</v>
      </c>
      <c r="K241" s="6">
        <f t="shared" si="70"/>
        <v>0</v>
      </c>
      <c r="L241" s="6">
        <f t="shared" si="71"/>
        <v>0</v>
      </c>
      <c r="M241" s="6">
        <f t="shared" si="72"/>
        <v>0</v>
      </c>
      <c r="N241" s="6">
        <f t="shared" si="73"/>
        <v>0</v>
      </c>
      <c r="O241" s="6">
        <f t="shared" si="74"/>
        <v>0</v>
      </c>
      <c r="P241" s="6">
        <f t="shared" si="75"/>
        <v>0</v>
      </c>
      <c r="Q241" s="6">
        <f t="shared" si="76"/>
        <v>0</v>
      </c>
      <c r="R241" s="6">
        <f t="shared" si="77"/>
        <v>0</v>
      </c>
      <c r="S241" s="6">
        <f t="shared" si="78"/>
        <v>0</v>
      </c>
      <c r="T241" s="6">
        <f t="shared" si="79"/>
        <v>0</v>
      </c>
      <c r="U241" s="6">
        <f t="shared" si="80"/>
        <v>0</v>
      </c>
      <c r="V241" s="6">
        <f t="shared" si="81"/>
        <v>0</v>
      </c>
      <c r="W241" s="6">
        <f t="shared" si="82"/>
        <v>0</v>
      </c>
      <c r="X241" s="6">
        <f t="shared" si="83"/>
        <v>0</v>
      </c>
      <c r="Y241" s="6">
        <f t="shared" si="84"/>
        <v>0</v>
      </c>
      <c r="AA241" s="6" t="str">
        <f>IF(最佳化斷筋點!C241="","",最佳化斷筋點!C241)</f>
        <v>下層</v>
      </c>
      <c r="AB241" s="6">
        <f>IF(最佳化斷筋點!D241="","",最佳化斷筋點!D241)</f>
        <v>3</v>
      </c>
      <c r="AC241" s="6">
        <f>IF(最佳化斷筋點!E241="","",最佳化斷筋點!E241)</f>
        <v>3</v>
      </c>
      <c r="AD241" s="6">
        <f>IF(最佳化斷筋點!F241="","",最佳化斷筋點!F241)</f>
        <v>3</v>
      </c>
      <c r="AE241" s="6">
        <f>IF(最佳化斷筋點!G241="","",最佳化斷筋點!G241)</f>
        <v>3</v>
      </c>
      <c r="AF241" s="6">
        <f>IF(最佳化斷筋點!H241="","",最佳化斷筋點!H241)</f>
        <v>3</v>
      </c>
      <c r="AG241" s="6">
        <f>IF(最佳化斷筋點!I241="","",最佳化斷筋點!I241)</f>
        <v>3</v>
      </c>
      <c r="AH241" s="6">
        <f>IF(最佳化斷筋點!J241="","",最佳化斷筋點!J241)</f>
        <v>4</v>
      </c>
      <c r="AI241" s="6">
        <f>IF(最佳化斷筋點!K241="","",最佳化斷筋點!K241)</f>
        <v>4</v>
      </c>
      <c r="AJ241" s="6">
        <f>IF(最佳化斷筋點!L241="","",最佳化斷筋點!L241)</f>
        <v>4</v>
      </c>
      <c r="AK241" s="6">
        <f>IF(最佳化斷筋點!M241="","",最佳化斷筋點!M241)</f>
        <v>4</v>
      </c>
      <c r="AL241" s="6">
        <f>IF(最佳化斷筋點!N241="","",最佳化斷筋點!N241)</f>
        <v>4</v>
      </c>
      <c r="AM241" s="6">
        <f>IF(最佳化斷筋點!O241="","",最佳化斷筋點!O241)</f>
        <v>4</v>
      </c>
      <c r="AN241" s="6">
        <f>IF(最佳化斷筋點!P241="","",最佳化斷筋點!P241)</f>
        <v>4</v>
      </c>
      <c r="AO241" s="6">
        <f>IF(最佳化斷筋點!Q241="","",最佳化斷筋點!Q241)</f>
        <v>4</v>
      </c>
      <c r="AP241" s="6">
        <f>IF(最佳化斷筋點!R241="","",最佳化斷筋點!R241)</f>
        <v>4</v>
      </c>
      <c r="AQ241" s="6">
        <f>IF(最佳化斷筋點!S241="","",最佳化斷筋點!S241)</f>
        <v>3</v>
      </c>
      <c r="AR241" s="6">
        <f>IF(最佳化斷筋點!T241="","",最佳化斷筋點!T241)</f>
        <v>3</v>
      </c>
      <c r="AS241" s="6">
        <f>IF(最佳化斷筋點!U241="","",最佳化斷筋點!U241)</f>
        <v>3</v>
      </c>
      <c r="AT241" s="6">
        <f>IF(最佳化斷筋點!V241="","",最佳化斷筋點!V241)</f>
        <v>3</v>
      </c>
      <c r="AU241" s="6">
        <f>IF(最佳化斷筋點!W241="","",最佳化斷筋點!W241)</f>
        <v>3</v>
      </c>
      <c r="AV241" s="6">
        <f>IF(最佳化斷筋點!X241="","",最佳化斷筋點!X241)</f>
        <v>3</v>
      </c>
      <c r="AX241" s="6" t="s">
        <v>51</v>
      </c>
      <c r="AY241" s="6">
        <v>3</v>
      </c>
      <c r="AZ241" s="6">
        <v>3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3</v>
      </c>
      <c r="BO241" s="6">
        <v>3</v>
      </c>
      <c r="BP241" s="6">
        <v>3</v>
      </c>
      <c r="BQ241" s="6">
        <v>3</v>
      </c>
      <c r="BR241" s="6">
        <v>3</v>
      </c>
      <c r="BS241" s="6">
        <v>3</v>
      </c>
    </row>
    <row r="242" spans="4:71" x14ac:dyDescent="0.25">
      <c r="E242" s="6">
        <f t="shared" si="64"/>
        <v>0</v>
      </c>
      <c r="F242" s="6">
        <f t="shared" si="65"/>
        <v>0</v>
      </c>
      <c r="G242" s="6">
        <f t="shared" si="66"/>
        <v>0</v>
      </c>
      <c r="H242" s="6">
        <f t="shared" si="67"/>
        <v>0</v>
      </c>
      <c r="I242" s="6">
        <f t="shared" si="68"/>
        <v>0</v>
      </c>
      <c r="J242" s="6">
        <f t="shared" si="69"/>
        <v>0</v>
      </c>
      <c r="K242" s="6">
        <f t="shared" si="70"/>
        <v>0</v>
      </c>
      <c r="L242" s="6">
        <f t="shared" si="71"/>
        <v>0</v>
      </c>
      <c r="M242" s="6">
        <f t="shared" si="72"/>
        <v>0</v>
      </c>
      <c r="N242" s="6">
        <f t="shared" si="73"/>
        <v>0</v>
      </c>
      <c r="O242" s="6">
        <f t="shared" si="74"/>
        <v>0</v>
      </c>
      <c r="P242" s="6">
        <f t="shared" si="75"/>
        <v>0</v>
      </c>
      <c r="Q242" s="6">
        <f t="shared" si="76"/>
        <v>0</v>
      </c>
      <c r="R242" s="6">
        <f t="shared" si="77"/>
        <v>0</v>
      </c>
      <c r="S242" s="6">
        <f t="shared" si="78"/>
        <v>0</v>
      </c>
      <c r="T242" s="6">
        <f t="shared" si="79"/>
        <v>0</v>
      </c>
      <c r="U242" s="6">
        <f t="shared" si="80"/>
        <v>0</v>
      </c>
      <c r="V242" s="6">
        <f t="shared" si="81"/>
        <v>0</v>
      </c>
      <c r="W242" s="6">
        <f t="shared" si="82"/>
        <v>0</v>
      </c>
      <c r="X242" s="6">
        <f t="shared" si="83"/>
        <v>0</v>
      </c>
      <c r="Y242" s="6">
        <f t="shared" si="84"/>
        <v>0</v>
      </c>
      <c r="AA242" s="6" t="str">
        <f>IF(最佳化斷筋點!C242="","",最佳化斷筋點!C242)</f>
        <v/>
      </c>
      <c r="AB242" s="6" t="str">
        <f>IF(最佳化斷筋點!D242="","",最佳化斷筋點!D242)</f>
        <v/>
      </c>
      <c r="AC242" s="6" t="str">
        <f>IF(最佳化斷筋點!E242="","",最佳化斷筋點!E242)</f>
        <v/>
      </c>
      <c r="AD242" s="6" t="str">
        <f>IF(最佳化斷筋點!F242="","",最佳化斷筋點!F242)</f>
        <v/>
      </c>
      <c r="AE242" s="6" t="str">
        <f>IF(最佳化斷筋點!G242="","",最佳化斷筋點!G242)</f>
        <v/>
      </c>
      <c r="AF242" s="6" t="str">
        <f>IF(最佳化斷筋點!H242="","",最佳化斷筋點!H242)</f>
        <v/>
      </c>
      <c r="AG242" s="6" t="str">
        <f>IF(最佳化斷筋點!I242="","",最佳化斷筋點!I242)</f>
        <v/>
      </c>
      <c r="AH242" s="6" t="str">
        <f>IF(最佳化斷筋點!J242="","",最佳化斷筋點!J242)</f>
        <v/>
      </c>
      <c r="AI242" s="6" t="str">
        <f>IF(最佳化斷筋點!K242="","",最佳化斷筋點!K242)</f>
        <v/>
      </c>
      <c r="AJ242" s="6" t="str">
        <f>IF(最佳化斷筋點!L242="","",最佳化斷筋點!L242)</f>
        <v/>
      </c>
      <c r="AK242" s="6" t="str">
        <f>IF(最佳化斷筋點!M242="","",最佳化斷筋點!M242)</f>
        <v/>
      </c>
      <c r="AL242" s="6" t="str">
        <f>IF(最佳化斷筋點!N242="","",最佳化斷筋點!N242)</f>
        <v/>
      </c>
      <c r="AM242" s="6" t="str">
        <f>IF(最佳化斷筋點!O242="","",最佳化斷筋點!O242)</f>
        <v/>
      </c>
      <c r="AN242" s="6" t="str">
        <f>IF(最佳化斷筋點!P242="","",最佳化斷筋點!P242)</f>
        <v/>
      </c>
      <c r="AO242" s="6" t="str">
        <f>IF(最佳化斷筋點!Q242="","",最佳化斷筋點!Q242)</f>
        <v/>
      </c>
      <c r="AP242" s="6" t="str">
        <f>IF(最佳化斷筋點!R242="","",最佳化斷筋點!R242)</f>
        <v/>
      </c>
      <c r="AQ242" s="6" t="str">
        <f>IF(最佳化斷筋點!S242="","",最佳化斷筋點!S242)</f>
        <v/>
      </c>
      <c r="AR242" s="6" t="str">
        <f>IF(最佳化斷筋點!T242="","",最佳化斷筋點!T242)</f>
        <v/>
      </c>
      <c r="AS242" s="6" t="str">
        <f>IF(最佳化斷筋點!U242="","",最佳化斷筋點!U242)</f>
        <v/>
      </c>
      <c r="AT242" s="6" t="str">
        <f>IF(最佳化斷筋點!V242="","",最佳化斷筋點!V242)</f>
        <v/>
      </c>
      <c r="AU242" s="6" t="str">
        <f>IF(最佳化斷筋點!W242="","",最佳化斷筋點!W242)</f>
        <v/>
      </c>
      <c r="AV242" s="6" t="str">
        <f>IF(最佳化斷筋點!X242="","",最佳化斷筋點!X242)</f>
        <v/>
      </c>
    </row>
    <row r="243" spans="4:71" x14ac:dyDescent="0.25">
      <c r="D243" s="6" t="s">
        <v>50</v>
      </c>
      <c r="E243" s="6">
        <f t="shared" si="64"/>
        <v>0</v>
      </c>
      <c r="F243" s="6">
        <f t="shared" si="65"/>
        <v>0</v>
      </c>
      <c r="G243" s="6">
        <f t="shared" si="66"/>
        <v>0</v>
      </c>
      <c r="H243" s="6">
        <f t="shared" si="67"/>
        <v>0</v>
      </c>
      <c r="I243" s="6">
        <f t="shared" si="68"/>
        <v>0</v>
      </c>
      <c r="J243" s="6">
        <f t="shared" si="69"/>
        <v>0</v>
      </c>
      <c r="K243" s="6">
        <f t="shared" si="70"/>
        <v>0</v>
      </c>
      <c r="L243" s="6">
        <f t="shared" si="71"/>
        <v>0</v>
      </c>
      <c r="M243" s="6">
        <f t="shared" si="72"/>
        <v>0</v>
      </c>
      <c r="N243" s="6">
        <f t="shared" si="73"/>
        <v>0</v>
      </c>
      <c r="O243" s="6">
        <f t="shared" si="74"/>
        <v>0</v>
      </c>
      <c r="P243" s="6">
        <f t="shared" si="75"/>
        <v>0</v>
      </c>
      <c r="Q243" s="6">
        <f t="shared" si="76"/>
        <v>0</v>
      </c>
      <c r="R243" s="6">
        <f t="shared" si="77"/>
        <v>0</v>
      </c>
      <c r="S243" s="6">
        <f t="shared" si="78"/>
        <v>0</v>
      </c>
      <c r="T243" s="6">
        <f t="shared" si="79"/>
        <v>0</v>
      </c>
      <c r="U243" s="6">
        <f t="shared" si="80"/>
        <v>0</v>
      </c>
      <c r="V243" s="6">
        <f t="shared" si="81"/>
        <v>0</v>
      </c>
      <c r="W243" s="6">
        <f t="shared" si="82"/>
        <v>0</v>
      </c>
      <c r="X243" s="6">
        <f t="shared" si="83"/>
        <v>0</v>
      </c>
      <c r="Y243" s="6">
        <f t="shared" si="84"/>
        <v>0</v>
      </c>
      <c r="AA243" s="6" t="str">
        <f>IF(最佳化斷筋點!C243="","",最佳化斷筋點!C243)</f>
        <v>上層</v>
      </c>
      <c r="AB243" s="6">
        <f>IF(最佳化斷筋點!D243="","",最佳化斷筋點!D243)</f>
        <v>5</v>
      </c>
      <c r="AC243" s="6">
        <f>IF(最佳化斷筋點!E243="","",最佳化斷筋點!E243)</f>
        <v>5</v>
      </c>
      <c r="AD243" s="6">
        <f>IF(最佳化斷筋點!F243="","",最佳化斷筋點!F243)</f>
        <v>4</v>
      </c>
      <c r="AE243" s="6">
        <f>IF(最佳化斷筋點!G243="","",最佳化斷筋點!G243)</f>
        <v>4</v>
      </c>
      <c r="AF243" s="6">
        <f>IF(最佳化斷筋點!H243="","",最佳化斷筋點!H243)</f>
        <v>4</v>
      </c>
      <c r="AG243" s="6">
        <f>IF(最佳化斷筋點!I243="","",最佳化斷筋點!I243)</f>
        <v>3</v>
      </c>
      <c r="AH243" s="6">
        <f>IF(最佳化斷筋點!J243="","",最佳化斷筋點!J243)</f>
        <v>3</v>
      </c>
      <c r="AI243" s="6">
        <f>IF(最佳化斷筋點!K243="","",最佳化斷筋點!K243)</f>
        <v>2</v>
      </c>
      <c r="AJ243" s="6">
        <f>IF(最佳化斷筋點!L243="","",最佳化斷筋點!L243)</f>
        <v>2</v>
      </c>
      <c r="AK243" s="6">
        <f>IF(最佳化斷筋點!M243="","",最佳化斷筋點!M243)</f>
        <v>2</v>
      </c>
      <c r="AL243" s="6">
        <f>IF(最佳化斷筋點!N243="","",最佳化斷筋點!N243)</f>
        <v>2</v>
      </c>
      <c r="AM243" s="6">
        <f>IF(最佳化斷筋點!O243="","",最佳化斷筋點!O243)</f>
        <v>2</v>
      </c>
      <c r="AN243" s="6">
        <f>IF(最佳化斷筋點!P243="","",最佳化斷筋點!P243)</f>
        <v>2</v>
      </c>
      <c r="AO243" s="6">
        <f>IF(最佳化斷筋點!Q243="","",最佳化斷筋點!Q243)</f>
        <v>2</v>
      </c>
      <c r="AP243" s="6">
        <f>IF(最佳化斷筋點!R243="","",最佳化斷筋點!R243)</f>
        <v>2</v>
      </c>
      <c r="AQ243" s="6">
        <f>IF(最佳化斷筋點!S243="","",最佳化斷筋點!S243)</f>
        <v>2</v>
      </c>
      <c r="AR243" s="6">
        <f>IF(最佳化斷筋點!T243="","",最佳化斷筋點!T243)</f>
        <v>2</v>
      </c>
      <c r="AS243" s="6">
        <f>IF(最佳化斷筋點!U243="","",最佳化斷筋點!U243)</f>
        <v>2</v>
      </c>
      <c r="AT243" s="6">
        <f>IF(最佳化斷筋點!V243="","",最佳化斷筋點!V243)</f>
        <v>2</v>
      </c>
      <c r="AU243" s="6">
        <f>IF(最佳化斷筋點!W243="","",最佳化斷筋點!W243)</f>
        <v>2</v>
      </c>
      <c r="AV243" s="6">
        <f>IF(最佳化斷筋點!X243="","",最佳化斷筋點!X243)</f>
        <v>2</v>
      </c>
      <c r="AX243" s="6" t="s">
        <v>50</v>
      </c>
      <c r="AY243" s="6">
        <v>5</v>
      </c>
      <c r="AZ243" s="6">
        <v>5</v>
      </c>
      <c r="BA243" s="6">
        <v>4</v>
      </c>
      <c r="BB243" s="6">
        <v>4</v>
      </c>
      <c r="BC243" s="6">
        <v>4</v>
      </c>
      <c r="BD243" s="6">
        <v>3</v>
      </c>
      <c r="BE243" s="6">
        <v>3</v>
      </c>
      <c r="BF243" s="6">
        <v>2</v>
      </c>
      <c r="BG243" s="6">
        <v>2</v>
      </c>
      <c r="BH243" s="6">
        <v>2</v>
      </c>
      <c r="BI243" s="6">
        <v>2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</row>
    <row r="244" spans="4:71" x14ac:dyDescent="0.25">
      <c r="E244" s="6">
        <f t="shared" si="64"/>
        <v>0</v>
      </c>
      <c r="F244" s="6">
        <f t="shared" si="65"/>
        <v>0</v>
      </c>
      <c r="G244" s="6">
        <f t="shared" si="66"/>
        <v>0</v>
      </c>
      <c r="H244" s="6">
        <f t="shared" si="67"/>
        <v>0</v>
      </c>
      <c r="I244" s="6">
        <f t="shared" si="68"/>
        <v>0</v>
      </c>
      <c r="J244" s="6">
        <f t="shared" si="69"/>
        <v>0</v>
      </c>
      <c r="K244" s="6">
        <f t="shared" si="70"/>
        <v>0</v>
      </c>
      <c r="L244" s="6">
        <f t="shared" si="71"/>
        <v>0</v>
      </c>
      <c r="M244" s="6">
        <f t="shared" si="72"/>
        <v>0</v>
      </c>
      <c r="N244" s="6">
        <f t="shared" si="73"/>
        <v>0</v>
      </c>
      <c r="O244" s="6">
        <f t="shared" si="74"/>
        <v>0</v>
      </c>
      <c r="P244" s="6">
        <f t="shared" si="75"/>
        <v>0</v>
      </c>
      <c r="Q244" s="6">
        <f t="shared" si="76"/>
        <v>0</v>
      </c>
      <c r="R244" s="6">
        <f t="shared" si="77"/>
        <v>0</v>
      </c>
      <c r="S244" s="6">
        <f t="shared" si="78"/>
        <v>0</v>
      </c>
      <c r="T244" s="6">
        <f t="shared" si="79"/>
        <v>0</v>
      </c>
      <c r="U244" s="6">
        <f t="shared" si="80"/>
        <v>0</v>
      </c>
      <c r="V244" s="6">
        <f t="shared" si="81"/>
        <v>0</v>
      </c>
      <c r="W244" s="6">
        <f t="shared" si="82"/>
        <v>0</v>
      </c>
      <c r="X244" s="6">
        <f t="shared" si="83"/>
        <v>0</v>
      </c>
      <c r="Y244" s="6">
        <f t="shared" si="84"/>
        <v>0</v>
      </c>
      <c r="AA244" s="6" t="str">
        <f>IF(最佳化斷筋點!C244="","",最佳化斷筋點!C244)</f>
        <v/>
      </c>
      <c r="AB244" s="6" t="str">
        <f>IF(最佳化斷筋點!D244="","",最佳化斷筋點!D244)</f>
        <v/>
      </c>
      <c r="AC244" s="6" t="str">
        <f>IF(最佳化斷筋點!E244="","",最佳化斷筋點!E244)</f>
        <v/>
      </c>
      <c r="AD244" s="6" t="str">
        <f>IF(最佳化斷筋點!F244="","",最佳化斷筋點!F244)</f>
        <v/>
      </c>
      <c r="AE244" s="6" t="str">
        <f>IF(最佳化斷筋點!G244="","",最佳化斷筋點!G244)</f>
        <v/>
      </c>
      <c r="AF244" s="6" t="str">
        <f>IF(最佳化斷筋點!H244="","",最佳化斷筋點!H244)</f>
        <v/>
      </c>
      <c r="AG244" s="6" t="str">
        <f>IF(最佳化斷筋點!I244="","",最佳化斷筋點!I244)</f>
        <v/>
      </c>
      <c r="AH244" s="6" t="str">
        <f>IF(最佳化斷筋點!J244="","",最佳化斷筋點!J244)</f>
        <v/>
      </c>
      <c r="AI244" s="6" t="str">
        <f>IF(最佳化斷筋點!K244="","",最佳化斷筋點!K244)</f>
        <v/>
      </c>
      <c r="AJ244" s="6" t="str">
        <f>IF(最佳化斷筋點!L244="","",最佳化斷筋點!L244)</f>
        <v/>
      </c>
      <c r="AK244" s="6" t="str">
        <f>IF(最佳化斷筋點!M244="","",最佳化斷筋點!M244)</f>
        <v/>
      </c>
      <c r="AL244" s="6" t="str">
        <f>IF(最佳化斷筋點!N244="","",最佳化斷筋點!N244)</f>
        <v/>
      </c>
      <c r="AM244" s="6" t="str">
        <f>IF(最佳化斷筋點!O244="","",最佳化斷筋點!O244)</f>
        <v/>
      </c>
      <c r="AN244" s="6" t="str">
        <f>IF(最佳化斷筋點!P244="","",最佳化斷筋點!P244)</f>
        <v/>
      </c>
      <c r="AO244" s="6" t="str">
        <f>IF(最佳化斷筋點!Q244="","",最佳化斷筋點!Q244)</f>
        <v/>
      </c>
      <c r="AP244" s="6" t="str">
        <f>IF(最佳化斷筋點!R244="","",最佳化斷筋點!R244)</f>
        <v/>
      </c>
      <c r="AQ244" s="6" t="str">
        <f>IF(最佳化斷筋點!S244="","",最佳化斷筋點!S244)</f>
        <v/>
      </c>
      <c r="AR244" s="6" t="str">
        <f>IF(最佳化斷筋點!T244="","",最佳化斷筋點!T244)</f>
        <v/>
      </c>
      <c r="AS244" s="6" t="str">
        <f>IF(最佳化斷筋點!U244="","",最佳化斷筋點!U244)</f>
        <v/>
      </c>
      <c r="AT244" s="6" t="str">
        <f>IF(最佳化斷筋點!V244="","",最佳化斷筋點!V244)</f>
        <v/>
      </c>
      <c r="AU244" s="6" t="str">
        <f>IF(最佳化斷筋點!W244="","",最佳化斷筋點!W244)</f>
        <v/>
      </c>
      <c r="AV244" s="6" t="str">
        <f>IF(最佳化斷筋點!X244="","",最佳化斷筋點!X244)</f>
        <v/>
      </c>
    </row>
    <row r="245" spans="4:71" x14ac:dyDescent="0.25">
      <c r="D245" s="6" t="s">
        <v>51</v>
      </c>
      <c r="E245" s="6">
        <f t="shared" si="64"/>
        <v>0</v>
      </c>
      <c r="F245" s="6">
        <f t="shared" si="65"/>
        <v>0</v>
      </c>
      <c r="G245" s="6">
        <f t="shared" si="66"/>
        <v>0</v>
      </c>
      <c r="H245" s="6">
        <f t="shared" si="67"/>
        <v>0</v>
      </c>
      <c r="I245" s="6">
        <f t="shared" si="68"/>
        <v>0</v>
      </c>
      <c r="J245" s="6">
        <f t="shared" si="69"/>
        <v>0</v>
      </c>
      <c r="K245" s="6">
        <f t="shared" si="70"/>
        <v>0</v>
      </c>
      <c r="L245" s="6">
        <f t="shared" si="71"/>
        <v>0</v>
      </c>
      <c r="M245" s="6">
        <f t="shared" si="72"/>
        <v>0</v>
      </c>
      <c r="N245" s="6">
        <f t="shared" si="73"/>
        <v>0</v>
      </c>
      <c r="O245" s="6">
        <f t="shared" si="74"/>
        <v>0</v>
      </c>
      <c r="P245" s="6">
        <f t="shared" si="75"/>
        <v>0</v>
      </c>
      <c r="Q245" s="6">
        <f t="shared" si="76"/>
        <v>0</v>
      </c>
      <c r="R245" s="6">
        <f t="shared" si="77"/>
        <v>0</v>
      </c>
      <c r="S245" s="6">
        <f t="shared" si="78"/>
        <v>0</v>
      </c>
      <c r="T245" s="6">
        <f t="shared" si="79"/>
        <v>0</v>
      </c>
      <c r="U245" s="6">
        <f t="shared" si="80"/>
        <v>0</v>
      </c>
      <c r="V245" s="6">
        <f t="shared" si="81"/>
        <v>0</v>
      </c>
      <c r="W245" s="6">
        <f t="shared" si="82"/>
        <v>0</v>
      </c>
      <c r="X245" s="6">
        <f t="shared" si="83"/>
        <v>0</v>
      </c>
      <c r="Y245" s="6">
        <f t="shared" si="84"/>
        <v>0</v>
      </c>
      <c r="AA245" s="6" t="str">
        <f>IF(最佳化斷筋點!C245="","",最佳化斷筋點!C245)</f>
        <v>下層</v>
      </c>
      <c r="AB245" s="6">
        <f>IF(最佳化斷筋點!D245="","",最佳化斷筋點!D245)</f>
        <v>3</v>
      </c>
      <c r="AC245" s="6">
        <f>IF(最佳化斷筋點!E245="","",最佳化斷筋點!E245)</f>
        <v>3</v>
      </c>
      <c r="AD245" s="6">
        <f>IF(最佳化斷筋點!F245="","",最佳化斷筋點!F245)</f>
        <v>3</v>
      </c>
      <c r="AE245" s="6">
        <f>IF(最佳化斷筋點!G245="","",最佳化斷筋點!G245)</f>
        <v>3</v>
      </c>
      <c r="AF245" s="6">
        <f>IF(最佳化斷筋點!H245="","",最佳化斷筋點!H245)</f>
        <v>3</v>
      </c>
      <c r="AG245" s="6">
        <f>IF(最佳化斷筋點!I245="","",最佳化斷筋點!I245)</f>
        <v>3</v>
      </c>
      <c r="AH245" s="6">
        <f>IF(最佳化斷筋點!J245="","",最佳化斷筋點!J245)</f>
        <v>4</v>
      </c>
      <c r="AI245" s="6">
        <f>IF(最佳化斷筋點!K245="","",最佳化斷筋點!K245)</f>
        <v>4</v>
      </c>
      <c r="AJ245" s="6">
        <f>IF(最佳化斷筋點!L245="","",最佳化斷筋點!L245)</f>
        <v>4</v>
      </c>
      <c r="AK245" s="6">
        <f>IF(最佳化斷筋點!M245="","",最佳化斷筋點!M245)</f>
        <v>4</v>
      </c>
      <c r="AL245" s="6">
        <f>IF(最佳化斷筋點!N245="","",最佳化斷筋點!N245)</f>
        <v>4</v>
      </c>
      <c r="AM245" s="6">
        <f>IF(最佳化斷筋點!O245="","",最佳化斷筋點!O245)</f>
        <v>4</v>
      </c>
      <c r="AN245" s="6">
        <f>IF(最佳化斷筋點!P245="","",最佳化斷筋點!P245)</f>
        <v>4</v>
      </c>
      <c r="AO245" s="6">
        <f>IF(最佳化斷筋點!Q245="","",最佳化斷筋點!Q245)</f>
        <v>4</v>
      </c>
      <c r="AP245" s="6">
        <f>IF(最佳化斷筋點!R245="","",最佳化斷筋點!R245)</f>
        <v>4</v>
      </c>
      <c r="AQ245" s="6">
        <f>IF(最佳化斷筋點!S245="","",最佳化斷筋點!S245)</f>
        <v>3</v>
      </c>
      <c r="AR245" s="6">
        <f>IF(最佳化斷筋點!T245="","",最佳化斷筋點!T245)</f>
        <v>3</v>
      </c>
      <c r="AS245" s="6">
        <f>IF(最佳化斷筋點!U245="","",最佳化斷筋點!U245)</f>
        <v>3</v>
      </c>
      <c r="AT245" s="6">
        <f>IF(最佳化斷筋點!V245="","",最佳化斷筋點!V245)</f>
        <v>4</v>
      </c>
      <c r="AU245" s="6">
        <f>IF(最佳化斷筋點!W245="","",最佳化斷筋點!W245)</f>
        <v>4</v>
      </c>
      <c r="AV245" s="6">
        <f>IF(最佳化斷筋點!X245="","",最佳化斷筋點!X245)</f>
        <v>4</v>
      </c>
      <c r="AX245" s="6" t="s">
        <v>51</v>
      </c>
      <c r="AY245" s="6">
        <v>3</v>
      </c>
      <c r="AZ245" s="6">
        <v>3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3</v>
      </c>
      <c r="BO245" s="6">
        <v>3</v>
      </c>
      <c r="BP245" s="6">
        <v>3</v>
      </c>
      <c r="BQ245" s="6">
        <v>4</v>
      </c>
      <c r="BR245" s="6">
        <v>4</v>
      </c>
      <c r="BS245" s="6">
        <v>4</v>
      </c>
    </row>
    <row r="246" spans="4:71" x14ac:dyDescent="0.25">
      <c r="E246" s="6">
        <f t="shared" si="64"/>
        <v>0</v>
      </c>
      <c r="F246" s="6">
        <f t="shared" si="65"/>
        <v>0</v>
      </c>
      <c r="G246" s="6">
        <f t="shared" si="66"/>
        <v>0</v>
      </c>
      <c r="H246" s="6">
        <f t="shared" si="67"/>
        <v>0</v>
      </c>
      <c r="I246" s="6">
        <f t="shared" si="68"/>
        <v>0</v>
      </c>
      <c r="J246" s="6">
        <f t="shared" si="69"/>
        <v>0</v>
      </c>
      <c r="K246" s="6">
        <f t="shared" si="70"/>
        <v>0</v>
      </c>
      <c r="L246" s="6">
        <f t="shared" si="71"/>
        <v>0</v>
      </c>
      <c r="M246" s="6">
        <f t="shared" si="72"/>
        <v>0</v>
      </c>
      <c r="N246" s="6">
        <f t="shared" si="73"/>
        <v>0</v>
      </c>
      <c r="O246" s="6">
        <f t="shared" si="74"/>
        <v>0</v>
      </c>
      <c r="P246" s="6">
        <f t="shared" si="75"/>
        <v>0</v>
      </c>
      <c r="Q246" s="6">
        <f t="shared" si="76"/>
        <v>0</v>
      </c>
      <c r="R246" s="6">
        <f t="shared" si="77"/>
        <v>0</v>
      </c>
      <c r="S246" s="6">
        <f t="shared" si="78"/>
        <v>0</v>
      </c>
      <c r="T246" s="6">
        <f t="shared" si="79"/>
        <v>0</v>
      </c>
      <c r="U246" s="6">
        <f t="shared" si="80"/>
        <v>0</v>
      </c>
      <c r="V246" s="6">
        <f t="shared" si="81"/>
        <v>0</v>
      </c>
      <c r="W246" s="6">
        <f t="shared" si="82"/>
        <v>0</v>
      </c>
      <c r="X246" s="6">
        <f t="shared" si="83"/>
        <v>0</v>
      </c>
      <c r="Y246" s="6">
        <f t="shared" si="84"/>
        <v>0</v>
      </c>
      <c r="AA246" s="6" t="str">
        <f>IF(最佳化斷筋點!C246="","",最佳化斷筋點!C246)</f>
        <v/>
      </c>
      <c r="AB246" s="6" t="str">
        <f>IF(最佳化斷筋點!D246="","",最佳化斷筋點!D246)</f>
        <v/>
      </c>
      <c r="AC246" s="6" t="str">
        <f>IF(最佳化斷筋點!E246="","",最佳化斷筋點!E246)</f>
        <v/>
      </c>
      <c r="AD246" s="6" t="str">
        <f>IF(最佳化斷筋點!F246="","",最佳化斷筋點!F246)</f>
        <v/>
      </c>
      <c r="AE246" s="6" t="str">
        <f>IF(最佳化斷筋點!G246="","",最佳化斷筋點!G246)</f>
        <v/>
      </c>
      <c r="AF246" s="6" t="str">
        <f>IF(最佳化斷筋點!H246="","",最佳化斷筋點!H246)</f>
        <v/>
      </c>
      <c r="AG246" s="6" t="str">
        <f>IF(最佳化斷筋點!I246="","",最佳化斷筋點!I246)</f>
        <v/>
      </c>
      <c r="AH246" s="6" t="str">
        <f>IF(最佳化斷筋點!J246="","",最佳化斷筋點!J246)</f>
        <v/>
      </c>
      <c r="AI246" s="6" t="str">
        <f>IF(最佳化斷筋點!K246="","",最佳化斷筋點!K246)</f>
        <v/>
      </c>
      <c r="AJ246" s="6" t="str">
        <f>IF(最佳化斷筋點!L246="","",最佳化斷筋點!L246)</f>
        <v/>
      </c>
      <c r="AK246" s="6" t="str">
        <f>IF(最佳化斷筋點!M246="","",最佳化斷筋點!M246)</f>
        <v/>
      </c>
      <c r="AL246" s="6" t="str">
        <f>IF(最佳化斷筋點!N246="","",最佳化斷筋點!N246)</f>
        <v/>
      </c>
      <c r="AM246" s="6" t="str">
        <f>IF(最佳化斷筋點!O246="","",最佳化斷筋點!O246)</f>
        <v/>
      </c>
      <c r="AN246" s="6" t="str">
        <f>IF(最佳化斷筋點!P246="","",最佳化斷筋點!P246)</f>
        <v/>
      </c>
      <c r="AO246" s="6" t="str">
        <f>IF(最佳化斷筋點!Q246="","",最佳化斷筋點!Q246)</f>
        <v/>
      </c>
      <c r="AP246" s="6" t="str">
        <f>IF(最佳化斷筋點!R246="","",最佳化斷筋點!R246)</f>
        <v/>
      </c>
      <c r="AQ246" s="6" t="str">
        <f>IF(最佳化斷筋點!S246="","",最佳化斷筋點!S246)</f>
        <v/>
      </c>
      <c r="AR246" s="6" t="str">
        <f>IF(最佳化斷筋點!T246="","",最佳化斷筋點!T246)</f>
        <v/>
      </c>
      <c r="AS246" s="6" t="str">
        <f>IF(最佳化斷筋點!U246="","",最佳化斷筋點!U246)</f>
        <v/>
      </c>
      <c r="AT246" s="6" t="str">
        <f>IF(最佳化斷筋點!V246="","",最佳化斷筋點!V246)</f>
        <v/>
      </c>
      <c r="AU246" s="6" t="str">
        <f>IF(最佳化斷筋點!W246="","",最佳化斷筋點!W246)</f>
        <v/>
      </c>
      <c r="AV246" s="6" t="str">
        <f>IF(最佳化斷筋點!X246="","",最佳化斷筋點!X246)</f>
        <v/>
      </c>
    </row>
    <row r="247" spans="4:71" x14ac:dyDescent="0.25">
      <c r="D247" s="6" t="s">
        <v>50</v>
      </c>
      <c r="E247" s="6">
        <f t="shared" si="64"/>
        <v>0</v>
      </c>
      <c r="F247" s="6">
        <f t="shared" si="65"/>
        <v>0</v>
      </c>
      <c r="G247" s="6">
        <f t="shared" si="66"/>
        <v>0</v>
      </c>
      <c r="H247" s="6">
        <f t="shared" si="67"/>
        <v>0</v>
      </c>
      <c r="I247" s="6">
        <f t="shared" si="68"/>
        <v>0</v>
      </c>
      <c r="J247" s="6">
        <f t="shared" si="69"/>
        <v>0</v>
      </c>
      <c r="K247" s="6">
        <f t="shared" si="70"/>
        <v>0</v>
      </c>
      <c r="L247" s="6">
        <f t="shared" si="71"/>
        <v>0</v>
      </c>
      <c r="M247" s="6">
        <f t="shared" si="72"/>
        <v>0</v>
      </c>
      <c r="N247" s="6">
        <f t="shared" si="73"/>
        <v>0</v>
      </c>
      <c r="O247" s="6">
        <f t="shared" si="74"/>
        <v>0</v>
      </c>
      <c r="P247" s="6">
        <f t="shared" si="75"/>
        <v>0</v>
      </c>
      <c r="Q247" s="6">
        <f t="shared" si="76"/>
        <v>0</v>
      </c>
      <c r="R247" s="6">
        <f t="shared" si="77"/>
        <v>0</v>
      </c>
      <c r="S247" s="6">
        <f t="shared" si="78"/>
        <v>0</v>
      </c>
      <c r="T247" s="6">
        <f t="shared" si="79"/>
        <v>0</v>
      </c>
      <c r="U247" s="6">
        <f t="shared" si="80"/>
        <v>0</v>
      </c>
      <c r="V247" s="6">
        <f t="shared" si="81"/>
        <v>0</v>
      </c>
      <c r="W247" s="6">
        <f t="shared" si="82"/>
        <v>0</v>
      </c>
      <c r="X247" s="6">
        <f t="shared" si="83"/>
        <v>0</v>
      </c>
      <c r="Y247" s="6">
        <f t="shared" si="84"/>
        <v>0</v>
      </c>
      <c r="AA247" s="6" t="str">
        <f>IF(最佳化斷筋點!C247="","",最佳化斷筋點!C247)</f>
        <v>上層</v>
      </c>
      <c r="AB247" s="6">
        <f>IF(最佳化斷筋點!D247="","",最佳化斷筋點!D247)</f>
        <v>10</v>
      </c>
      <c r="AC247" s="6">
        <f>IF(最佳化斷筋點!E247="","",最佳化斷筋點!E247)</f>
        <v>9</v>
      </c>
      <c r="AD247" s="6">
        <f>IF(最佳化斷筋點!F247="","",最佳化斷筋點!F247)</f>
        <v>8</v>
      </c>
      <c r="AE247" s="6">
        <f>IF(最佳化斷筋點!G247="","",最佳化斷筋點!G247)</f>
        <v>8</v>
      </c>
      <c r="AF247" s="6">
        <f>IF(最佳化斷筋點!H247="","",最佳化斷筋點!H247)</f>
        <v>7</v>
      </c>
      <c r="AG247" s="6">
        <f>IF(最佳化斷筋點!I247="","",最佳化斷筋點!I247)</f>
        <v>6</v>
      </c>
      <c r="AH247" s="6">
        <f>IF(最佳化斷筋點!J247="","",最佳化斷筋點!J247)</f>
        <v>5</v>
      </c>
      <c r="AI247" s="6">
        <f>IF(最佳化斷筋點!K247="","",最佳化斷筋點!K247)</f>
        <v>4</v>
      </c>
      <c r="AJ247" s="6">
        <f>IF(最佳化斷筋點!L247="","",最佳化斷筋點!L247)</f>
        <v>3</v>
      </c>
      <c r="AK247" s="6">
        <f>IF(最佳化斷筋點!M247="","",最佳化斷筋點!M247)</f>
        <v>2</v>
      </c>
      <c r="AL247" s="6">
        <f>IF(最佳化斷筋點!N247="","",最佳化斷筋點!N247)</f>
        <v>2</v>
      </c>
      <c r="AM247" s="6">
        <f>IF(最佳化斷筋點!O247="","",最佳化斷筋點!O247)</f>
        <v>2</v>
      </c>
      <c r="AN247" s="6">
        <f>IF(最佳化斷筋點!P247="","",最佳化斷筋點!P247)</f>
        <v>3</v>
      </c>
      <c r="AO247" s="6">
        <f>IF(最佳化斷筋點!Q247="","",最佳化斷筋點!Q247)</f>
        <v>4</v>
      </c>
      <c r="AP247" s="6">
        <f>IF(最佳化斷筋點!R247="","",最佳化斷筋點!R247)</f>
        <v>5</v>
      </c>
      <c r="AQ247" s="6">
        <f>IF(最佳化斷筋點!S247="","",最佳化斷筋點!S247)</f>
        <v>6</v>
      </c>
      <c r="AR247" s="6">
        <f>IF(最佳化斷筋點!T247="","",最佳化斷筋點!T247)</f>
        <v>8</v>
      </c>
      <c r="AS247" s="6">
        <f>IF(最佳化斷筋點!U247="","",最佳化斷筋點!U247)</f>
        <v>9</v>
      </c>
      <c r="AT247" s="6">
        <f>IF(最佳化斷筋點!V247="","",最佳化斷筋點!V247)</f>
        <v>10</v>
      </c>
      <c r="AU247" s="6">
        <f>IF(最佳化斷筋點!W247="","",最佳化斷筋點!W247)</f>
        <v>11</v>
      </c>
      <c r="AV247" s="6">
        <f>IF(最佳化斷筋點!X247="","",最佳化斷筋點!X247)</f>
        <v>12</v>
      </c>
      <c r="AX247" s="6" t="s">
        <v>50</v>
      </c>
      <c r="AY247" s="6">
        <v>10</v>
      </c>
      <c r="AZ247" s="6">
        <v>9</v>
      </c>
      <c r="BA247" s="6">
        <v>8</v>
      </c>
      <c r="BB247" s="6">
        <v>8</v>
      </c>
      <c r="BC247" s="6">
        <v>7</v>
      </c>
      <c r="BD247" s="6">
        <v>6</v>
      </c>
      <c r="BE247" s="6">
        <v>5</v>
      </c>
      <c r="BF247" s="6">
        <v>4</v>
      </c>
      <c r="BG247" s="6">
        <v>3</v>
      </c>
      <c r="BH247" s="6">
        <v>2</v>
      </c>
      <c r="BI247" s="6">
        <v>2</v>
      </c>
      <c r="BJ247" s="6">
        <v>2</v>
      </c>
      <c r="BK247" s="6">
        <v>3</v>
      </c>
      <c r="BL247" s="6">
        <v>4</v>
      </c>
      <c r="BM247" s="6">
        <v>5</v>
      </c>
      <c r="BN247" s="6">
        <v>6</v>
      </c>
      <c r="BO247" s="6">
        <v>8</v>
      </c>
      <c r="BP247" s="6">
        <v>9</v>
      </c>
      <c r="BQ247" s="6">
        <v>10</v>
      </c>
      <c r="BR247" s="6">
        <v>11</v>
      </c>
      <c r="BS247" s="6">
        <v>12</v>
      </c>
    </row>
    <row r="248" spans="4:71" x14ac:dyDescent="0.25">
      <c r="E248" s="6">
        <f t="shared" si="64"/>
        <v>0</v>
      </c>
      <c r="F248" s="6">
        <f t="shared" si="65"/>
        <v>0</v>
      </c>
      <c r="G248" s="6">
        <f t="shared" si="66"/>
        <v>0</v>
      </c>
      <c r="H248" s="6">
        <f t="shared" si="67"/>
        <v>0</v>
      </c>
      <c r="I248" s="6">
        <f t="shared" si="68"/>
        <v>0</v>
      </c>
      <c r="J248" s="6">
        <f t="shared" si="69"/>
        <v>0</v>
      </c>
      <c r="K248" s="6">
        <f t="shared" si="70"/>
        <v>0</v>
      </c>
      <c r="L248" s="6">
        <f t="shared" si="71"/>
        <v>0</v>
      </c>
      <c r="M248" s="6">
        <f t="shared" si="72"/>
        <v>0</v>
      </c>
      <c r="N248" s="6">
        <f t="shared" si="73"/>
        <v>0</v>
      </c>
      <c r="O248" s="6">
        <f t="shared" si="74"/>
        <v>0</v>
      </c>
      <c r="P248" s="6">
        <f t="shared" si="75"/>
        <v>0</v>
      </c>
      <c r="Q248" s="6">
        <f t="shared" si="76"/>
        <v>0</v>
      </c>
      <c r="R248" s="6">
        <f t="shared" si="77"/>
        <v>0</v>
      </c>
      <c r="S248" s="6">
        <f t="shared" si="78"/>
        <v>0</v>
      </c>
      <c r="T248" s="6">
        <f t="shared" si="79"/>
        <v>0</v>
      </c>
      <c r="U248" s="6">
        <f t="shared" si="80"/>
        <v>0</v>
      </c>
      <c r="V248" s="6">
        <f t="shared" si="81"/>
        <v>0</v>
      </c>
      <c r="W248" s="6">
        <f t="shared" si="82"/>
        <v>0</v>
      </c>
      <c r="X248" s="6">
        <f t="shared" si="83"/>
        <v>0</v>
      </c>
      <c r="Y248" s="6">
        <f t="shared" si="84"/>
        <v>0</v>
      </c>
      <c r="AA248" s="6" t="str">
        <f>IF(最佳化斷筋點!C248="","",最佳化斷筋點!C248)</f>
        <v/>
      </c>
      <c r="AB248" s="6" t="str">
        <f>IF(最佳化斷筋點!D248="","",最佳化斷筋點!D248)</f>
        <v/>
      </c>
      <c r="AC248" s="6" t="str">
        <f>IF(最佳化斷筋點!E248="","",最佳化斷筋點!E248)</f>
        <v/>
      </c>
      <c r="AD248" s="6" t="str">
        <f>IF(最佳化斷筋點!F248="","",最佳化斷筋點!F248)</f>
        <v/>
      </c>
      <c r="AE248" s="6" t="str">
        <f>IF(最佳化斷筋點!G248="","",最佳化斷筋點!G248)</f>
        <v/>
      </c>
      <c r="AF248" s="6" t="str">
        <f>IF(最佳化斷筋點!H248="","",最佳化斷筋點!H248)</f>
        <v/>
      </c>
      <c r="AG248" s="6" t="str">
        <f>IF(最佳化斷筋點!I248="","",最佳化斷筋點!I248)</f>
        <v/>
      </c>
      <c r="AH248" s="6" t="str">
        <f>IF(最佳化斷筋點!J248="","",最佳化斷筋點!J248)</f>
        <v/>
      </c>
      <c r="AI248" s="6" t="str">
        <f>IF(最佳化斷筋點!K248="","",最佳化斷筋點!K248)</f>
        <v/>
      </c>
      <c r="AJ248" s="6" t="str">
        <f>IF(最佳化斷筋點!L248="","",最佳化斷筋點!L248)</f>
        <v/>
      </c>
      <c r="AK248" s="6" t="str">
        <f>IF(最佳化斷筋點!M248="","",最佳化斷筋點!M248)</f>
        <v/>
      </c>
      <c r="AL248" s="6" t="str">
        <f>IF(最佳化斷筋點!N248="","",最佳化斷筋點!N248)</f>
        <v/>
      </c>
      <c r="AM248" s="6" t="str">
        <f>IF(最佳化斷筋點!O248="","",最佳化斷筋點!O248)</f>
        <v/>
      </c>
      <c r="AN248" s="6" t="str">
        <f>IF(最佳化斷筋點!P248="","",最佳化斷筋點!P248)</f>
        <v/>
      </c>
      <c r="AO248" s="6" t="str">
        <f>IF(最佳化斷筋點!Q248="","",最佳化斷筋點!Q248)</f>
        <v/>
      </c>
      <c r="AP248" s="6" t="str">
        <f>IF(最佳化斷筋點!R248="","",最佳化斷筋點!R248)</f>
        <v/>
      </c>
      <c r="AQ248" s="6" t="str">
        <f>IF(最佳化斷筋點!S248="","",最佳化斷筋點!S248)</f>
        <v/>
      </c>
      <c r="AR248" s="6" t="str">
        <f>IF(最佳化斷筋點!T248="","",最佳化斷筋點!T248)</f>
        <v/>
      </c>
      <c r="AS248" s="6" t="str">
        <f>IF(最佳化斷筋點!U248="","",最佳化斷筋點!U248)</f>
        <v/>
      </c>
      <c r="AT248" s="6" t="str">
        <f>IF(最佳化斷筋點!V248="","",最佳化斷筋點!V248)</f>
        <v/>
      </c>
      <c r="AU248" s="6" t="str">
        <f>IF(最佳化斷筋點!W248="","",最佳化斷筋點!W248)</f>
        <v/>
      </c>
      <c r="AV248" s="6" t="str">
        <f>IF(最佳化斷筋點!X248="","",最佳化斷筋點!X248)</f>
        <v/>
      </c>
    </row>
    <row r="249" spans="4:71" x14ac:dyDescent="0.25">
      <c r="D249" s="6" t="s">
        <v>51</v>
      </c>
      <c r="E249" s="6">
        <f t="shared" si="64"/>
        <v>0</v>
      </c>
      <c r="F249" s="6">
        <f t="shared" si="65"/>
        <v>0</v>
      </c>
      <c r="G249" s="6">
        <f t="shared" si="66"/>
        <v>0</v>
      </c>
      <c r="H249" s="6">
        <f t="shared" si="67"/>
        <v>0</v>
      </c>
      <c r="I249" s="6">
        <f t="shared" si="68"/>
        <v>0</v>
      </c>
      <c r="J249" s="6">
        <f t="shared" si="69"/>
        <v>0</v>
      </c>
      <c r="K249" s="6">
        <f t="shared" si="70"/>
        <v>0</v>
      </c>
      <c r="L249" s="6">
        <f t="shared" si="71"/>
        <v>0</v>
      </c>
      <c r="M249" s="6">
        <f t="shared" si="72"/>
        <v>0</v>
      </c>
      <c r="N249" s="6">
        <f t="shared" si="73"/>
        <v>0</v>
      </c>
      <c r="O249" s="6">
        <f t="shared" si="74"/>
        <v>0</v>
      </c>
      <c r="P249" s="6">
        <f t="shared" si="75"/>
        <v>0</v>
      </c>
      <c r="Q249" s="6">
        <f t="shared" si="76"/>
        <v>0</v>
      </c>
      <c r="R249" s="6">
        <f t="shared" si="77"/>
        <v>0</v>
      </c>
      <c r="S249" s="6">
        <f t="shared" si="78"/>
        <v>0</v>
      </c>
      <c r="T249" s="6">
        <f t="shared" si="79"/>
        <v>0</v>
      </c>
      <c r="U249" s="6">
        <f t="shared" si="80"/>
        <v>0</v>
      </c>
      <c r="V249" s="6">
        <f t="shared" si="81"/>
        <v>0</v>
      </c>
      <c r="W249" s="6">
        <f t="shared" si="82"/>
        <v>0</v>
      </c>
      <c r="X249" s="6">
        <f t="shared" si="83"/>
        <v>0</v>
      </c>
      <c r="Y249" s="6">
        <f t="shared" si="84"/>
        <v>0</v>
      </c>
      <c r="AA249" s="6" t="str">
        <f>IF(最佳化斷筋點!C249="","",最佳化斷筋點!C249)</f>
        <v>下層</v>
      </c>
      <c r="AB249" s="6">
        <f>IF(最佳化斷筋點!D249="","",最佳化斷筋點!D249)</f>
        <v>6</v>
      </c>
      <c r="AC249" s="6">
        <f>IF(最佳化斷筋點!E249="","",最佳化斷筋點!E249)</f>
        <v>6</v>
      </c>
      <c r="AD249" s="6">
        <f>IF(最佳化斷筋點!F249="","",最佳化斷筋點!F249)</f>
        <v>5</v>
      </c>
      <c r="AE249" s="6">
        <f>IF(最佳化斷筋點!G249="","",最佳化斷筋點!G249)</f>
        <v>5</v>
      </c>
      <c r="AF249" s="6">
        <f>IF(最佳化斷筋點!H249="","",最佳化斷筋點!H249)</f>
        <v>6</v>
      </c>
      <c r="AG249" s="6">
        <f>IF(最佳化斷筋點!I249="","",最佳化斷筋點!I249)</f>
        <v>6</v>
      </c>
      <c r="AH249" s="6">
        <f>IF(最佳化斷筋點!J249="","",最佳化斷筋點!J249)</f>
        <v>7</v>
      </c>
      <c r="AI249" s="6">
        <f>IF(最佳化斷筋點!K249="","",最佳化斷筋點!K249)</f>
        <v>8</v>
      </c>
      <c r="AJ249" s="6">
        <f>IF(最佳化斷筋點!L249="","",最佳化斷筋點!L249)</f>
        <v>8</v>
      </c>
      <c r="AK249" s="6">
        <f>IF(最佳化斷筋點!M249="","",最佳化斷筋點!M249)</f>
        <v>8</v>
      </c>
      <c r="AL249" s="6">
        <f>IF(最佳化斷筋點!N249="","",最佳化斷筋點!N249)</f>
        <v>8</v>
      </c>
      <c r="AM249" s="6">
        <f>IF(最佳化斷筋點!O249="","",最佳化斷筋點!O249)</f>
        <v>8</v>
      </c>
      <c r="AN249" s="6">
        <f>IF(最佳化斷筋點!P249="","",最佳化斷筋點!P249)</f>
        <v>8</v>
      </c>
      <c r="AO249" s="6">
        <f>IF(最佳化斷筋點!Q249="","",最佳化斷筋點!Q249)</f>
        <v>8</v>
      </c>
      <c r="AP249" s="6">
        <f>IF(最佳化斷筋點!R249="","",最佳化斷筋點!R249)</f>
        <v>7</v>
      </c>
      <c r="AQ249" s="6">
        <f>IF(最佳化斷筋點!S249="","",最佳化斷筋點!S249)</f>
        <v>6</v>
      </c>
      <c r="AR249" s="6">
        <f>IF(最佳化斷筋點!T249="","",最佳化斷筋點!T249)</f>
        <v>6</v>
      </c>
      <c r="AS249" s="6">
        <f>IF(最佳化斷筋點!U249="","",最佳化斷筋點!U249)</f>
        <v>5</v>
      </c>
      <c r="AT249" s="6">
        <f>IF(最佳化斷筋點!V249="","",最佳化斷筋點!V249)</f>
        <v>6</v>
      </c>
      <c r="AU249" s="6">
        <f>IF(最佳化斷筋點!W249="","",最佳化斷筋點!W249)</f>
        <v>7</v>
      </c>
      <c r="AV249" s="6">
        <f>IF(最佳化斷筋點!X249="","",最佳化斷筋點!X249)</f>
        <v>7</v>
      </c>
      <c r="AX249" s="6" t="s">
        <v>51</v>
      </c>
      <c r="AY249" s="6">
        <v>6</v>
      </c>
      <c r="AZ249" s="6">
        <v>6</v>
      </c>
      <c r="BA249" s="6">
        <v>5</v>
      </c>
      <c r="BB249" s="6">
        <v>5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7</v>
      </c>
      <c r="BN249" s="6">
        <v>6</v>
      </c>
      <c r="BO249" s="6">
        <v>6</v>
      </c>
      <c r="BP249" s="6">
        <v>5</v>
      </c>
      <c r="BQ249" s="6">
        <v>6</v>
      </c>
      <c r="BR249" s="6">
        <v>7</v>
      </c>
      <c r="BS249" s="6">
        <v>7</v>
      </c>
    </row>
    <row r="250" spans="4:71" x14ac:dyDescent="0.25">
      <c r="E250" s="6">
        <f t="shared" si="64"/>
        <v>0</v>
      </c>
      <c r="F250" s="6">
        <f t="shared" si="65"/>
        <v>0</v>
      </c>
      <c r="G250" s="6">
        <f t="shared" si="66"/>
        <v>0</v>
      </c>
      <c r="H250" s="6">
        <f t="shared" si="67"/>
        <v>0</v>
      </c>
      <c r="I250" s="6">
        <f t="shared" si="68"/>
        <v>0</v>
      </c>
      <c r="J250" s="6">
        <f t="shared" si="69"/>
        <v>0</v>
      </c>
      <c r="K250" s="6">
        <f t="shared" si="70"/>
        <v>0</v>
      </c>
      <c r="L250" s="6">
        <f t="shared" si="71"/>
        <v>0</v>
      </c>
      <c r="M250" s="6">
        <f t="shared" si="72"/>
        <v>0</v>
      </c>
      <c r="N250" s="6">
        <f t="shared" si="73"/>
        <v>0</v>
      </c>
      <c r="O250" s="6">
        <f t="shared" si="74"/>
        <v>0</v>
      </c>
      <c r="P250" s="6">
        <f t="shared" si="75"/>
        <v>0</v>
      </c>
      <c r="Q250" s="6">
        <f t="shared" si="76"/>
        <v>0</v>
      </c>
      <c r="R250" s="6">
        <f t="shared" si="77"/>
        <v>0</v>
      </c>
      <c r="S250" s="6">
        <f t="shared" si="78"/>
        <v>0</v>
      </c>
      <c r="T250" s="6">
        <f t="shared" si="79"/>
        <v>0</v>
      </c>
      <c r="U250" s="6">
        <f t="shared" si="80"/>
        <v>0</v>
      </c>
      <c r="V250" s="6">
        <f t="shared" si="81"/>
        <v>0</v>
      </c>
      <c r="W250" s="6">
        <f t="shared" si="82"/>
        <v>0</v>
      </c>
      <c r="X250" s="6">
        <f t="shared" si="83"/>
        <v>0</v>
      </c>
      <c r="Y250" s="6">
        <f t="shared" si="84"/>
        <v>0</v>
      </c>
      <c r="AA250" s="6" t="str">
        <f>IF(最佳化斷筋點!C250="","",最佳化斷筋點!C250)</f>
        <v/>
      </c>
      <c r="AB250" s="6" t="str">
        <f>IF(最佳化斷筋點!D250="","",最佳化斷筋點!D250)</f>
        <v/>
      </c>
      <c r="AC250" s="6" t="str">
        <f>IF(最佳化斷筋點!E250="","",最佳化斷筋點!E250)</f>
        <v/>
      </c>
      <c r="AD250" s="6" t="str">
        <f>IF(最佳化斷筋點!F250="","",最佳化斷筋點!F250)</f>
        <v/>
      </c>
      <c r="AE250" s="6" t="str">
        <f>IF(最佳化斷筋點!G250="","",最佳化斷筋點!G250)</f>
        <v/>
      </c>
      <c r="AF250" s="6" t="str">
        <f>IF(最佳化斷筋點!H250="","",最佳化斷筋點!H250)</f>
        <v/>
      </c>
      <c r="AG250" s="6" t="str">
        <f>IF(最佳化斷筋點!I250="","",最佳化斷筋點!I250)</f>
        <v/>
      </c>
      <c r="AH250" s="6" t="str">
        <f>IF(最佳化斷筋點!J250="","",最佳化斷筋點!J250)</f>
        <v/>
      </c>
      <c r="AI250" s="6" t="str">
        <f>IF(最佳化斷筋點!K250="","",最佳化斷筋點!K250)</f>
        <v/>
      </c>
      <c r="AJ250" s="6" t="str">
        <f>IF(最佳化斷筋點!L250="","",最佳化斷筋點!L250)</f>
        <v/>
      </c>
      <c r="AK250" s="6" t="str">
        <f>IF(最佳化斷筋點!M250="","",最佳化斷筋點!M250)</f>
        <v/>
      </c>
      <c r="AL250" s="6" t="str">
        <f>IF(最佳化斷筋點!N250="","",最佳化斷筋點!N250)</f>
        <v/>
      </c>
      <c r="AM250" s="6" t="str">
        <f>IF(最佳化斷筋點!O250="","",最佳化斷筋點!O250)</f>
        <v/>
      </c>
      <c r="AN250" s="6" t="str">
        <f>IF(最佳化斷筋點!P250="","",最佳化斷筋點!P250)</f>
        <v/>
      </c>
      <c r="AO250" s="6" t="str">
        <f>IF(最佳化斷筋點!Q250="","",最佳化斷筋點!Q250)</f>
        <v/>
      </c>
      <c r="AP250" s="6" t="str">
        <f>IF(最佳化斷筋點!R250="","",最佳化斷筋點!R250)</f>
        <v/>
      </c>
      <c r="AQ250" s="6" t="str">
        <f>IF(最佳化斷筋點!S250="","",最佳化斷筋點!S250)</f>
        <v/>
      </c>
      <c r="AR250" s="6" t="str">
        <f>IF(最佳化斷筋點!T250="","",最佳化斷筋點!T250)</f>
        <v/>
      </c>
      <c r="AS250" s="6" t="str">
        <f>IF(最佳化斷筋點!U250="","",最佳化斷筋點!U250)</f>
        <v/>
      </c>
      <c r="AT250" s="6" t="str">
        <f>IF(最佳化斷筋點!V250="","",最佳化斷筋點!V250)</f>
        <v/>
      </c>
      <c r="AU250" s="6" t="str">
        <f>IF(最佳化斷筋點!W250="","",最佳化斷筋點!W250)</f>
        <v/>
      </c>
      <c r="AV250" s="6" t="str">
        <f>IF(最佳化斷筋點!X250="","",最佳化斷筋點!X250)</f>
        <v/>
      </c>
    </row>
    <row r="251" spans="4:71" x14ac:dyDescent="0.25">
      <c r="D251" s="6" t="s">
        <v>50</v>
      </c>
      <c r="E251" s="6">
        <f t="shared" si="64"/>
        <v>0</v>
      </c>
      <c r="F251" s="6">
        <f t="shared" si="65"/>
        <v>0</v>
      </c>
      <c r="G251" s="6">
        <f t="shared" si="66"/>
        <v>0</v>
      </c>
      <c r="H251" s="6">
        <f t="shared" si="67"/>
        <v>0</v>
      </c>
      <c r="I251" s="6">
        <f t="shared" si="68"/>
        <v>0</v>
      </c>
      <c r="J251" s="6">
        <f t="shared" si="69"/>
        <v>0</v>
      </c>
      <c r="K251" s="6">
        <f t="shared" si="70"/>
        <v>0</v>
      </c>
      <c r="L251" s="6">
        <f t="shared" si="71"/>
        <v>0</v>
      </c>
      <c r="M251" s="6">
        <f t="shared" si="72"/>
        <v>0</v>
      </c>
      <c r="N251" s="6">
        <f t="shared" si="73"/>
        <v>0</v>
      </c>
      <c r="O251" s="6">
        <f t="shared" si="74"/>
        <v>0</v>
      </c>
      <c r="P251" s="6">
        <f t="shared" si="75"/>
        <v>0</v>
      </c>
      <c r="Q251" s="6">
        <f t="shared" si="76"/>
        <v>0</v>
      </c>
      <c r="R251" s="6">
        <f t="shared" si="77"/>
        <v>0</v>
      </c>
      <c r="S251" s="6">
        <f t="shared" si="78"/>
        <v>0</v>
      </c>
      <c r="T251" s="6">
        <f t="shared" si="79"/>
        <v>0</v>
      </c>
      <c r="U251" s="6">
        <f t="shared" si="80"/>
        <v>0</v>
      </c>
      <c r="V251" s="6">
        <f t="shared" si="81"/>
        <v>0</v>
      </c>
      <c r="W251" s="6">
        <f t="shared" si="82"/>
        <v>0</v>
      </c>
      <c r="X251" s="6">
        <f t="shared" si="83"/>
        <v>0</v>
      </c>
      <c r="Y251" s="6">
        <f t="shared" si="84"/>
        <v>0</v>
      </c>
      <c r="AA251" s="6" t="str">
        <f>IF(最佳化斷筋點!C251="","",最佳化斷筋點!C251)</f>
        <v>上層</v>
      </c>
      <c r="AB251" s="6">
        <f>IF(最佳化斷筋點!D251="","",最佳化斷筋點!D251)</f>
        <v>10</v>
      </c>
      <c r="AC251" s="6">
        <f>IF(最佳化斷筋點!E251="","",最佳化斷筋點!E251)</f>
        <v>9</v>
      </c>
      <c r="AD251" s="6">
        <f>IF(最佳化斷筋點!F251="","",最佳化斷筋點!F251)</f>
        <v>8</v>
      </c>
      <c r="AE251" s="6">
        <f>IF(最佳化斷筋點!G251="","",最佳化斷筋點!G251)</f>
        <v>8</v>
      </c>
      <c r="AF251" s="6">
        <f>IF(最佳化斷筋點!H251="","",最佳化斷筋點!H251)</f>
        <v>7</v>
      </c>
      <c r="AG251" s="6">
        <f>IF(最佳化斷筋點!I251="","",最佳化斷筋點!I251)</f>
        <v>6</v>
      </c>
      <c r="AH251" s="6">
        <f>IF(最佳化斷筋點!J251="","",最佳化斷筋點!J251)</f>
        <v>5</v>
      </c>
      <c r="AI251" s="6">
        <f>IF(最佳化斷筋點!K251="","",最佳化斷筋點!K251)</f>
        <v>4</v>
      </c>
      <c r="AJ251" s="6">
        <f>IF(最佳化斷筋點!L251="","",最佳化斷筋點!L251)</f>
        <v>3</v>
      </c>
      <c r="AK251" s="6">
        <f>IF(最佳化斷筋點!M251="","",最佳化斷筋點!M251)</f>
        <v>2</v>
      </c>
      <c r="AL251" s="6">
        <f>IF(最佳化斷筋點!N251="","",最佳化斷筋點!N251)</f>
        <v>2</v>
      </c>
      <c r="AM251" s="6">
        <f>IF(最佳化斷筋點!O251="","",最佳化斷筋點!O251)</f>
        <v>2</v>
      </c>
      <c r="AN251" s="6">
        <f>IF(最佳化斷筋點!P251="","",最佳化斷筋點!P251)</f>
        <v>3</v>
      </c>
      <c r="AO251" s="6">
        <f>IF(最佳化斷筋點!Q251="","",最佳化斷筋點!Q251)</f>
        <v>4</v>
      </c>
      <c r="AP251" s="6">
        <f>IF(最佳化斷筋點!R251="","",最佳化斷筋點!R251)</f>
        <v>5</v>
      </c>
      <c r="AQ251" s="6">
        <f>IF(最佳化斷筋點!S251="","",最佳化斷筋點!S251)</f>
        <v>6</v>
      </c>
      <c r="AR251" s="6">
        <f>IF(最佳化斷筋點!T251="","",最佳化斷筋點!T251)</f>
        <v>8</v>
      </c>
      <c r="AS251" s="6">
        <f>IF(最佳化斷筋點!U251="","",最佳化斷筋點!U251)</f>
        <v>9</v>
      </c>
      <c r="AT251" s="6">
        <f>IF(最佳化斷筋點!V251="","",最佳化斷筋點!V251)</f>
        <v>10</v>
      </c>
      <c r="AU251" s="6">
        <f>IF(最佳化斷筋點!W251="","",最佳化斷筋點!W251)</f>
        <v>11</v>
      </c>
      <c r="AV251" s="6">
        <f>IF(最佳化斷筋點!X251="","",最佳化斷筋點!X251)</f>
        <v>12</v>
      </c>
      <c r="AX251" s="6" t="s">
        <v>50</v>
      </c>
      <c r="AY251" s="6">
        <v>10</v>
      </c>
      <c r="AZ251" s="6">
        <v>9</v>
      </c>
      <c r="BA251" s="6">
        <v>8</v>
      </c>
      <c r="BB251" s="6">
        <v>8</v>
      </c>
      <c r="BC251" s="6">
        <v>7</v>
      </c>
      <c r="BD251" s="6">
        <v>6</v>
      </c>
      <c r="BE251" s="6">
        <v>5</v>
      </c>
      <c r="BF251" s="6">
        <v>4</v>
      </c>
      <c r="BG251" s="6">
        <v>3</v>
      </c>
      <c r="BH251" s="6">
        <v>2</v>
      </c>
      <c r="BI251" s="6">
        <v>2</v>
      </c>
      <c r="BJ251" s="6">
        <v>2</v>
      </c>
      <c r="BK251" s="6">
        <v>3</v>
      </c>
      <c r="BL251" s="6">
        <v>4</v>
      </c>
      <c r="BM251" s="6">
        <v>5</v>
      </c>
      <c r="BN251" s="6">
        <v>6</v>
      </c>
      <c r="BO251" s="6">
        <v>8</v>
      </c>
      <c r="BP251" s="6">
        <v>9</v>
      </c>
      <c r="BQ251" s="6">
        <v>10</v>
      </c>
      <c r="BR251" s="6">
        <v>11</v>
      </c>
      <c r="BS251" s="6">
        <v>12</v>
      </c>
    </row>
    <row r="252" spans="4:71" x14ac:dyDescent="0.25">
      <c r="E252" s="6">
        <f t="shared" si="64"/>
        <v>0</v>
      </c>
      <c r="F252" s="6">
        <f t="shared" si="65"/>
        <v>0</v>
      </c>
      <c r="G252" s="6">
        <f t="shared" si="66"/>
        <v>0</v>
      </c>
      <c r="H252" s="6">
        <f t="shared" si="67"/>
        <v>0</v>
      </c>
      <c r="I252" s="6">
        <f t="shared" si="68"/>
        <v>0</v>
      </c>
      <c r="J252" s="6">
        <f t="shared" si="69"/>
        <v>0</v>
      </c>
      <c r="K252" s="6">
        <f t="shared" si="70"/>
        <v>0</v>
      </c>
      <c r="L252" s="6">
        <f t="shared" si="71"/>
        <v>0</v>
      </c>
      <c r="M252" s="6">
        <f t="shared" si="72"/>
        <v>0</v>
      </c>
      <c r="N252" s="6">
        <f t="shared" si="73"/>
        <v>0</v>
      </c>
      <c r="O252" s="6">
        <f t="shared" si="74"/>
        <v>0</v>
      </c>
      <c r="P252" s="6">
        <f t="shared" si="75"/>
        <v>0</v>
      </c>
      <c r="Q252" s="6">
        <f t="shared" si="76"/>
        <v>0</v>
      </c>
      <c r="R252" s="6">
        <f t="shared" si="77"/>
        <v>0</v>
      </c>
      <c r="S252" s="6">
        <f t="shared" si="78"/>
        <v>0</v>
      </c>
      <c r="T252" s="6">
        <f t="shared" si="79"/>
        <v>0</v>
      </c>
      <c r="U252" s="6">
        <f t="shared" si="80"/>
        <v>0</v>
      </c>
      <c r="V252" s="6">
        <f t="shared" si="81"/>
        <v>0</v>
      </c>
      <c r="W252" s="6">
        <f t="shared" si="82"/>
        <v>0</v>
      </c>
      <c r="X252" s="6">
        <f t="shared" si="83"/>
        <v>0</v>
      </c>
      <c r="Y252" s="6">
        <f t="shared" si="84"/>
        <v>0</v>
      </c>
      <c r="AA252" s="6" t="str">
        <f>IF(最佳化斷筋點!C252="","",最佳化斷筋點!C252)</f>
        <v/>
      </c>
      <c r="AB252" s="6" t="str">
        <f>IF(最佳化斷筋點!D252="","",最佳化斷筋點!D252)</f>
        <v/>
      </c>
      <c r="AC252" s="6" t="str">
        <f>IF(最佳化斷筋點!E252="","",最佳化斷筋點!E252)</f>
        <v/>
      </c>
      <c r="AD252" s="6" t="str">
        <f>IF(最佳化斷筋點!F252="","",最佳化斷筋點!F252)</f>
        <v/>
      </c>
      <c r="AE252" s="6" t="str">
        <f>IF(最佳化斷筋點!G252="","",最佳化斷筋點!G252)</f>
        <v/>
      </c>
      <c r="AF252" s="6" t="str">
        <f>IF(最佳化斷筋點!H252="","",最佳化斷筋點!H252)</f>
        <v/>
      </c>
      <c r="AG252" s="6" t="str">
        <f>IF(最佳化斷筋點!I252="","",最佳化斷筋點!I252)</f>
        <v/>
      </c>
      <c r="AH252" s="6" t="str">
        <f>IF(最佳化斷筋點!J252="","",最佳化斷筋點!J252)</f>
        <v/>
      </c>
      <c r="AI252" s="6" t="str">
        <f>IF(最佳化斷筋點!K252="","",最佳化斷筋點!K252)</f>
        <v/>
      </c>
      <c r="AJ252" s="6" t="str">
        <f>IF(最佳化斷筋點!L252="","",最佳化斷筋點!L252)</f>
        <v/>
      </c>
      <c r="AK252" s="6" t="str">
        <f>IF(最佳化斷筋點!M252="","",最佳化斷筋點!M252)</f>
        <v/>
      </c>
      <c r="AL252" s="6" t="str">
        <f>IF(最佳化斷筋點!N252="","",最佳化斷筋點!N252)</f>
        <v/>
      </c>
      <c r="AM252" s="6" t="str">
        <f>IF(最佳化斷筋點!O252="","",最佳化斷筋點!O252)</f>
        <v/>
      </c>
      <c r="AN252" s="6" t="str">
        <f>IF(最佳化斷筋點!P252="","",最佳化斷筋點!P252)</f>
        <v/>
      </c>
      <c r="AO252" s="6" t="str">
        <f>IF(最佳化斷筋點!Q252="","",最佳化斷筋點!Q252)</f>
        <v/>
      </c>
      <c r="AP252" s="6" t="str">
        <f>IF(最佳化斷筋點!R252="","",最佳化斷筋點!R252)</f>
        <v/>
      </c>
      <c r="AQ252" s="6" t="str">
        <f>IF(最佳化斷筋點!S252="","",最佳化斷筋點!S252)</f>
        <v/>
      </c>
      <c r="AR252" s="6" t="str">
        <f>IF(最佳化斷筋點!T252="","",最佳化斷筋點!T252)</f>
        <v/>
      </c>
      <c r="AS252" s="6" t="str">
        <f>IF(最佳化斷筋點!U252="","",最佳化斷筋點!U252)</f>
        <v/>
      </c>
      <c r="AT252" s="6" t="str">
        <f>IF(最佳化斷筋點!V252="","",最佳化斷筋點!V252)</f>
        <v/>
      </c>
      <c r="AU252" s="6" t="str">
        <f>IF(最佳化斷筋點!W252="","",最佳化斷筋點!W252)</f>
        <v/>
      </c>
      <c r="AV252" s="6" t="str">
        <f>IF(最佳化斷筋點!X252="","",最佳化斷筋點!X252)</f>
        <v/>
      </c>
    </row>
    <row r="253" spans="4:71" x14ac:dyDescent="0.25">
      <c r="D253" s="6" t="s">
        <v>51</v>
      </c>
      <c r="E253" s="6">
        <f t="shared" si="64"/>
        <v>0</v>
      </c>
      <c r="F253" s="6">
        <f t="shared" si="65"/>
        <v>0</v>
      </c>
      <c r="G253" s="6">
        <f t="shared" si="66"/>
        <v>0</v>
      </c>
      <c r="H253" s="6">
        <f t="shared" si="67"/>
        <v>0</v>
      </c>
      <c r="I253" s="6">
        <f t="shared" si="68"/>
        <v>0</v>
      </c>
      <c r="J253" s="6">
        <f t="shared" si="69"/>
        <v>0</v>
      </c>
      <c r="K253" s="6">
        <f t="shared" si="70"/>
        <v>0</v>
      </c>
      <c r="L253" s="6">
        <f t="shared" si="71"/>
        <v>0</v>
      </c>
      <c r="M253" s="6">
        <f t="shared" si="72"/>
        <v>0</v>
      </c>
      <c r="N253" s="6">
        <f t="shared" si="73"/>
        <v>0</v>
      </c>
      <c r="O253" s="6">
        <f t="shared" si="74"/>
        <v>0</v>
      </c>
      <c r="P253" s="6">
        <f t="shared" si="75"/>
        <v>0</v>
      </c>
      <c r="Q253" s="6">
        <f t="shared" si="76"/>
        <v>0</v>
      </c>
      <c r="R253" s="6">
        <f t="shared" si="77"/>
        <v>0</v>
      </c>
      <c r="S253" s="6">
        <f t="shared" si="78"/>
        <v>0</v>
      </c>
      <c r="T253" s="6">
        <f t="shared" si="79"/>
        <v>0</v>
      </c>
      <c r="U253" s="6">
        <f t="shared" si="80"/>
        <v>0</v>
      </c>
      <c r="V253" s="6">
        <f t="shared" si="81"/>
        <v>0</v>
      </c>
      <c r="W253" s="6">
        <f t="shared" si="82"/>
        <v>0</v>
      </c>
      <c r="X253" s="6">
        <f t="shared" si="83"/>
        <v>0</v>
      </c>
      <c r="Y253" s="6">
        <f t="shared" si="84"/>
        <v>0</v>
      </c>
      <c r="AA253" s="6" t="str">
        <f>IF(最佳化斷筋點!C253="","",最佳化斷筋點!C253)</f>
        <v>下層</v>
      </c>
      <c r="AB253" s="6">
        <f>IF(最佳化斷筋點!D253="","",最佳化斷筋點!D253)</f>
        <v>6</v>
      </c>
      <c r="AC253" s="6">
        <f>IF(最佳化斷筋點!E253="","",最佳化斷筋點!E253)</f>
        <v>6</v>
      </c>
      <c r="AD253" s="6">
        <f>IF(最佳化斷筋點!F253="","",最佳化斷筋點!F253)</f>
        <v>5</v>
      </c>
      <c r="AE253" s="6">
        <f>IF(最佳化斷筋點!G253="","",最佳化斷筋點!G253)</f>
        <v>5</v>
      </c>
      <c r="AF253" s="6">
        <f>IF(最佳化斷筋點!H253="","",最佳化斷筋點!H253)</f>
        <v>6</v>
      </c>
      <c r="AG253" s="6">
        <f>IF(最佳化斷筋點!I253="","",最佳化斷筋點!I253)</f>
        <v>6</v>
      </c>
      <c r="AH253" s="6">
        <f>IF(最佳化斷筋點!J253="","",最佳化斷筋點!J253)</f>
        <v>7</v>
      </c>
      <c r="AI253" s="6">
        <f>IF(最佳化斷筋點!K253="","",最佳化斷筋點!K253)</f>
        <v>8</v>
      </c>
      <c r="AJ253" s="6">
        <f>IF(最佳化斷筋點!L253="","",最佳化斷筋點!L253)</f>
        <v>8</v>
      </c>
      <c r="AK253" s="6">
        <f>IF(最佳化斷筋點!M253="","",最佳化斷筋點!M253)</f>
        <v>8</v>
      </c>
      <c r="AL253" s="6">
        <f>IF(最佳化斷筋點!N253="","",最佳化斷筋點!N253)</f>
        <v>8</v>
      </c>
      <c r="AM253" s="6">
        <f>IF(最佳化斷筋點!O253="","",最佳化斷筋點!O253)</f>
        <v>8</v>
      </c>
      <c r="AN253" s="6">
        <f>IF(最佳化斷筋點!P253="","",最佳化斷筋點!P253)</f>
        <v>8</v>
      </c>
      <c r="AO253" s="6">
        <f>IF(最佳化斷筋點!Q253="","",最佳化斷筋點!Q253)</f>
        <v>8</v>
      </c>
      <c r="AP253" s="6">
        <f>IF(最佳化斷筋點!R253="","",最佳化斷筋點!R253)</f>
        <v>7</v>
      </c>
      <c r="AQ253" s="6">
        <f>IF(最佳化斷筋點!S253="","",最佳化斷筋點!S253)</f>
        <v>6</v>
      </c>
      <c r="AR253" s="6">
        <f>IF(最佳化斷筋點!T253="","",最佳化斷筋點!T253)</f>
        <v>6</v>
      </c>
      <c r="AS253" s="6">
        <f>IF(最佳化斷筋點!U253="","",最佳化斷筋點!U253)</f>
        <v>5</v>
      </c>
      <c r="AT253" s="6">
        <f>IF(最佳化斷筋點!V253="","",最佳化斷筋點!V253)</f>
        <v>6</v>
      </c>
      <c r="AU253" s="6">
        <f>IF(最佳化斷筋點!W253="","",最佳化斷筋點!W253)</f>
        <v>7</v>
      </c>
      <c r="AV253" s="6">
        <f>IF(最佳化斷筋點!X253="","",最佳化斷筋點!X253)</f>
        <v>7</v>
      </c>
      <c r="AX253" s="6" t="s">
        <v>51</v>
      </c>
      <c r="AY253" s="6">
        <v>6</v>
      </c>
      <c r="AZ253" s="6">
        <v>6</v>
      </c>
      <c r="BA253" s="6">
        <v>5</v>
      </c>
      <c r="BB253" s="6">
        <v>5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7</v>
      </c>
      <c r="BN253" s="6">
        <v>6</v>
      </c>
      <c r="BO253" s="6">
        <v>6</v>
      </c>
      <c r="BP253" s="6">
        <v>5</v>
      </c>
      <c r="BQ253" s="6">
        <v>6</v>
      </c>
      <c r="BR253" s="6">
        <v>7</v>
      </c>
      <c r="BS253" s="6">
        <v>7</v>
      </c>
    </row>
    <row r="254" spans="4:71" x14ac:dyDescent="0.25">
      <c r="E254" s="6">
        <f t="shared" si="64"/>
        <v>0</v>
      </c>
      <c r="F254" s="6">
        <f t="shared" si="65"/>
        <v>0</v>
      </c>
      <c r="G254" s="6">
        <f t="shared" si="66"/>
        <v>0</v>
      </c>
      <c r="H254" s="6">
        <f t="shared" si="67"/>
        <v>0</v>
      </c>
      <c r="I254" s="6">
        <f t="shared" si="68"/>
        <v>0</v>
      </c>
      <c r="J254" s="6">
        <f t="shared" si="69"/>
        <v>0</v>
      </c>
      <c r="K254" s="6">
        <f t="shared" si="70"/>
        <v>0</v>
      </c>
      <c r="L254" s="6">
        <f t="shared" si="71"/>
        <v>0</v>
      </c>
      <c r="M254" s="6">
        <f t="shared" si="72"/>
        <v>0</v>
      </c>
      <c r="N254" s="6">
        <f t="shared" si="73"/>
        <v>0</v>
      </c>
      <c r="O254" s="6">
        <f t="shared" si="74"/>
        <v>0</v>
      </c>
      <c r="P254" s="6">
        <f t="shared" si="75"/>
        <v>0</v>
      </c>
      <c r="Q254" s="6">
        <f t="shared" si="76"/>
        <v>0</v>
      </c>
      <c r="R254" s="6">
        <f t="shared" si="77"/>
        <v>0</v>
      </c>
      <c r="S254" s="6">
        <f t="shared" si="78"/>
        <v>0</v>
      </c>
      <c r="T254" s="6">
        <f t="shared" si="79"/>
        <v>0</v>
      </c>
      <c r="U254" s="6">
        <f t="shared" si="80"/>
        <v>0</v>
      </c>
      <c r="V254" s="6">
        <f t="shared" si="81"/>
        <v>0</v>
      </c>
      <c r="W254" s="6">
        <f t="shared" si="82"/>
        <v>0</v>
      </c>
      <c r="X254" s="6">
        <f t="shared" si="83"/>
        <v>0</v>
      </c>
      <c r="Y254" s="6">
        <f t="shared" si="84"/>
        <v>0</v>
      </c>
      <c r="AA254" s="6" t="str">
        <f>IF(最佳化斷筋點!C254="","",最佳化斷筋點!C254)</f>
        <v/>
      </c>
      <c r="AB254" s="6" t="str">
        <f>IF(最佳化斷筋點!D254="","",最佳化斷筋點!D254)</f>
        <v/>
      </c>
      <c r="AC254" s="6" t="str">
        <f>IF(最佳化斷筋點!E254="","",最佳化斷筋點!E254)</f>
        <v/>
      </c>
      <c r="AD254" s="6" t="str">
        <f>IF(最佳化斷筋點!F254="","",最佳化斷筋點!F254)</f>
        <v/>
      </c>
      <c r="AE254" s="6" t="str">
        <f>IF(最佳化斷筋點!G254="","",最佳化斷筋點!G254)</f>
        <v/>
      </c>
      <c r="AF254" s="6" t="str">
        <f>IF(最佳化斷筋點!H254="","",最佳化斷筋點!H254)</f>
        <v/>
      </c>
      <c r="AG254" s="6" t="str">
        <f>IF(最佳化斷筋點!I254="","",最佳化斷筋點!I254)</f>
        <v/>
      </c>
      <c r="AH254" s="6" t="str">
        <f>IF(最佳化斷筋點!J254="","",最佳化斷筋點!J254)</f>
        <v/>
      </c>
      <c r="AI254" s="6" t="str">
        <f>IF(最佳化斷筋點!K254="","",最佳化斷筋點!K254)</f>
        <v/>
      </c>
      <c r="AJ254" s="6" t="str">
        <f>IF(最佳化斷筋點!L254="","",最佳化斷筋點!L254)</f>
        <v/>
      </c>
      <c r="AK254" s="6" t="str">
        <f>IF(最佳化斷筋點!M254="","",最佳化斷筋點!M254)</f>
        <v/>
      </c>
      <c r="AL254" s="6" t="str">
        <f>IF(最佳化斷筋點!N254="","",最佳化斷筋點!N254)</f>
        <v/>
      </c>
      <c r="AM254" s="6" t="str">
        <f>IF(最佳化斷筋點!O254="","",最佳化斷筋點!O254)</f>
        <v/>
      </c>
      <c r="AN254" s="6" t="str">
        <f>IF(最佳化斷筋點!P254="","",最佳化斷筋點!P254)</f>
        <v/>
      </c>
      <c r="AO254" s="6" t="str">
        <f>IF(最佳化斷筋點!Q254="","",最佳化斷筋點!Q254)</f>
        <v/>
      </c>
      <c r="AP254" s="6" t="str">
        <f>IF(最佳化斷筋點!R254="","",最佳化斷筋點!R254)</f>
        <v/>
      </c>
      <c r="AQ254" s="6" t="str">
        <f>IF(最佳化斷筋點!S254="","",最佳化斷筋點!S254)</f>
        <v/>
      </c>
      <c r="AR254" s="6" t="str">
        <f>IF(最佳化斷筋點!T254="","",最佳化斷筋點!T254)</f>
        <v/>
      </c>
      <c r="AS254" s="6" t="str">
        <f>IF(最佳化斷筋點!U254="","",最佳化斷筋點!U254)</f>
        <v/>
      </c>
      <c r="AT254" s="6" t="str">
        <f>IF(最佳化斷筋點!V254="","",最佳化斷筋點!V254)</f>
        <v/>
      </c>
      <c r="AU254" s="6" t="str">
        <f>IF(最佳化斷筋點!W254="","",最佳化斷筋點!W254)</f>
        <v/>
      </c>
      <c r="AV254" s="6" t="str">
        <f>IF(最佳化斷筋點!X254="","",最佳化斷筋點!X254)</f>
        <v/>
      </c>
    </row>
    <row r="255" spans="4:71" x14ac:dyDescent="0.25">
      <c r="D255" s="6" t="s">
        <v>50</v>
      </c>
      <c r="E255" s="6">
        <f t="shared" si="64"/>
        <v>0</v>
      </c>
      <c r="F255" s="6">
        <f t="shared" si="65"/>
        <v>0</v>
      </c>
      <c r="G255" s="6">
        <f t="shared" si="66"/>
        <v>0</v>
      </c>
      <c r="H255" s="6">
        <f t="shared" si="67"/>
        <v>0</v>
      </c>
      <c r="I255" s="6">
        <f t="shared" si="68"/>
        <v>0</v>
      </c>
      <c r="J255" s="6">
        <f t="shared" si="69"/>
        <v>0</v>
      </c>
      <c r="K255" s="6">
        <f t="shared" si="70"/>
        <v>0</v>
      </c>
      <c r="L255" s="6">
        <f t="shared" si="71"/>
        <v>0</v>
      </c>
      <c r="M255" s="6">
        <f t="shared" si="72"/>
        <v>0</v>
      </c>
      <c r="N255" s="6">
        <f t="shared" si="73"/>
        <v>0</v>
      </c>
      <c r="O255" s="6">
        <f t="shared" si="74"/>
        <v>0</v>
      </c>
      <c r="P255" s="6">
        <f t="shared" si="75"/>
        <v>0</v>
      </c>
      <c r="Q255" s="6">
        <f t="shared" si="76"/>
        <v>0</v>
      </c>
      <c r="R255" s="6">
        <f t="shared" si="77"/>
        <v>0</v>
      </c>
      <c r="S255" s="6">
        <f t="shared" si="78"/>
        <v>0</v>
      </c>
      <c r="T255" s="6">
        <f t="shared" si="79"/>
        <v>0</v>
      </c>
      <c r="U255" s="6">
        <f t="shared" si="80"/>
        <v>0</v>
      </c>
      <c r="V255" s="6">
        <f t="shared" si="81"/>
        <v>0</v>
      </c>
      <c r="W255" s="6">
        <f t="shared" si="82"/>
        <v>0</v>
      </c>
      <c r="X255" s="6">
        <f t="shared" si="83"/>
        <v>0</v>
      </c>
      <c r="Y255" s="6">
        <f t="shared" si="84"/>
        <v>0</v>
      </c>
      <c r="AA255" s="6" t="str">
        <f>IF(最佳化斷筋點!C255="","",最佳化斷筋點!C255)</f>
        <v>上層</v>
      </c>
      <c r="AB255" s="6">
        <f>IF(最佳化斷筋點!D255="","",最佳化斷筋點!D255)</f>
        <v>10</v>
      </c>
      <c r="AC255" s="6">
        <f>IF(最佳化斷筋點!E255="","",最佳化斷筋點!E255)</f>
        <v>9</v>
      </c>
      <c r="AD255" s="6">
        <f>IF(最佳化斷筋點!F255="","",最佳化斷筋點!F255)</f>
        <v>8</v>
      </c>
      <c r="AE255" s="6">
        <f>IF(最佳化斷筋點!G255="","",最佳化斷筋點!G255)</f>
        <v>8</v>
      </c>
      <c r="AF255" s="6">
        <f>IF(最佳化斷筋點!H255="","",最佳化斷筋點!H255)</f>
        <v>7</v>
      </c>
      <c r="AG255" s="6">
        <f>IF(最佳化斷筋點!I255="","",最佳化斷筋點!I255)</f>
        <v>6</v>
      </c>
      <c r="AH255" s="6">
        <f>IF(最佳化斷筋點!J255="","",最佳化斷筋點!J255)</f>
        <v>5</v>
      </c>
      <c r="AI255" s="6">
        <f>IF(最佳化斷筋點!K255="","",最佳化斷筋點!K255)</f>
        <v>4</v>
      </c>
      <c r="AJ255" s="6">
        <f>IF(最佳化斷筋點!L255="","",最佳化斷筋點!L255)</f>
        <v>3</v>
      </c>
      <c r="AK255" s="6">
        <f>IF(最佳化斷筋點!M255="","",最佳化斷筋點!M255)</f>
        <v>2</v>
      </c>
      <c r="AL255" s="6">
        <f>IF(最佳化斷筋點!N255="","",最佳化斷筋點!N255)</f>
        <v>2</v>
      </c>
      <c r="AM255" s="6">
        <f>IF(最佳化斷筋點!O255="","",最佳化斷筋點!O255)</f>
        <v>2</v>
      </c>
      <c r="AN255" s="6">
        <f>IF(最佳化斷筋點!P255="","",最佳化斷筋點!P255)</f>
        <v>3</v>
      </c>
      <c r="AO255" s="6">
        <f>IF(最佳化斷筋點!Q255="","",最佳化斷筋點!Q255)</f>
        <v>4</v>
      </c>
      <c r="AP255" s="6">
        <f>IF(最佳化斷筋點!R255="","",最佳化斷筋點!R255)</f>
        <v>5</v>
      </c>
      <c r="AQ255" s="6">
        <f>IF(最佳化斷筋點!S255="","",最佳化斷筋點!S255)</f>
        <v>6</v>
      </c>
      <c r="AR255" s="6">
        <f>IF(最佳化斷筋點!T255="","",最佳化斷筋點!T255)</f>
        <v>8</v>
      </c>
      <c r="AS255" s="6">
        <f>IF(最佳化斷筋點!U255="","",最佳化斷筋點!U255)</f>
        <v>9</v>
      </c>
      <c r="AT255" s="6">
        <f>IF(最佳化斷筋點!V255="","",最佳化斷筋點!V255)</f>
        <v>10</v>
      </c>
      <c r="AU255" s="6">
        <f>IF(最佳化斷筋點!W255="","",最佳化斷筋點!W255)</f>
        <v>11</v>
      </c>
      <c r="AV255" s="6">
        <f>IF(最佳化斷筋點!X255="","",最佳化斷筋點!X255)</f>
        <v>12</v>
      </c>
      <c r="AX255" s="6" t="s">
        <v>50</v>
      </c>
      <c r="AY255" s="6">
        <v>10</v>
      </c>
      <c r="AZ255" s="6">
        <v>9</v>
      </c>
      <c r="BA255" s="6">
        <v>8</v>
      </c>
      <c r="BB255" s="6">
        <v>8</v>
      </c>
      <c r="BC255" s="6">
        <v>7</v>
      </c>
      <c r="BD255" s="6">
        <v>6</v>
      </c>
      <c r="BE255" s="6">
        <v>5</v>
      </c>
      <c r="BF255" s="6">
        <v>4</v>
      </c>
      <c r="BG255" s="6">
        <v>3</v>
      </c>
      <c r="BH255" s="6">
        <v>2</v>
      </c>
      <c r="BI255" s="6">
        <v>2</v>
      </c>
      <c r="BJ255" s="6">
        <v>2</v>
      </c>
      <c r="BK255" s="6">
        <v>3</v>
      </c>
      <c r="BL255" s="6">
        <v>4</v>
      </c>
      <c r="BM255" s="6">
        <v>5</v>
      </c>
      <c r="BN255" s="6">
        <v>6</v>
      </c>
      <c r="BO255" s="6">
        <v>8</v>
      </c>
      <c r="BP255" s="6">
        <v>9</v>
      </c>
      <c r="BQ255" s="6">
        <v>10</v>
      </c>
      <c r="BR255" s="6">
        <v>11</v>
      </c>
      <c r="BS255" s="6">
        <v>12</v>
      </c>
    </row>
    <row r="256" spans="4:71" x14ac:dyDescent="0.25">
      <c r="E256" s="6">
        <f t="shared" si="64"/>
        <v>0</v>
      </c>
      <c r="F256" s="6">
        <f t="shared" si="65"/>
        <v>0</v>
      </c>
      <c r="G256" s="6">
        <f t="shared" si="66"/>
        <v>0</v>
      </c>
      <c r="H256" s="6">
        <f t="shared" si="67"/>
        <v>0</v>
      </c>
      <c r="I256" s="6">
        <f t="shared" si="68"/>
        <v>0</v>
      </c>
      <c r="J256" s="6">
        <f t="shared" si="69"/>
        <v>0</v>
      </c>
      <c r="K256" s="6">
        <f t="shared" si="70"/>
        <v>0</v>
      </c>
      <c r="L256" s="6">
        <f t="shared" si="71"/>
        <v>0</v>
      </c>
      <c r="M256" s="6">
        <f t="shared" si="72"/>
        <v>0</v>
      </c>
      <c r="N256" s="6">
        <f t="shared" si="73"/>
        <v>0</v>
      </c>
      <c r="O256" s="6">
        <f t="shared" si="74"/>
        <v>0</v>
      </c>
      <c r="P256" s="6">
        <f t="shared" si="75"/>
        <v>0</v>
      </c>
      <c r="Q256" s="6">
        <f t="shared" si="76"/>
        <v>0</v>
      </c>
      <c r="R256" s="6">
        <f t="shared" si="77"/>
        <v>0</v>
      </c>
      <c r="S256" s="6">
        <f t="shared" si="78"/>
        <v>0</v>
      </c>
      <c r="T256" s="6">
        <f t="shared" si="79"/>
        <v>0</v>
      </c>
      <c r="U256" s="6">
        <f t="shared" si="80"/>
        <v>0</v>
      </c>
      <c r="V256" s="6">
        <f t="shared" si="81"/>
        <v>0</v>
      </c>
      <c r="W256" s="6">
        <f t="shared" si="82"/>
        <v>0</v>
      </c>
      <c r="X256" s="6">
        <f t="shared" si="83"/>
        <v>0</v>
      </c>
      <c r="Y256" s="6">
        <f t="shared" si="84"/>
        <v>0</v>
      </c>
      <c r="AA256" s="6" t="str">
        <f>IF(最佳化斷筋點!C256="","",最佳化斷筋點!C256)</f>
        <v/>
      </c>
      <c r="AB256" s="6" t="str">
        <f>IF(最佳化斷筋點!D256="","",最佳化斷筋點!D256)</f>
        <v/>
      </c>
      <c r="AC256" s="6" t="str">
        <f>IF(最佳化斷筋點!E256="","",最佳化斷筋點!E256)</f>
        <v/>
      </c>
      <c r="AD256" s="6" t="str">
        <f>IF(最佳化斷筋點!F256="","",最佳化斷筋點!F256)</f>
        <v/>
      </c>
      <c r="AE256" s="6" t="str">
        <f>IF(最佳化斷筋點!G256="","",最佳化斷筋點!G256)</f>
        <v/>
      </c>
      <c r="AF256" s="6" t="str">
        <f>IF(最佳化斷筋點!H256="","",最佳化斷筋點!H256)</f>
        <v/>
      </c>
      <c r="AG256" s="6" t="str">
        <f>IF(最佳化斷筋點!I256="","",最佳化斷筋點!I256)</f>
        <v/>
      </c>
      <c r="AH256" s="6" t="str">
        <f>IF(最佳化斷筋點!J256="","",最佳化斷筋點!J256)</f>
        <v/>
      </c>
      <c r="AI256" s="6" t="str">
        <f>IF(最佳化斷筋點!K256="","",最佳化斷筋點!K256)</f>
        <v/>
      </c>
      <c r="AJ256" s="6" t="str">
        <f>IF(最佳化斷筋點!L256="","",最佳化斷筋點!L256)</f>
        <v/>
      </c>
      <c r="AK256" s="6" t="str">
        <f>IF(最佳化斷筋點!M256="","",最佳化斷筋點!M256)</f>
        <v/>
      </c>
      <c r="AL256" s="6" t="str">
        <f>IF(最佳化斷筋點!N256="","",最佳化斷筋點!N256)</f>
        <v/>
      </c>
      <c r="AM256" s="6" t="str">
        <f>IF(最佳化斷筋點!O256="","",最佳化斷筋點!O256)</f>
        <v/>
      </c>
      <c r="AN256" s="6" t="str">
        <f>IF(最佳化斷筋點!P256="","",最佳化斷筋點!P256)</f>
        <v/>
      </c>
      <c r="AO256" s="6" t="str">
        <f>IF(最佳化斷筋點!Q256="","",最佳化斷筋點!Q256)</f>
        <v/>
      </c>
      <c r="AP256" s="6" t="str">
        <f>IF(最佳化斷筋點!R256="","",最佳化斷筋點!R256)</f>
        <v/>
      </c>
      <c r="AQ256" s="6" t="str">
        <f>IF(最佳化斷筋點!S256="","",最佳化斷筋點!S256)</f>
        <v/>
      </c>
      <c r="AR256" s="6" t="str">
        <f>IF(最佳化斷筋點!T256="","",最佳化斷筋點!T256)</f>
        <v/>
      </c>
      <c r="AS256" s="6" t="str">
        <f>IF(最佳化斷筋點!U256="","",最佳化斷筋點!U256)</f>
        <v/>
      </c>
      <c r="AT256" s="6" t="str">
        <f>IF(最佳化斷筋點!V256="","",最佳化斷筋點!V256)</f>
        <v/>
      </c>
      <c r="AU256" s="6" t="str">
        <f>IF(最佳化斷筋點!W256="","",最佳化斷筋點!W256)</f>
        <v/>
      </c>
      <c r="AV256" s="6" t="str">
        <f>IF(最佳化斷筋點!X256="","",最佳化斷筋點!X256)</f>
        <v/>
      </c>
    </row>
    <row r="257" spans="4:71" x14ac:dyDescent="0.25">
      <c r="D257" s="6" t="s">
        <v>51</v>
      </c>
      <c r="E257" s="6">
        <f t="shared" si="64"/>
        <v>0</v>
      </c>
      <c r="F257" s="6">
        <f t="shared" si="65"/>
        <v>0</v>
      </c>
      <c r="G257" s="6">
        <f t="shared" si="66"/>
        <v>0</v>
      </c>
      <c r="H257" s="6">
        <f t="shared" si="67"/>
        <v>0</v>
      </c>
      <c r="I257" s="6">
        <f t="shared" si="68"/>
        <v>0</v>
      </c>
      <c r="J257" s="6">
        <f t="shared" si="69"/>
        <v>0</v>
      </c>
      <c r="K257" s="6">
        <f t="shared" si="70"/>
        <v>0</v>
      </c>
      <c r="L257" s="6">
        <f t="shared" si="71"/>
        <v>0</v>
      </c>
      <c r="M257" s="6">
        <f t="shared" si="72"/>
        <v>0</v>
      </c>
      <c r="N257" s="6">
        <f t="shared" si="73"/>
        <v>0</v>
      </c>
      <c r="O257" s="6">
        <f t="shared" si="74"/>
        <v>0</v>
      </c>
      <c r="P257" s="6">
        <f t="shared" si="75"/>
        <v>0</v>
      </c>
      <c r="Q257" s="6">
        <f t="shared" si="76"/>
        <v>0</v>
      </c>
      <c r="R257" s="6">
        <f t="shared" si="77"/>
        <v>0</v>
      </c>
      <c r="S257" s="6">
        <f t="shared" si="78"/>
        <v>0</v>
      </c>
      <c r="T257" s="6">
        <f t="shared" si="79"/>
        <v>0</v>
      </c>
      <c r="U257" s="6">
        <f t="shared" si="80"/>
        <v>0</v>
      </c>
      <c r="V257" s="6">
        <f t="shared" si="81"/>
        <v>0</v>
      </c>
      <c r="W257" s="6">
        <f t="shared" si="82"/>
        <v>0</v>
      </c>
      <c r="X257" s="6">
        <f t="shared" si="83"/>
        <v>0</v>
      </c>
      <c r="Y257" s="6">
        <f t="shared" si="84"/>
        <v>0</v>
      </c>
      <c r="AA257" s="6" t="str">
        <f>IF(最佳化斷筋點!C257="","",最佳化斷筋點!C257)</f>
        <v>下層</v>
      </c>
      <c r="AB257" s="6">
        <f>IF(最佳化斷筋點!D257="","",最佳化斷筋點!D257)</f>
        <v>6</v>
      </c>
      <c r="AC257" s="6">
        <f>IF(最佳化斷筋點!E257="","",最佳化斷筋點!E257)</f>
        <v>6</v>
      </c>
      <c r="AD257" s="6">
        <f>IF(最佳化斷筋點!F257="","",最佳化斷筋點!F257)</f>
        <v>5</v>
      </c>
      <c r="AE257" s="6">
        <f>IF(最佳化斷筋點!G257="","",最佳化斷筋點!G257)</f>
        <v>5</v>
      </c>
      <c r="AF257" s="6">
        <f>IF(最佳化斷筋點!H257="","",最佳化斷筋點!H257)</f>
        <v>6</v>
      </c>
      <c r="AG257" s="6">
        <f>IF(最佳化斷筋點!I257="","",最佳化斷筋點!I257)</f>
        <v>6</v>
      </c>
      <c r="AH257" s="6">
        <f>IF(最佳化斷筋點!J257="","",最佳化斷筋點!J257)</f>
        <v>7</v>
      </c>
      <c r="AI257" s="6">
        <f>IF(最佳化斷筋點!K257="","",最佳化斷筋點!K257)</f>
        <v>8</v>
      </c>
      <c r="AJ257" s="6">
        <f>IF(最佳化斷筋點!L257="","",最佳化斷筋點!L257)</f>
        <v>8</v>
      </c>
      <c r="AK257" s="6">
        <f>IF(最佳化斷筋點!M257="","",最佳化斷筋點!M257)</f>
        <v>8</v>
      </c>
      <c r="AL257" s="6">
        <f>IF(最佳化斷筋點!N257="","",最佳化斷筋點!N257)</f>
        <v>8</v>
      </c>
      <c r="AM257" s="6">
        <f>IF(最佳化斷筋點!O257="","",最佳化斷筋點!O257)</f>
        <v>8</v>
      </c>
      <c r="AN257" s="6">
        <f>IF(最佳化斷筋點!P257="","",最佳化斷筋點!P257)</f>
        <v>8</v>
      </c>
      <c r="AO257" s="6">
        <f>IF(最佳化斷筋點!Q257="","",最佳化斷筋點!Q257)</f>
        <v>8</v>
      </c>
      <c r="AP257" s="6">
        <f>IF(最佳化斷筋點!R257="","",最佳化斷筋點!R257)</f>
        <v>7</v>
      </c>
      <c r="AQ257" s="6">
        <f>IF(最佳化斷筋點!S257="","",最佳化斷筋點!S257)</f>
        <v>6</v>
      </c>
      <c r="AR257" s="6">
        <f>IF(最佳化斷筋點!T257="","",最佳化斷筋點!T257)</f>
        <v>6</v>
      </c>
      <c r="AS257" s="6">
        <f>IF(最佳化斷筋點!U257="","",最佳化斷筋點!U257)</f>
        <v>5</v>
      </c>
      <c r="AT257" s="6">
        <f>IF(最佳化斷筋點!V257="","",最佳化斷筋點!V257)</f>
        <v>6</v>
      </c>
      <c r="AU257" s="6">
        <f>IF(最佳化斷筋點!W257="","",最佳化斷筋點!W257)</f>
        <v>7</v>
      </c>
      <c r="AV257" s="6">
        <f>IF(最佳化斷筋點!X257="","",最佳化斷筋點!X257)</f>
        <v>7</v>
      </c>
      <c r="AX257" s="6" t="s">
        <v>51</v>
      </c>
      <c r="AY257" s="6">
        <v>6</v>
      </c>
      <c r="AZ257" s="6">
        <v>6</v>
      </c>
      <c r="BA257" s="6">
        <v>5</v>
      </c>
      <c r="BB257" s="6">
        <v>5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7</v>
      </c>
      <c r="BN257" s="6">
        <v>6</v>
      </c>
      <c r="BO257" s="6">
        <v>6</v>
      </c>
      <c r="BP257" s="6">
        <v>5</v>
      </c>
      <c r="BQ257" s="6">
        <v>6</v>
      </c>
      <c r="BR257" s="6">
        <v>7</v>
      </c>
      <c r="BS257" s="6">
        <v>7</v>
      </c>
    </row>
    <row r="258" spans="4:71" x14ac:dyDescent="0.25">
      <c r="E258" s="6">
        <f t="shared" si="64"/>
        <v>0</v>
      </c>
      <c r="F258" s="6">
        <f t="shared" si="65"/>
        <v>0</v>
      </c>
      <c r="G258" s="6">
        <f t="shared" si="66"/>
        <v>0</v>
      </c>
      <c r="H258" s="6">
        <f t="shared" si="67"/>
        <v>0</v>
      </c>
      <c r="I258" s="6">
        <f t="shared" si="68"/>
        <v>0</v>
      </c>
      <c r="J258" s="6">
        <f t="shared" si="69"/>
        <v>0</v>
      </c>
      <c r="K258" s="6">
        <f t="shared" si="70"/>
        <v>0</v>
      </c>
      <c r="L258" s="6">
        <f t="shared" si="71"/>
        <v>0</v>
      </c>
      <c r="M258" s="6">
        <f t="shared" si="72"/>
        <v>0</v>
      </c>
      <c r="N258" s="6">
        <f t="shared" si="73"/>
        <v>0</v>
      </c>
      <c r="O258" s="6">
        <f t="shared" si="74"/>
        <v>0</v>
      </c>
      <c r="P258" s="6">
        <f t="shared" si="75"/>
        <v>0</v>
      </c>
      <c r="Q258" s="6">
        <f t="shared" si="76"/>
        <v>0</v>
      </c>
      <c r="R258" s="6">
        <f t="shared" si="77"/>
        <v>0</v>
      </c>
      <c r="S258" s="6">
        <f t="shared" si="78"/>
        <v>0</v>
      </c>
      <c r="T258" s="6">
        <f t="shared" si="79"/>
        <v>0</v>
      </c>
      <c r="U258" s="6">
        <f t="shared" si="80"/>
        <v>0</v>
      </c>
      <c r="V258" s="6">
        <f t="shared" si="81"/>
        <v>0</v>
      </c>
      <c r="W258" s="6">
        <f t="shared" si="82"/>
        <v>0</v>
      </c>
      <c r="X258" s="6">
        <f t="shared" si="83"/>
        <v>0</v>
      </c>
      <c r="Y258" s="6">
        <f t="shared" si="84"/>
        <v>0</v>
      </c>
      <c r="AA258" s="6" t="str">
        <f>IF(最佳化斷筋點!C258="","",最佳化斷筋點!C258)</f>
        <v/>
      </c>
      <c r="AB258" s="6" t="str">
        <f>IF(最佳化斷筋點!D258="","",最佳化斷筋點!D258)</f>
        <v/>
      </c>
      <c r="AC258" s="6" t="str">
        <f>IF(最佳化斷筋點!E258="","",最佳化斷筋點!E258)</f>
        <v/>
      </c>
      <c r="AD258" s="6" t="str">
        <f>IF(最佳化斷筋點!F258="","",最佳化斷筋點!F258)</f>
        <v/>
      </c>
      <c r="AE258" s="6" t="str">
        <f>IF(最佳化斷筋點!G258="","",最佳化斷筋點!G258)</f>
        <v/>
      </c>
      <c r="AF258" s="6" t="str">
        <f>IF(最佳化斷筋點!H258="","",最佳化斷筋點!H258)</f>
        <v/>
      </c>
      <c r="AG258" s="6" t="str">
        <f>IF(最佳化斷筋點!I258="","",最佳化斷筋點!I258)</f>
        <v/>
      </c>
      <c r="AH258" s="6" t="str">
        <f>IF(最佳化斷筋點!J258="","",最佳化斷筋點!J258)</f>
        <v/>
      </c>
      <c r="AI258" s="6" t="str">
        <f>IF(最佳化斷筋點!K258="","",最佳化斷筋點!K258)</f>
        <v/>
      </c>
      <c r="AJ258" s="6" t="str">
        <f>IF(最佳化斷筋點!L258="","",最佳化斷筋點!L258)</f>
        <v/>
      </c>
      <c r="AK258" s="6" t="str">
        <f>IF(最佳化斷筋點!M258="","",最佳化斷筋點!M258)</f>
        <v/>
      </c>
      <c r="AL258" s="6" t="str">
        <f>IF(最佳化斷筋點!N258="","",最佳化斷筋點!N258)</f>
        <v/>
      </c>
      <c r="AM258" s="6" t="str">
        <f>IF(最佳化斷筋點!O258="","",最佳化斷筋點!O258)</f>
        <v/>
      </c>
      <c r="AN258" s="6" t="str">
        <f>IF(最佳化斷筋點!P258="","",最佳化斷筋點!P258)</f>
        <v/>
      </c>
      <c r="AO258" s="6" t="str">
        <f>IF(最佳化斷筋點!Q258="","",最佳化斷筋點!Q258)</f>
        <v/>
      </c>
      <c r="AP258" s="6" t="str">
        <f>IF(最佳化斷筋點!R258="","",最佳化斷筋點!R258)</f>
        <v/>
      </c>
      <c r="AQ258" s="6" t="str">
        <f>IF(最佳化斷筋點!S258="","",最佳化斷筋點!S258)</f>
        <v/>
      </c>
      <c r="AR258" s="6" t="str">
        <f>IF(最佳化斷筋點!T258="","",最佳化斷筋點!T258)</f>
        <v/>
      </c>
      <c r="AS258" s="6" t="str">
        <f>IF(最佳化斷筋點!U258="","",最佳化斷筋點!U258)</f>
        <v/>
      </c>
      <c r="AT258" s="6" t="str">
        <f>IF(最佳化斷筋點!V258="","",最佳化斷筋點!V258)</f>
        <v/>
      </c>
      <c r="AU258" s="6" t="str">
        <f>IF(最佳化斷筋點!W258="","",最佳化斷筋點!W258)</f>
        <v/>
      </c>
      <c r="AV258" s="6" t="str">
        <f>IF(最佳化斷筋點!X258="","",最佳化斷筋點!X258)</f>
        <v/>
      </c>
    </row>
    <row r="259" spans="4:71" x14ac:dyDescent="0.25">
      <c r="D259" s="6" t="s">
        <v>50</v>
      </c>
      <c r="E259" s="6">
        <f t="shared" si="64"/>
        <v>0</v>
      </c>
      <c r="F259" s="6">
        <f t="shared" si="65"/>
        <v>0</v>
      </c>
      <c r="G259" s="6">
        <f t="shared" si="66"/>
        <v>0</v>
      </c>
      <c r="H259" s="6">
        <f t="shared" si="67"/>
        <v>0</v>
      </c>
      <c r="I259" s="6">
        <f t="shared" si="68"/>
        <v>0</v>
      </c>
      <c r="J259" s="6">
        <f t="shared" si="69"/>
        <v>0</v>
      </c>
      <c r="K259" s="6">
        <f t="shared" si="70"/>
        <v>0</v>
      </c>
      <c r="L259" s="6">
        <f t="shared" si="71"/>
        <v>0</v>
      </c>
      <c r="M259" s="6">
        <f t="shared" si="72"/>
        <v>0</v>
      </c>
      <c r="N259" s="6">
        <f t="shared" si="73"/>
        <v>0</v>
      </c>
      <c r="O259" s="6">
        <f t="shared" si="74"/>
        <v>0</v>
      </c>
      <c r="P259" s="6">
        <f t="shared" si="75"/>
        <v>0</v>
      </c>
      <c r="Q259" s="6">
        <f t="shared" si="76"/>
        <v>0</v>
      </c>
      <c r="R259" s="6">
        <f t="shared" si="77"/>
        <v>0</v>
      </c>
      <c r="S259" s="6">
        <f t="shared" si="78"/>
        <v>0</v>
      </c>
      <c r="T259" s="6">
        <f t="shared" si="79"/>
        <v>0</v>
      </c>
      <c r="U259" s="6">
        <f t="shared" si="80"/>
        <v>0</v>
      </c>
      <c r="V259" s="6">
        <f t="shared" si="81"/>
        <v>0</v>
      </c>
      <c r="W259" s="6">
        <f t="shared" si="82"/>
        <v>0</v>
      </c>
      <c r="X259" s="6">
        <f t="shared" si="83"/>
        <v>0</v>
      </c>
      <c r="Y259" s="6">
        <f t="shared" si="84"/>
        <v>0</v>
      </c>
      <c r="AA259" s="6" t="str">
        <f>IF(最佳化斷筋點!C259="","",最佳化斷筋點!C259)</f>
        <v>上層</v>
      </c>
      <c r="AB259" s="6">
        <f>IF(最佳化斷筋點!D259="","",最佳化斷筋點!D259)</f>
        <v>10</v>
      </c>
      <c r="AC259" s="6">
        <f>IF(最佳化斷筋點!E259="","",最佳化斷筋點!E259)</f>
        <v>9</v>
      </c>
      <c r="AD259" s="6">
        <f>IF(最佳化斷筋點!F259="","",最佳化斷筋點!F259)</f>
        <v>8</v>
      </c>
      <c r="AE259" s="6">
        <f>IF(最佳化斷筋點!G259="","",最佳化斷筋點!G259)</f>
        <v>8</v>
      </c>
      <c r="AF259" s="6">
        <f>IF(最佳化斷筋點!H259="","",最佳化斷筋點!H259)</f>
        <v>7</v>
      </c>
      <c r="AG259" s="6">
        <f>IF(最佳化斷筋點!I259="","",最佳化斷筋點!I259)</f>
        <v>6</v>
      </c>
      <c r="AH259" s="6">
        <f>IF(最佳化斷筋點!J259="","",最佳化斷筋點!J259)</f>
        <v>5</v>
      </c>
      <c r="AI259" s="6">
        <f>IF(最佳化斷筋點!K259="","",最佳化斷筋點!K259)</f>
        <v>4</v>
      </c>
      <c r="AJ259" s="6">
        <f>IF(最佳化斷筋點!L259="","",最佳化斷筋點!L259)</f>
        <v>3</v>
      </c>
      <c r="AK259" s="6">
        <f>IF(最佳化斷筋點!M259="","",最佳化斷筋點!M259)</f>
        <v>2</v>
      </c>
      <c r="AL259" s="6">
        <f>IF(最佳化斷筋點!N259="","",最佳化斷筋點!N259)</f>
        <v>2</v>
      </c>
      <c r="AM259" s="6">
        <f>IF(最佳化斷筋點!O259="","",最佳化斷筋點!O259)</f>
        <v>2</v>
      </c>
      <c r="AN259" s="6">
        <f>IF(最佳化斷筋點!P259="","",最佳化斷筋點!P259)</f>
        <v>3</v>
      </c>
      <c r="AO259" s="6">
        <f>IF(最佳化斷筋點!Q259="","",最佳化斷筋點!Q259)</f>
        <v>4</v>
      </c>
      <c r="AP259" s="6">
        <f>IF(最佳化斷筋點!R259="","",最佳化斷筋點!R259)</f>
        <v>5</v>
      </c>
      <c r="AQ259" s="6">
        <f>IF(最佳化斷筋點!S259="","",最佳化斷筋點!S259)</f>
        <v>6</v>
      </c>
      <c r="AR259" s="6">
        <f>IF(最佳化斷筋點!T259="","",最佳化斷筋點!T259)</f>
        <v>8</v>
      </c>
      <c r="AS259" s="6">
        <f>IF(最佳化斷筋點!U259="","",最佳化斷筋點!U259)</f>
        <v>9</v>
      </c>
      <c r="AT259" s="6">
        <f>IF(最佳化斷筋點!V259="","",最佳化斷筋點!V259)</f>
        <v>10</v>
      </c>
      <c r="AU259" s="6">
        <f>IF(最佳化斷筋點!W259="","",最佳化斷筋點!W259)</f>
        <v>11</v>
      </c>
      <c r="AV259" s="6">
        <f>IF(最佳化斷筋點!X259="","",最佳化斷筋點!X259)</f>
        <v>12</v>
      </c>
      <c r="AX259" s="6" t="s">
        <v>50</v>
      </c>
      <c r="AY259" s="6">
        <v>10</v>
      </c>
      <c r="AZ259" s="6">
        <v>9</v>
      </c>
      <c r="BA259" s="6">
        <v>8</v>
      </c>
      <c r="BB259" s="6">
        <v>8</v>
      </c>
      <c r="BC259" s="6">
        <v>7</v>
      </c>
      <c r="BD259" s="6">
        <v>6</v>
      </c>
      <c r="BE259" s="6">
        <v>5</v>
      </c>
      <c r="BF259" s="6">
        <v>4</v>
      </c>
      <c r="BG259" s="6">
        <v>3</v>
      </c>
      <c r="BH259" s="6">
        <v>2</v>
      </c>
      <c r="BI259" s="6">
        <v>2</v>
      </c>
      <c r="BJ259" s="6">
        <v>2</v>
      </c>
      <c r="BK259" s="6">
        <v>3</v>
      </c>
      <c r="BL259" s="6">
        <v>4</v>
      </c>
      <c r="BM259" s="6">
        <v>5</v>
      </c>
      <c r="BN259" s="6">
        <v>6</v>
      </c>
      <c r="BO259" s="6">
        <v>8</v>
      </c>
      <c r="BP259" s="6">
        <v>9</v>
      </c>
      <c r="BQ259" s="6">
        <v>10</v>
      </c>
      <c r="BR259" s="6">
        <v>11</v>
      </c>
      <c r="BS259" s="6">
        <v>12</v>
      </c>
    </row>
    <row r="260" spans="4:71" x14ac:dyDescent="0.25">
      <c r="E260" s="6">
        <f t="shared" ref="E260:E323" si="85">IF(AB260=AY260,0,1)</f>
        <v>0</v>
      </c>
      <c r="F260" s="6">
        <f t="shared" ref="F260:F323" si="86">IF(AC260=AZ260,0,1)</f>
        <v>0</v>
      </c>
      <c r="G260" s="6">
        <f t="shared" ref="G260:G323" si="87">IF(AD260=BA260,0,1)</f>
        <v>0</v>
      </c>
      <c r="H260" s="6">
        <f t="shared" ref="H260:H323" si="88">IF(AE260=BB260,0,1)</f>
        <v>0</v>
      </c>
      <c r="I260" s="6">
        <f t="shared" ref="I260:I323" si="89">IF(AF260=BC260,0,1)</f>
        <v>0</v>
      </c>
      <c r="J260" s="6">
        <f t="shared" ref="J260:J323" si="90">IF(AG260=BD260,0,1)</f>
        <v>0</v>
      </c>
      <c r="K260" s="6">
        <f t="shared" ref="K260:K323" si="91">IF(AH260=BE260,0,1)</f>
        <v>0</v>
      </c>
      <c r="L260" s="6">
        <f t="shared" ref="L260:L323" si="92">IF(AI260=BF260,0,1)</f>
        <v>0</v>
      </c>
      <c r="M260" s="6">
        <f t="shared" ref="M260:M323" si="93">IF(AJ260=BG260,0,1)</f>
        <v>0</v>
      </c>
      <c r="N260" s="6">
        <f t="shared" ref="N260:N323" si="94">IF(AK260=BH260,0,1)</f>
        <v>0</v>
      </c>
      <c r="O260" s="6">
        <f t="shared" ref="O260:O323" si="95">IF(AL260=BI260,0,1)</f>
        <v>0</v>
      </c>
      <c r="P260" s="6">
        <f t="shared" ref="P260:P323" si="96">IF(AM260=BJ260,0,1)</f>
        <v>0</v>
      </c>
      <c r="Q260" s="6">
        <f t="shared" ref="Q260:Q323" si="97">IF(AN260=BK260,0,1)</f>
        <v>0</v>
      </c>
      <c r="R260" s="6">
        <f t="shared" ref="R260:R323" si="98">IF(AO260=BL260,0,1)</f>
        <v>0</v>
      </c>
      <c r="S260" s="6">
        <f t="shared" ref="S260:S323" si="99">IF(AP260=BM260,0,1)</f>
        <v>0</v>
      </c>
      <c r="T260" s="6">
        <f t="shared" ref="T260:T323" si="100">IF(AQ260=BN260,0,1)</f>
        <v>0</v>
      </c>
      <c r="U260" s="6">
        <f t="shared" ref="U260:U323" si="101">IF(AR260=BO260,0,1)</f>
        <v>0</v>
      </c>
      <c r="V260" s="6">
        <f t="shared" ref="V260:V323" si="102">IF(AS260=BP260,0,1)</f>
        <v>0</v>
      </c>
      <c r="W260" s="6">
        <f t="shared" ref="W260:W323" si="103">IF(AT260=BQ260,0,1)</f>
        <v>0</v>
      </c>
      <c r="X260" s="6">
        <f t="shared" ref="X260:X323" si="104">IF(AU260=BR260,0,1)</f>
        <v>0</v>
      </c>
      <c r="Y260" s="6">
        <f t="shared" ref="Y260:Y323" si="105">IF(AV260=BS260,0,1)</f>
        <v>0</v>
      </c>
      <c r="AA260" s="6" t="str">
        <f>IF(最佳化斷筋點!C260="","",最佳化斷筋點!C260)</f>
        <v/>
      </c>
      <c r="AB260" s="6" t="str">
        <f>IF(最佳化斷筋點!D260="","",最佳化斷筋點!D260)</f>
        <v/>
      </c>
      <c r="AC260" s="6" t="str">
        <f>IF(最佳化斷筋點!E260="","",最佳化斷筋點!E260)</f>
        <v/>
      </c>
      <c r="AD260" s="6" t="str">
        <f>IF(最佳化斷筋點!F260="","",最佳化斷筋點!F260)</f>
        <v/>
      </c>
      <c r="AE260" s="6" t="str">
        <f>IF(最佳化斷筋點!G260="","",最佳化斷筋點!G260)</f>
        <v/>
      </c>
      <c r="AF260" s="6" t="str">
        <f>IF(最佳化斷筋點!H260="","",最佳化斷筋點!H260)</f>
        <v/>
      </c>
      <c r="AG260" s="6" t="str">
        <f>IF(最佳化斷筋點!I260="","",最佳化斷筋點!I260)</f>
        <v/>
      </c>
      <c r="AH260" s="6" t="str">
        <f>IF(最佳化斷筋點!J260="","",最佳化斷筋點!J260)</f>
        <v/>
      </c>
      <c r="AI260" s="6" t="str">
        <f>IF(最佳化斷筋點!K260="","",最佳化斷筋點!K260)</f>
        <v/>
      </c>
      <c r="AJ260" s="6" t="str">
        <f>IF(最佳化斷筋點!L260="","",最佳化斷筋點!L260)</f>
        <v/>
      </c>
      <c r="AK260" s="6" t="str">
        <f>IF(最佳化斷筋點!M260="","",最佳化斷筋點!M260)</f>
        <v/>
      </c>
      <c r="AL260" s="6" t="str">
        <f>IF(最佳化斷筋點!N260="","",最佳化斷筋點!N260)</f>
        <v/>
      </c>
      <c r="AM260" s="6" t="str">
        <f>IF(最佳化斷筋點!O260="","",最佳化斷筋點!O260)</f>
        <v/>
      </c>
      <c r="AN260" s="6" t="str">
        <f>IF(最佳化斷筋點!P260="","",最佳化斷筋點!P260)</f>
        <v/>
      </c>
      <c r="AO260" s="6" t="str">
        <f>IF(最佳化斷筋點!Q260="","",最佳化斷筋點!Q260)</f>
        <v/>
      </c>
      <c r="AP260" s="6" t="str">
        <f>IF(最佳化斷筋點!R260="","",最佳化斷筋點!R260)</f>
        <v/>
      </c>
      <c r="AQ260" s="6" t="str">
        <f>IF(最佳化斷筋點!S260="","",最佳化斷筋點!S260)</f>
        <v/>
      </c>
      <c r="AR260" s="6" t="str">
        <f>IF(最佳化斷筋點!T260="","",最佳化斷筋點!T260)</f>
        <v/>
      </c>
      <c r="AS260" s="6" t="str">
        <f>IF(最佳化斷筋點!U260="","",最佳化斷筋點!U260)</f>
        <v/>
      </c>
      <c r="AT260" s="6" t="str">
        <f>IF(最佳化斷筋點!V260="","",最佳化斷筋點!V260)</f>
        <v/>
      </c>
      <c r="AU260" s="6" t="str">
        <f>IF(最佳化斷筋點!W260="","",最佳化斷筋點!W260)</f>
        <v/>
      </c>
      <c r="AV260" s="6" t="str">
        <f>IF(最佳化斷筋點!X260="","",最佳化斷筋點!X260)</f>
        <v/>
      </c>
    </row>
    <row r="261" spans="4:71" x14ac:dyDescent="0.25">
      <c r="D261" s="6" t="s">
        <v>51</v>
      </c>
      <c r="E261" s="6">
        <f t="shared" si="85"/>
        <v>0</v>
      </c>
      <c r="F261" s="6">
        <f t="shared" si="86"/>
        <v>0</v>
      </c>
      <c r="G261" s="6">
        <f t="shared" si="87"/>
        <v>0</v>
      </c>
      <c r="H261" s="6">
        <f t="shared" si="88"/>
        <v>0</v>
      </c>
      <c r="I261" s="6">
        <f t="shared" si="89"/>
        <v>0</v>
      </c>
      <c r="J261" s="6">
        <f t="shared" si="90"/>
        <v>0</v>
      </c>
      <c r="K261" s="6">
        <f t="shared" si="91"/>
        <v>0</v>
      </c>
      <c r="L261" s="6">
        <f t="shared" si="92"/>
        <v>0</v>
      </c>
      <c r="M261" s="6">
        <f t="shared" si="93"/>
        <v>0</v>
      </c>
      <c r="N261" s="6">
        <f t="shared" si="94"/>
        <v>0</v>
      </c>
      <c r="O261" s="6">
        <f t="shared" si="95"/>
        <v>0</v>
      </c>
      <c r="P261" s="6">
        <f t="shared" si="96"/>
        <v>0</v>
      </c>
      <c r="Q261" s="6">
        <f t="shared" si="97"/>
        <v>0</v>
      </c>
      <c r="R261" s="6">
        <f t="shared" si="98"/>
        <v>0</v>
      </c>
      <c r="S261" s="6">
        <f t="shared" si="99"/>
        <v>0</v>
      </c>
      <c r="T261" s="6">
        <f t="shared" si="100"/>
        <v>0</v>
      </c>
      <c r="U261" s="6">
        <f t="shared" si="101"/>
        <v>0</v>
      </c>
      <c r="V261" s="6">
        <f t="shared" si="102"/>
        <v>0</v>
      </c>
      <c r="W261" s="6">
        <f t="shared" si="103"/>
        <v>0</v>
      </c>
      <c r="X261" s="6">
        <f t="shared" si="104"/>
        <v>0</v>
      </c>
      <c r="Y261" s="6">
        <f t="shared" si="105"/>
        <v>0</v>
      </c>
      <c r="AA261" s="6" t="str">
        <f>IF(最佳化斷筋點!C261="","",最佳化斷筋點!C261)</f>
        <v>下層</v>
      </c>
      <c r="AB261" s="6">
        <f>IF(最佳化斷筋點!D261="","",最佳化斷筋點!D261)</f>
        <v>6</v>
      </c>
      <c r="AC261" s="6">
        <f>IF(最佳化斷筋點!E261="","",最佳化斷筋點!E261)</f>
        <v>6</v>
      </c>
      <c r="AD261" s="6">
        <f>IF(最佳化斷筋點!F261="","",最佳化斷筋點!F261)</f>
        <v>5</v>
      </c>
      <c r="AE261" s="6">
        <f>IF(最佳化斷筋點!G261="","",最佳化斷筋點!G261)</f>
        <v>5</v>
      </c>
      <c r="AF261" s="6">
        <f>IF(最佳化斷筋點!H261="","",最佳化斷筋點!H261)</f>
        <v>6</v>
      </c>
      <c r="AG261" s="6">
        <f>IF(最佳化斷筋點!I261="","",最佳化斷筋點!I261)</f>
        <v>6</v>
      </c>
      <c r="AH261" s="6">
        <f>IF(最佳化斷筋點!J261="","",最佳化斷筋點!J261)</f>
        <v>7</v>
      </c>
      <c r="AI261" s="6">
        <f>IF(最佳化斷筋點!K261="","",最佳化斷筋點!K261)</f>
        <v>8</v>
      </c>
      <c r="AJ261" s="6">
        <f>IF(最佳化斷筋點!L261="","",最佳化斷筋點!L261)</f>
        <v>8</v>
      </c>
      <c r="AK261" s="6">
        <f>IF(最佳化斷筋點!M261="","",最佳化斷筋點!M261)</f>
        <v>8</v>
      </c>
      <c r="AL261" s="6">
        <f>IF(最佳化斷筋點!N261="","",最佳化斷筋點!N261)</f>
        <v>8</v>
      </c>
      <c r="AM261" s="6">
        <f>IF(最佳化斷筋點!O261="","",最佳化斷筋點!O261)</f>
        <v>8</v>
      </c>
      <c r="AN261" s="6">
        <f>IF(最佳化斷筋點!P261="","",最佳化斷筋點!P261)</f>
        <v>8</v>
      </c>
      <c r="AO261" s="6">
        <f>IF(最佳化斷筋點!Q261="","",最佳化斷筋點!Q261)</f>
        <v>8</v>
      </c>
      <c r="AP261" s="6">
        <f>IF(最佳化斷筋點!R261="","",最佳化斷筋點!R261)</f>
        <v>7</v>
      </c>
      <c r="AQ261" s="6">
        <f>IF(最佳化斷筋點!S261="","",最佳化斷筋點!S261)</f>
        <v>6</v>
      </c>
      <c r="AR261" s="6">
        <f>IF(最佳化斷筋點!T261="","",最佳化斷筋點!T261)</f>
        <v>6</v>
      </c>
      <c r="AS261" s="6">
        <f>IF(最佳化斷筋點!U261="","",最佳化斷筋點!U261)</f>
        <v>5</v>
      </c>
      <c r="AT261" s="6">
        <f>IF(最佳化斷筋點!V261="","",最佳化斷筋點!V261)</f>
        <v>6</v>
      </c>
      <c r="AU261" s="6">
        <f>IF(最佳化斷筋點!W261="","",最佳化斷筋點!W261)</f>
        <v>7</v>
      </c>
      <c r="AV261" s="6">
        <f>IF(最佳化斷筋點!X261="","",最佳化斷筋點!X261)</f>
        <v>7</v>
      </c>
      <c r="AX261" s="6" t="s">
        <v>51</v>
      </c>
      <c r="AY261" s="6">
        <v>6</v>
      </c>
      <c r="AZ261" s="6">
        <v>6</v>
      </c>
      <c r="BA261" s="6">
        <v>5</v>
      </c>
      <c r="BB261" s="6">
        <v>5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7</v>
      </c>
      <c r="BN261" s="6">
        <v>6</v>
      </c>
      <c r="BO261" s="6">
        <v>6</v>
      </c>
      <c r="BP261" s="6">
        <v>5</v>
      </c>
      <c r="BQ261" s="6">
        <v>6</v>
      </c>
      <c r="BR261" s="6">
        <v>7</v>
      </c>
      <c r="BS261" s="6">
        <v>7</v>
      </c>
    </row>
    <row r="262" spans="4:71" x14ac:dyDescent="0.25">
      <c r="E262" s="6">
        <f t="shared" si="85"/>
        <v>0</v>
      </c>
      <c r="F262" s="6">
        <f t="shared" si="86"/>
        <v>0</v>
      </c>
      <c r="G262" s="6">
        <f t="shared" si="87"/>
        <v>0</v>
      </c>
      <c r="H262" s="6">
        <f t="shared" si="88"/>
        <v>0</v>
      </c>
      <c r="I262" s="6">
        <f t="shared" si="89"/>
        <v>0</v>
      </c>
      <c r="J262" s="6">
        <f t="shared" si="90"/>
        <v>0</v>
      </c>
      <c r="K262" s="6">
        <f t="shared" si="91"/>
        <v>0</v>
      </c>
      <c r="L262" s="6">
        <f t="shared" si="92"/>
        <v>0</v>
      </c>
      <c r="M262" s="6">
        <f t="shared" si="93"/>
        <v>0</v>
      </c>
      <c r="N262" s="6">
        <f t="shared" si="94"/>
        <v>0</v>
      </c>
      <c r="O262" s="6">
        <f t="shared" si="95"/>
        <v>0</v>
      </c>
      <c r="P262" s="6">
        <f t="shared" si="96"/>
        <v>0</v>
      </c>
      <c r="Q262" s="6">
        <f t="shared" si="97"/>
        <v>0</v>
      </c>
      <c r="R262" s="6">
        <f t="shared" si="98"/>
        <v>0</v>
      </c>
      <c r="S262" s="6">
        <f t="shared" si="99"/>
        <v>0</v>
      </c>
      <c r="T262" s="6">
        <f t="shared" si="100"/>
        <v>0</v>
      </c>
      <c r="U262" s="6">
        <f t="shared" si="101"/>
        <v>0</v>
      </c>
      <c r="V262" s="6">
        <f t="shared" si="102"/>
        <v>0</v>
      </c>
      <c r="W262" s="6">
        <f t="shared" si="103"/>
        <v>0</v>
      </c>
      <c r="X262" s="6">
        <f t="shared" si="104"/>
        <v>0</v>
      </c>
      <c r="Y262" s="6">
        <f t="shared" si="105"/>
        <v>0</v>
      </c>
      <c r="AA262" s="6" t="str">
        <f>IF(最佳化斷筋點!C262="","",最佳化斷筋點!C262)</f>
        <v/>
      </c>
      <c r="AB262" s="6" t="str">
        <f>IF(最佳化斷筋點!D262="","",最佳化斷筋點!D262)</f>
        <v/>
      </c>
      <c r="AC262" s="6" t="str">
        <f>IF(最佳化斷筋點!E262="","",最佳化斷筋點!E262)</f>
        <v/>
      </c>
      <c r="AD262" s="6" t="str">
        <f>IF(最佳化斷筋點!F262="","",最佳化斷筋點!F262)</f>
        <v/>
      </c>
      <c r="AE262" s="6" t="str">
        <f>IF(最佳化斷筋點!G262="","",最佳化斷筋點!G262)</f>
        <v/>
      </c>
      <c r="AF262" s="6" t="str">
        <f>IF(最佳化斷筋點!H262="","",最佳化斷筋點!H262)</f>
        <v/>
      </c>
      <c r="AG262" s="6" t="str">
        <f>IF(最佳化斷筋點!I262="","",最佳化斷筋點!I262)</f>
        <v/>
      </c>
      <c r="AH262" s="6" t="str">
        <f>IF(最佳化斷筋點!J262="","",最佳化斷筋點!J262)</f>
        <v/>
      </c>
      <c r="AI262" s="6" t="str">
        <f>IF(最佳化斷筋點!K262="","",最佳化斷筋點!K262)</f>
        <v/>
      </c>
      <c r="AJ262" s="6" t="str">
        <f>IF(最佳化斷筋點!L262="","",最佳化斷筋點!L262)</f>
        <v/>
      </c>
      <c r="AK262" s="6" t="str">
        <f>IF(最佳化斷筋點!M262="","",最佳化斷筋點!M262)</f>
        <v/>
      </c>
      <c r="AL262" s="6" t="str">
        <f>IF(最佳化斷筋點!N262="","",最佳化斷筋點!N262)</f>
        <v/>
      </c>
      <c r="AM262" s="6" t="str">
        <f>IF(最佳化斷筋點!O262="","",最佳化斷筋點!O262)</f>
        <v/>
      </c>
      <c r="AN262" s="6" t="str">
        <f>IF(最佳化斷筋點!P262="","",最佳化斷筋點!P262)</f>
        <v/>
      </c>
      <c r="AO262" s="6" t="str">
        <f>IF(最佳化斷筋點!Q262="","",最佳化斷筋點!Q262)</f>
        <v/>
      </c>
      <c r="AP262" s="6" t="str">
        <f>IF(最佳化斷筋點!R262="","",最佳化斷筋點!R262)</f>
        <v/>
      </c>
      <c r="AQ262" s="6" t="str">
        <f>IF(最佳化斷筋點!S262="","",最佳化斷筋點!S262)</f>
        <v/>
      </c>
      <c r="AR262" s="6" t="str">
        <f>IF(最佳化斷筋點!T262="","",最佳化斷筋點!T262)</f>
        <v/>
      </c>
      <c r="AS262" s="6" t="str">
        <f>IF(最佳化斷筋點!U262="","",最佳化斷筋點!U262)</f>
        <v/>
      </c>
      <c r="AT262" s="6" t="str">
        <f>IF(最佳化斷筋點!V262="","",最佳化斷筋點!V262)</f>
        <v/>
      </c>
      <c r="AU262" s="6" t="str">
        <f>IF(最佳化斷筋點!W262="","",最佳化斷筋點!W262)</f>
        <v/>
      </c>
      <c r="AV262" s="6" t="str">
        <f>IF(最佳化斷筋點!X262="","",最佳化斷筋點!X262)</f>
        <v/>
      </c>
    </row>
    <row r="263" spans="4:71" x14ac:dyDescent="0.25">
      <c r="D263" s="6" t="s">
        <v>50</v>
      </c>
      <c r="E263" s="6">
        <f t="shared" si="85"/>
        <v>0</v>
      </c>
      <c r="F263" s="6">
        <f t="shared" si="86"/>
        <v>0</v>
      </c>
      <c r="G263" s="6">
        <f t="shared" si="87"/>
        <v>0</v>
      </c>
      <c r="H263" s="6">
        <f t="shared" si="88"/>
        <v>0</v>
      </c>
      <c r="I263" s="6">
        <f t="shared" si="89"/>
        <v>0</v>
      </c>
      <c r="J263" s="6">
        <f t="shared" si="90"/>
        <v>0</v>
      </c>
      <c r="K263" s="6">
        <f t="shared" si="91"/>
        <v>0</v>
      </c>
      <c r="L263" s="6">
        <f t="shared" si="92"/>
        <v>0</v>
      </c>
      <c r="M263" s="6">
        <f t="shared" si="93"/>
        <v>0</v>
      </c>
      <c r="N263" s="6">
        <f t="shared" si="94"/>
        <v>0</v>
      </c>
      <c r="O263" s="6">
        <f t="shared" si="95"/>
        <v>0</v>
      </c>
      <c r="P263" s="6">
        <f t="shared" si="96"/>
        <v>0</v>
      </c>
      <c r="Q263" s="6">
        <f t="shared" si="97"/>
        <v>0</v>
      </c>
      <c r="R263" s="6">
        <f t="shared" si="98"/>
        <v>0</v>
      </c>
      <c r="S263" s="6">
        <f t="shared" si="99"/>
        <v>0</v>
      </c>
      <c r="T263" s="6">
        <f t="shared" si="100"/>
        <v>0</v>
      </c>
      <c r="U263" s="6">
        <f t="shared" si="101"/>
        <v>0</v>
      </c>
      <c r="V263" s="6">
        <f t="shared" si="102"/>
        <v>0</v>
      </c>
      <c r="W263" s="6">
        <f t="shared" si="103"/>
        <v>0</v>
      </c>
      <c r="X263" s="6">
        <f t="shared" si="104"/>
        <v>0</v>
      </c>
      <c r="Y263" s="6">
        <f t="shared" si="105"/>
        <v>0</v>
      </c>
      <c r="AA263" s="6" t="str">
        <f>IF(最佳化斷筋點!C263="","",最佳化斷筋點!C263)</f>
        <v>上層</v>
      </c>
      <c r="AB263" s="6">
        <f>IF(最佳化斷筋點!D263="","",最佳化斷筋點!D263)</f>
        <v>3</v>
      </c>
      <c r="AC263" s="6">
        <f>IF(最佳化斷筋點!E263="","",最佳化斷筋點!E263)</f>
        <v>3</v>
      </c>
      <c r="AD263" s="6">
        <f>IF(最佳化斷筋點!F263="","",最佳化斷筋點!F263)</f>
        <v>3</v>
      </c>
      <c r="AE263" s="6">
        <f>IF(最佳化斷筋點!G263="","",最佳化斷筋點!G263)</f>
        <v>3</v>
      </c>
      <c r="AF263" s="6">
        <f>IF(最佳化斷筋點!H263="","",最佳化斷筋點!H263)</f>
        <v>2</v>
      </c>
      <c r="AG263" s="6">
        <f>IF(最佳化斷筋點!I263="","",最佳化斷筋點!I263)</f>
        <v>2</v>
      </c>
      <c r="AH263" s="6">
        <f>IF(最佳化斷筋點!J263="","",最佳化斷筋點!J263)</f>
        <v>2</v>
      </c>
      <c r="AI263" s="6">
        <f>IF(最佳化斷筋點!K263="","",最佳化斷筋點!K263)</f>
        <v>2</v>
      </c>
      <c r="AJ263" s="6">
        <f>IF(最佳化斷筋點!L263="","",最佳化斷筋點!L263)</f>
        <v>2</v>
      </c>
      <c r="AK263" s="6">
        <f>IF(最佳化斷筋點!M263="","",最佳化斷筋點!M263)</f>
        <v>2</v>
      </c>
      <c r="AL263" s="6">
        <f>IF(最佳化斷筋點!N263="","",最佳化斷筋點!N263)</f>
        <v>2</v>
      </c>
      <c r="AM263" s="6">
        <f>IF(最佳化斷筋點!O263="","",最佳化斷筋點!O263)</f>
        <v>2</v>
      </c>
      <c r="AN263" s="6">
        <f>IF(最佳化斷筋點!P263="","",最佳化斷筋點!P263)</f>
        <v>2</v>
      </c>
      <c r="AO263" s="6">
        <f>IF(最佳化斷筋點!Q263="","",最佳化斷筋點!Q263)</f>
        <v>2</v>
      </c>
      <c r="AP263" s="6">
        <f>IF(最佳化斷筋點!R263="","",最佳化斷筋點!R263)</f>
        <v>2</v>
      </c>
      <c r="AQ263" s="6">
        <f>IF(最佳化斷筋點!S263="","",最佳化斷筋點!S263)</f>
        <v>2</v>
      </c>
      <c r="AR263" s="6">
        <f>IF(最佳化斷筋點!T263="","",最佳化斷筋點!T263)</f>
        <v>2</v>
      </c>
      <c r="AS263" s="6">
        <f>IF(最佳化斷筋點!U263="","",最佳化斷筋點!U263)</f>
        <v>3</v>
      </c>
      <c r="AT263" s="6">
        <f>IF(最佳化斷筋點!V263="","",最佳化斷筋點!V263)</f>
        <v>3</v>
      </c>
      <c r="AU263" s="6">
        <f>IF(最佳化斷筋點!W263="","",最佳化斷筋點!W263)</f>
        <v>3</v>
      </c>
      <c r="AV263" s="6">
        <f>IF(最佳化斷筋點!X263="","",最佳化斷筋點!X263)</f>
        <v>3</v>
      </c>
      <c r="AX263" s="6" t="s">
        <v>50</v>
      </c>
      <c r="AY263" s="6">
        <v>3</v>
      </c>
      <c r="AZ263" s="6">
        <v>3</v>
      </c>
      <c r="BA263" s="6">
        <v>3</v>
      </c>
      <c r="BB263" s="6">
        <v>3</v>
      </c>
      <c r="BC263" s="6">
        <v>2</v>
      </c>
      <c r="BD263" s="6">
        <v>2</v>
      </c>
      <c r="BE263" s="6">
        <v>2</v>
      </c>
      <c r="BF263" s="6">
        <v>2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</row>
    <row r="264" spans="4:71" x14ac:dyDescent="0.25">
      <c r="E264" s="6">
        <f t="shared" si="85"/>
        <v>0</v>
      </c>
      <c r="F264" s="6">
        <f t="shared" si="86"/>
        <v>0</v>
      </c>
      <c r="G264" s="6">
        <f t="shared" si="87"/>
        <v>0</v>
      </c>
      <c r="H264" s="6">
        <f t="shared" si="88"/>
        <v>0</v>
      </c>
      <c r="I264" s="6">
        <f t="shared" si="89"/>
        <v>0</v>
      </c>
      <c r="J264" s="6">
        <f t="shared" si="90"/>
        <v>0</v>
      </c>
      <c r="K264" s="6">
        <f t="shared" si="91"/>
        <v>0</v>
      </c>
      <c r="L264" s="6">
        <f t="shared" si="92"/>
        <v>0</v>
      </c>
      <c r="M264" s="6">
        <f t="shared" si="93"/>
        <v>0</v>
      </c>
      <c r="N264" s="6">
        <f t="shared" si="94"/>
        <v>0</v>
      </c>
      <c r="O264" s="6">
        <f t="shared" si="95"/>
        <v>0</v>
      </c>
      <c r="P264" s="6">
        <f t="shared" si="96"/>
        <v>0</v>
      </c>
      <c r="Q264" s="6">
        <f t="shared" si="97"/>
        <v>0</v>
      </c>
      <c r="R264" s="6">
        <f t="shared" si="98"/>
        <v>0</v>
      </c>
      <c r="S264" s="6">
        <f t="shared" si="99"/>
        <v>0</v>
      </c>
      <c r="T264" s="6">
        <f t="shared" si="100"/>
        <v>0</v>
      </c>
      <c r="U264" s="6">
        <f t="shared" si="101"/>
        <v>0</v>
      </c>
      <c r="V264" s="6">
        <f t="shared" si="102"/>
        <v>0</v>
      </c>
      <c r="W264" s="6">
        <f t="shared" si="103"/>
        <v>0</v>
      </c>
      <c r="X264" s="6">
        <f t="shared" si="104"/>
        <v>0</v>
      </c>
      <c r="Y264" s="6">
        <f t="shared" si="105"/>
        <v>0</v>
      </c>
      <c r="AA264" s="6" t="str">
        <f>IF(最佳化斷筋點!C264="","",最佳化斷筋點!C264)</f>
        <v/>
      </c>
      <c r="AB264" s="6" t="str">
        <f>IF(最佳化斷筋點!D264="","",最佳化斷筋點!D264)</f>
        <v/>
      </c>
      <c r="AC264" s="6" t="str">
        <f>IF(最佳化斷筋點!E264="","",最佳化斷筋點!E264)</f>
        <v/>
      </c>
      <c r="AD264" s="6" t="str">
        <f>IF(最佳化斷筋點!F264="","",最佳化斷筋點!F264)</f>
        <v/>
      </c>
      <c r="AE264" s="6" t="str">
        <f>IF(最佳化斷筋點!G264="","",最佳化斷筋點!G264)</f>
        <v/>
      </c>
      <c r="AF264" s="6" t="str">
        <f>IF(最佳化斷筋點!H264="","",最佳化斷筋點!H264)</f>
        <v/>
      </c>
      <c r="AG264" s="6" t="str">
        <f>IF(最佳化斷筋點!I264="","",最佳化斷筋點!I264)</f>
        <v/>
      </c>
      <c r="AH264" s="6" t="str">
        <f>IF(最佳化斷筋點!J264="","",最佳化斷筋點!J264)</f>
        <v/>
      </c>
      <c r="AI264" s="6" t="str">
        <f>IF(最佳化斷筋點!K264="","",最佳化斷筋點!K264)</f>
        <v/>
      </c>
      <c r="AJ264" s="6" t="str">
        <f>IF(最佳化斷筋點!L264="","",最佳化斷筋點!L264)</f>
        <v/>
      </c>
      <c r="AK264" s="6" t="str">
        <f>IF(最佳化斷筋點!M264="","",最佳化斷筋點!M264)</f>
        <v/>
      </c>
      <c r="AL264" s="6" t="str">
        <f>IF(最佳化斷筋點!N264="","",最佳化斷筋點!N264)</f>
        <v/>
      </c>
      <c r="AM264" s="6" t="str">
        <f>IF(最佳化斷筋點!O264="","",最佳化斷筋點!O264)</f>
        <v/>
      </c>
      <c r="AN264" s="6" t="str">
        <f>IF(最佳化斷筋點!P264="","",最佳化斷筋點!P264)</f>
        <v/>
      </c>
      <c r="AO264" s="6" t="str">
        <f>IF(最佳化斷筋點!Q264="","",最佳化斷筋點!Q264)</f>
        <v/>
      </c>
      <c r="AP264" s="6" t="str">
        <f>IF(最佳化斷筋點!R264="","",最佳化斷筋點!R264)</f>
        <v/>
      </c>
      <c r="AQ264" s="6" t="str">
        <f>IF(最佳化斷筋點!S264="","",最佳化斷筋點!S264)</f>
        <v/>
      </c>
      <c r="AR264" s="6" t="str">
        <f>IF(最佳化斷筋點!T264="","",最佳化斷筋點!T264)</f>
        <v/>
      </c>
      <c r="AS264" s="6" t="str">
        <f>IF(最佳化斷筋點!U264="","",最佳化斷筋點!U264)</f>
        <v/>
      </c>
      <c r="AT264" s="6" t="str">
        <f>IF(最佳化斷筋點!V264="","",最佳化斷筋點!V264)</f>
        <v/>
      </c>
      <c r="AU264" s="6" t="str">
        <f>IF(最佳化斷筋點!W264="","",最佳化斷筋點!W264)</f>
        <v/>
      </c>
      <c r="AV264" s="6" t="str">
        <f>IF(最佳化斷筋點!X264="","",最佳化斷筋點!X264)</f>
        <v/>
      </c>
    </row>
    <row r="265" spans="4:71" x14ac:dyDescent="0.25">
      <c r="D265" s="6" t="s">
        <v>51</v>
      </c>
      <c r="E265" s="6">
        <f t="shared" si="85"/>
        <v>0</v>
      </c>
      <c r="F265" s="6">
        <f t="shared" si="86"/>
        <v>0</v>
      </c>
      <c r="G265" s="6">
        <f t="shared" si="87"/>
        <v>0</v>
      </c>
      <c r="H265" s="6">
        <f t="shared" si="88"/>
        <v>0</v>
      </c>
      <c r="I265" s="6">
        <f t="shared" si="89"/>
        <v>0</v>
      </c>
      <c r="J265" s="6">
        <f t="shared" si="90"/>
        <v>0</v>
      </c>
      <c r="K265" s="6">
        <f t="shared" si="91"/>
        <v>0</v>
      </c>
      <c r="L265" s="6">
        <f t="shared" si="92"/>
        <v>0</v>
      </c>
      <c r="M265" s="6">
        <f t="shared" si="93"/>
        <v>0</v>
      </c>
      <c r="N265" s="6">
        <f t="shared" si="94"/>
        <v>0</v>
      </c>
      <c r="O265" s="6">
        <f t="shared" si="95"/>
        <v>0</v>
      </c>
      <c r="P265" s="6">
        <f t="shared" si="96"/>
        <v>0</v>
      </c>
      <c r="Q265" s="6">
        <f t="shared" si="97"/>
        <v>0</v>
      </c>
      <c r="R265" s="6">
        <f t="shared" si="98"/>
        <v>0</v>
      </c>
      <c r="S265" s="6">
        <f t="shared" si="99"/>
        <v>0</v>
      </c>
      <c r="T265" s="6">
        <f t="shared" si="100"/>
        <v>0</v>
      </c>
      <c r="U265" s="6">
        <f t="shared" si="101"/>
        <v>0</v>
      </c>
      <c r="V265" s="6">
        <f t="shared" si="102"/>
        <v>0</v>
      </c>
      <c r="W265" s="6">
        <f t="shared" si="103"/>
        <v>0</v>
      </c>
      <c r="X265" s="6">
        <f t="shared" si="104"/>
        <v>0</v>
      </c>
      <c r="Y265" s="6">
        <f t="shared" si="105"/>
        <v>0</v>
      </c>
      <c r="AA265" s="6" t="str">
        <f>IF(最佳化斷筋點!C265="","",最佳化斷筋點!C265)</f>
        <v>下層</v>
      </c>
      <c r="AB265" s="6">
        <f>IF(最佳化斷筋點!D265="","",最佳化斷筋點!D265)</f>
        <v>3</v>
      </c>
      <c r="AC265" s="6">
        <f>IF(最佳化斷筋點!E265="","",最佳化斷筋點!E265)</f>
        <v>3</v>
      </c>
      <c r="AD265" s="6">
        <f>IF(最佳化斷筋點!F265="","",最佳化斷筋點!F265)</f>
        <v>3</v>
      </c>
      <c r="AE265" s="6">
        <f>IF(最佳化斷筋點!G265="","",最佳化斷筋點!G265)</f>
        <v>3</v>
      </c>
      <c r="AF265" s="6">
        <f>IF(最佳化斷筋點!H265="","",最佳化斷筋點!H265)</f>
        <v>2</v>
      </c>
      <c r="AG265" s="6">
        <f>IF(最佳化斷筋點!I265="","",最佳化斷筋點!I265)</f>
        <v>3</v>
      </c>
      <c r="AH265" s="6">
        <f>IF(最佳化斷筋點!J265="","",最佳化斷筋點!J265)</f>
        <v>3</v>
      </c>
      <c r="AI265" s="6">
        <f>IF(最佳化斷筋點!K265="","",最佳化斷筋點!K265)</f>
        <v>3</v>
      </c>
      <c r="AJ265" s="6">
        <f>IF(最佳化斷筋點!L265="","",最佳化斷筋點!L265)</f>
        <v>3</v>
      </c>
      <c r="AK265" s="6">
        <f>IF(最佳化斷筋點!M265="","",最佳化斷筋點!M265)</f>
        <v>3</v>
      </c>
      <c r="AL265" s="6">
        <f>IF(最佳化斷筋點!N265="","",最佳化斷筋點!N265)</f>
        <v>3</v>
      </c>
      <c r="AM265" s="6">
        <f>IF(最佳化斷筋點!O265="","",最佳化斷筋點!O265)</f>
        <v>3</v>
      </c>
      <c r="AN265" s="6">
        <f>IF(最佳化斷筋點!P265="","",最佳化斷筋點!P265)</f>
        <v>3</v>
      </c>
      <c r="AO265" s="6">
        <f>IF(最佳化斷筋點!Q265="","",最佳化斷筋點!Q265)</f>
        <v>3</v>
      </c>
      <c r="AP265" s="6">
        <f>IF(最佳化斷筋點!R265="","",最佳化斷筋點!R265)</f>
        <v>3</v>
      </c>
      <c r="AQ265" s="6">
        <f>IF(最佳化斷筋點!S265="","",最佳化斷筋點!S265)</f>
        <v>3</v>
      </c>
      <c r="AR265" s="6">
        <f>IF(最佳化斷筋點!T265="","",最佳化斷筋點!T265)</f>
        <v>2</v>
      </c>
      <c r="AS265" s="6">
        <f>IF(最佳化斷筋點!U265="","",最佳化斷筋點!U265)</f>
        <v>3</v>
      </c>
      <c r="AT265" s="6">
        <f>IF(最佳化斷筋點!V265="","",最佳化斷筋點!V265)</f>
        <v>3</v>
      </c>
      <c r="AU265" s="6">
        <f>IF(最佳化斷筋點!W265="","",最佳化斷筋點!W265)</f>
        <v>3</v>
      </c>
      <c r="AV265" s="6">
        <f>IF(最佳化斷筋點!X265="","",最佳化斷筋點!X265)</f>
        <v>3</v>
      </c>
      <c r="AX265" s="6" t="s">
        <v>51</v>
      </c>
      <c r="AY265" s="6">
        <v>3</v>
      </c>
      <c r="AZ265" s="6">
        <v>3</v>
      </c>
      <c r="BA265" s="6">
        <v>3</v>
      </c>
      <c r="BB265" s="6">
        <v>3</v>
      </c>
      <c r="BC265" s="6">
        <v>2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2</v>
      </c>
      <c r="BP265" s="6">
        <v>3</v>
      </c>
      <c r="BQ265" s="6">
        <v>3</v>
      </c>
      <c r="BR265" s="6">
        <v>3</v>
      </c>
      <c r="BS265" s="6">
        <v>3</v>
      </c>
    </row>
    <row r="266" spans="4:71" x14ac:dyDescent="0.25">
      <c r="E266" s="6">
        <f t="shared" si="85"/>
        <v>0</v>
      </c>
      <c r="F266" s="6">
        <f t="shared" si="86"/>
        <v>0</v>
      </c>
      <c r="G266" s="6">
        <f t="shared" si="87"/>
        <v>0</v>
      </c>
      <c r="H266" s="6">
        <f t="shared" si="88"/>
        <v>0</v>
      </c>
      <c r="I266" s="6">
        <f t="shared" si="89"/>
        <v>0</v>
      </c>
      <c r="J266" s="6">
        <f t="shared" si="90"/>
        <v>0</v>
      </c>
      <c r="K266" s="6">
        <f t="shared" si="91"/>
        <v>0</v>
      </c>
      <c r="L266" s="6">
        <f t="shared" si="92"/>
        <v>0</v>
      </c>
      <c r="M266" s="6">
        <f t="shared" si="93"/>
        <v>0</v>
      </c>
      <c r="N266" s="6">
        <f t="shared" si="94"/>
        <v>0</v>
      </c>
      <c r="O266" s="6">
        <f t="shared" si="95"/>
        <v>0</v>
      </c>
      <c r="P266" s="6">
        <f t="shared" si="96"/>
        <v>0</v>
      </c>
      <c r="Q266" s="6">
        <f t="shared" si="97"/>
        <v>0</v>
      </c>
      <c r="R266" s="6">
        <f t="shared" si="98"/>
        <v>0</v>
      </c>
      <c r="S266" s="6">
        <f t="shared" si="99"/>
        <v>0</v>
      </c>
      <c r="T266" s="6">
        <f t="shared" si="100"/>
        <v>0</v>
      </c>
      <c r="U266" s="6">
        <f t="shared" si="101"/>
        <v>0</v>
      </c>
      <c r="V266" s="6">
        <f t="shared" si="102"/>
        <v>0</v>
      </c>
      <c r="W266" s="6">
        <f t="shared" si="103"/>
        <v>0</v>
      </c>
      <c r="X266" s="6">
        <f t="shared" si="104"/>
        <v>0</v>
      </c>
      <c r="Y266" s="6">
        <f t="shared" si="105"/>
        <v>0</v>
      </c>
      <c r="AA266" s="6" t="str">
        <f>IF(最佳化斷筋點!C266="","",最佳化斷筋點!C266)</f>
        <v/>
      </c>
      <c r="AB266" s="6" t="str">
        <f>IF(最佳化斷筋點!D266="","",最佳化斷筋點!D266)</f>
        <v/>
      </c>
      <c r="AC266" s="6" t="str">
        <f>IF(最佳化斷筋點!E266="","",最佳化斷筋點!E266)</f>
        <v/>
      </c>
      <c r="AD266" s="6" t="str">
        <f>IF(最佳化斷筋點!F266="","",最佳化斷筋點!F266)</f>
        <v/>
      </c>
      <c r="AE266" s="6" t="str">
        <f>IF(最佳化斷筋點!G266="","",最佳化斷筋點!G266)</f>
        <v/>
      </c>
      <c r="AF266" s="6" t="str">
        <f>IF(最佳化斷筋點!H266="","",最佳化斷筋點!H266)</f>
        <v/>
      </c>
      <c r="AG266" s="6" t="str">
        <f>IF(最佳化斷筋點!I266="","",最佳化斷筋點!I266)</f>
        <v/>
      </c>
      <c r="AH266" s="6" t="str">
        <f>IF(最佳化斷筋點!J266="","",最佳化斷筋點!J266)</f>
        <v/>
      </c>
      <c r="AI266" s="6" t="str">
        <f>IF(最佳化斷筋點!K266="","",最佳化斷筋點!K266)</f>
        <v/>
      </c>
      <c r="AJ266" s="6" t="str">
        <f>IF(最佳化斷筋點!L266="","",最佳化斷筋點!L266)</f>
        <v/>
      </c>
      <c r="AK266" s="6" t="str">
        <f>IF(最佳化斷筋點!M266="","",最佳化斷筋點!M266)</f>
        <v/>
      </c>
      <c r="AL266" s="6" t="str">
        <f>IF(最佳化斷筋點!N266="","",最佳化斷筋點!N266)</f>
        <v/>
      </c>
      <c r="AM266" s="6" t="str">
        <f>IF(最佳化斷筋點!O266="","",最佳化斷筋點!O266)</f>
        <v/>
      </c>
      <c r="AN266" s="6" t="str">
        <f>IF(最佳化斷筋點!P266="","",最佳化斷筋點!P266)</f>
        <v/>
      </c>
      <c r="AO266" s="6" t="str">
        <f>IF(最佳化斷筋點!Q266="","",最佳化斷筋點!Q266)</f>
        <v/>
      </c>
      <c r="AP266" s="6" t="str">
        <f>IF(最佳化斷筋點!R266="","",最佳化斷筋點!R266)</f>
        <v/>
      </c>
      <c r="AQ266" s="6" t="str">
        <f>IF(最佳化斷筋點!S266="","",最佳化斷筋點!S266)</f>
        <v/>
      </c>
      <c r="AR266" s="6" t="str">
        <f>IF(最佳化斷筋點!T266="","",最佳化斷筋點!T266)</f>
        <v/>
      </c>
      <c r="AS266" s="6" t="str">
        <f>IF(最佳化斷筋點!U266="","",最佳化斷筋點!U266)</f>
        <v/>
      </c>
      <c r="AT266" s="6" t="str">
        <f>IF(最佳化斷筋點!V266="","",最佳化斷筋點!V266)</f>
        <v/>
      </c>
      <c r="AU266" s="6" t="str">
        <f>IF(最佳化斷筋點!W266="","",最佳化斷筋點!W266)</f>
        <v/>
      </c>
      <c r="AV266" s="6" t="str">
        <f>IF(最佳化斷筋點!X266="","",最佳化斷筋點!X266)</f>
        <v/>
      </c>
    </row>
    <row r="267" spans="4:71" x14ac:dyDescent="0.25">
      <c r="D267" s="6" t="s">
        <v>50</v>
      </c>
      <c r="E267" s="6">
        <f t="shared" si="85"/>
        <v>0</v>
      </c>
      <c r="F267" s="6">
        <f t="shared" si="86"/>
        <v>0</v>
      </c>
      <c r="G267" s="6">
        <f t="shared" si="87"/>
        <v>0</v>
      </c>
      <c r="H267" s="6">
        <f t="shared" si="88"/>
        <v>0</v>
      </c>
      <c r="I267" s="6">
        <f t="shared" si="89"/>
        <v>0</v>
      </c>
      <c r="J267" s="6">
        <f t="shared" si="90"/>
        <v>0</v>
      </c>
      <c r="K267" s="6">
        <f t="shared" si="91"/>
        <v>0</v>
      </c>
      <c r="L267" s="6">
        <f t="shared" si="92"/>
        <v>0</v>
      </c>
      <c r="M267" s="6">
        <f t="shared" si="93"/>
        <v>0</v>
      </c>
      <c r="N267" s="6">
        <f t="shared" si="94"/>
        <v>0</v>
      </c>
      <c r="O267" s="6">
        <f t="shared" si="95"/>
        <v>0</v>
      </c>
      <c r="P267" s="6">
        <f t="shared" si="96"/>
        <v>0</v>
      </c>
      <c r="Q267" s="6">
        <f t="shared" si="97"/>
        <v>0</v>
      </c>
      <c r="R267" s="6">
        <f t="shared" si="98"/>
        <v>0</v>
      </c>
      <c r="S267" s="6">
        <f t="shared" si="99"/>
        <v>0</v>
      </c>
      <c r="T267" s="6">
        <f t="shared" si="100"/>
        <v>0</v>
      </c>
      <c r="U267" s="6">
        <f t="shared" si="101"/>
        <v>0</v>
      </c>
      <c r="V267" s="6">
        <f t="shared" si="102"/>
        <v>0</v>
      </c>
      <c r="W267" s="6">
        <f t="shared" si="103"/>
        <v>0</v>
      </c>
      <c r="X267" s="6">
        <f t="shared" si="104"/>
        <v>0</v>
      </c>
      <c r="Y267" s="6">
        <f t="shared" si="105"/>
        <v>0</v>
      </c>
      <c r="AA267" s="6" t="str">
        <f>IF(最佳化斷筋點!C267="","",最佳化斷筋點!C267)</f>
        <v>上層</v>
      </c>
      <c r="AB267" s="6">
        <f>IF(最佳化斷筋點!D267="","",最佳化斷筋點!D267)</f>
        <v>5</v>
      </c>
      <c r="AC267" s="6">
        <f>IF(最佳化斷筋點!E267="","",最佳化斷筋點!E267)</f>
        <v>5</v>
      </c>
      <c r="AD267" s="6">
        <f>IF(最佳化斷筋點!F267="","",最佳化斷筋點!F267)</f>
        <v>4</v>
      </c>
      <c r="AE267" s="6">
        <f>IF(最佳化斷筋點!G267="","",最佳化斷筋點!G267)</f>
        <v>4</v>
      </c>
      <c r="AF267" s="6">
        <f>IF(最佳化斷筋點!H267="","",最佳化斷筋點!H267)</f>
        <v>4</v>
      </c>
      <c r="AG267" s="6">
        <f>IF(最佳化斷筋點!I267="","",最佳化斷筋點!I267)</f>
        <v>3</v>
      </c>
      <c r="AH267" s="6">
        <f>IF(最佳化斷筋點!J267="","",最佳化斷筋點!J267)</f>
        <v>3</v>
      </c>
      <c r="AI267" s="6">
        <f>IF(最佳化斷筋點!K267="","",最佳化斷筋點!K267)</f>
        <v>2</v>
      </c>
      <c r="AJ267" s="6">
        <f>IF(最佳化斷筋點!L267="","",最佳化斷筋點!L267)</f>
        <v>2</v>
      </c>
      <c r="AK267" s="6">
        <f>IF(最佳化斷筋點!M267="","",最佳化斷筋點!M267)</f>
        <v>2</v>
      </c>
      <c r="AL267" s="6">
        <f>IF(最佳化斷筋點!N267="","",最佳化斷筋點!N267)</f>
        <v>2</v>
      </c>
      <c r="AM267" s="6">
        <f>IF(最佳化斷筋點!O267="","",最佳化斷筋點!O267)</f>
        <v>2</v>
      </c>
      <c r="AN267" s="6">
        <f>IF(最佳化斷筋點!P267="","",最佳化斷筋點!P267)</f>
        <v>2</v>
      </c>
      <c r="AO267" s="6">
        <f>IF(最佳化斷筋點!Q267="","",最佳化斷筋點!Q267)</f>
        <v>2</v>
      </c>
      <c r="AP267" s="6">
        <f>IF(最佳化斷筋點!R267="","",最佳化斷筋點!R267)</f>
        <v>2</v>
      </c>
      <c r="AQ267" s="6">
        <f>IF(最佳化斷筋點!S267="","",最佳化斷筋點!S267)</f>
        <v>3</v>
      </c>
      <c r="AR267" s="6">
        <f>IF(最佳化斷筋點!T267="","",最佳化斷筋點!T267)</f>
        <v>3</v>
      </c>
      <c r="AS267" s="6">
        <f>IF(最佳化斷筋點!U267="","",最佳化斷筋點!U267)</f>
        <v>4</v>
      </c>
      <c r="AT267" s="6">
        <f>IF(最佳化斷筋點!V267="","",最佳化斷筋點!V267)</f>
        <v>4</v>
      </c>
      <c r="AU267" s="6">
        <f>IF(最佳化斷筋點!W267="","",最佳化斷筋點!W267)</f>
        <v>5</v>
      </c>
      <c r="AV267" s="6">
        <f>IF(最佳化斷筋點!X267="","",最佳化斷筋點!X267)</f>
        <v>5</v>
      </c>
      <c r="AX267" s="6" t="s">
        <v>50</v>
      </c>
      <c r="AY267" s="6">
        <v>5</v>
      </c>
      <c r="AZ267" s="6">
        <v>5</v>
      </c>
      <c r="BA267" s="6">
        <v>4</v>
      </c>
      <c r="BB267" s="6">
        <v>4</v>
      </c>
      <c r="BC267" s="6">
        <v>4</v>
      </c>
      <c r="BD267" s="6">
        <v>3</v>
      </c>
      <c r="BE267" s="6">
        <v>3</v>
      </c>
      <c r="BF267" s="6">
        <v>2</v>
      </c>
      <c r="BG267" s="6">
        <v>2</v>
      </c>
      <c r="BH267" s="6">
        <v>2</v>
      </c>
      <c r="BI267" s="6">
        <v>2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</row>
    <row r="268" spans="4:71" x14ac:dyDescent="0.25">
      <c r="E268" s="6">
        <f t="shared" si="85"/>
        <v>0</v>
      </c>
      <c r="F268" s="6">
        <f t="shared" si="86"/>
        <v>0</v>
      </c>
      <c r="G268" s="6">
        <f t="shared" si="87"/>
        <v>0</v>
      </c>
      <c r="H268" s="6">
        <f t="shared" si="88"/>
        <v>0</v>
      </c>
      <c r="I268" s="6">
        <f t="shared" si="89"/>
        <v>0</v>
      </c>
      <c r="J268" s="6">
        <f t="shared" si="90"/>
        <v>0</v>
      </c>
      <c r="K268" s="6">
        <f t="shared" si="91"/>
        <v>0</v>
      </c>
      <c r="L268" s="6">
        <f t="shared" si="92"/>
        <v>0</v>
      </c>
      <c r="M268" s="6">
        <f t="shared" si="93"/>
        <v>0</v>
      </c>
      <c r="N268" s="6">
        <f t="shared" si="94"/>
        <v>0</v>
      </c>
      <c r="O268" s="6">
        <f t="shared" si="95"/>
        <v>0</v>
      </c>
      <c r="P268" s="6">
        <f t="shared" si="96"/>
        <v>0</v>
      </c>
      <c r="Q268" s="6">
        <f t="shared" si="97"/>
        <v>0</v>
      </c>
      <c r="R268" s="6">
        <f t="shared" si="98"/>
        <v>0</v>
      </c>
      <c r="S268" s="6">
        <f t="shared" si="99"/>
        <v>0</v>
      </c>
      <c r="T268" s="6">
        <f t="shared" si="100"/>
        <v>0</v>
      </c>
      <c r="U268" s="6">
        <f t="shared" si="101"/>
        <v>0</v>
      </c>
      <c r="V268" s="6">
        <f t="shared" si="102"/>
        <v>0</v>
      </c>
      <c r="W268" s="6">
        <f t="shared" si="103"/>
        <v>0</v>
      </c>
      <c r="X268" s="6">
        <f t="shared" si="104"/>
        <v>0</v>
      </c>
      <c r="Y268" s="6">
        <f t="shared" si="105"/>
        <v>0</v>
      </c>
      <c r="AA268" s="6" t="str">
        <f>IF(最佳化斷筋點!C268="","",最佳化斷筋點!C268)</f>
        <v/>
      </c>
      <c r="AB268" s="6" t="str">
        <f>IF(最佳化斷筋點!D268="","",最佳化斷筋點!D268)</f>
        <v/>
      </c>
      <c r="AC268" s="6" t="str">
        <f>IF(最佳化斷筋點!E268="","",最佳化斷筋點!E268)</f>
        <v/>
      </c>
      <c r="AD268" s="6" t="str">
        <f>IF(最佳化斷筋點!F268="","",最佳化斷筋點!F268)</f>
        <v/>
      </c>
      <c r="AE268" s="6" t="str">
        <f>IF(最佳化斷筋點!G268="","",最佳化斷筋點!G268)</f>
        <v/>
      </c>
      <c r="AF268" s="6" t="str">
        <f>IF(最佳化斷筋點!H268="","",最佳化斷筋點!H268)</f>
        <v/>
      </c>
      <c r="AG268" s="6" t="str">
        <f>IF(最佳化斷筋點!I268="","",最佳化斷筋點!I268)</f>
        <v/>
      </c>
      <c r="AH268" s="6" t="str">
        <f>IF(最佳化斷筋點!J268="","",最佳化斷筋點!J268)</f>
        <v/>
      </c>
      <c r="AI268" s="6" t="str">
        <f>IF(最佳化斷筋點!K268="","",最佳化斷筋點!K268)</f>
        <v/>
      </c>
      <c r="AJ268" s="6" t="str">
        <f>IF(最佳化斷筋點!L268="","",最佳化斷筋點!L268)</f>
        <v/>
      </c>
      <c r="AK268" s="6" t="str">
        <f>IF(最佳化斷筋點!M268="","",最佳化斷筋點!M268)</f>
        <v/>
      </c>
      <c r="AL268" s="6" t="str">
        <f>IF(最佳化斷筋點!N268="","",最佳化斷筋點!N268)</f>
        <v/>
      </c>
      <c r="AM268" s="6" t="str">
        <f>IF(最佳化斷筋點!O268="","",最佳化斷筋點!O268)</f>
        <v/>
      </c>
      <c r="AN268" s="6" t="str">
        <f>IF(最佳化斷筋點!P268="","",最佳化斷筋點!P268)</f>
        <v/>
      </c>
      <c r="AO268" s="6" t="str">
        <f>IF(最佳化斷筋點!Q268="","",最佳化斷筋點!Q268)</f>
        <v/>
      </c>
      <c r="AP268" s="6" t="str">
        <f>IF(最佳化斷筋點!R268="","",最佳化斷筋點!R268)</f>
        <v/>
      </c>
      <c r="AQ268" s="6" t="str">
        <f>IF(最佳化斷筋點!S268="","",最佳化斷筋點!S268)</f>
        <v/>
      </c>
      <c r="AR268" s="6" t="str">
        <f>IF(最佳化斷筋點!T268="","",最佳化斷筋點!T268)</f>
        <v/>
      </c>
      <c r="AS268" s="6" t="str">
        <f>IF(最佳化斷筋點!U268="","",最佳化斷筋點!U268)</f>
        <v/>
      </c>
      <c r="AT268" s="6" t="str">
        <f>IF(最佳化斷筋點!V268="","",最佳化斷筋點!V268)</f>
        <v/>
      </c>
      <c r="AU268" s="6" t="str">
        <f>IF(最佳化斷筋點!W268="","",最佳化斷筋點!W268)</f>
        <v/>
      </c>
      <c r="AV268" s="6" t="str">
        <f>IF(最佳化斷筋點!X268="","",最佳化斷筋點!X268)</f>
        <v/>
      </c>
    </row>
    <row r="269" spans="4:71" x14ac:dyDescent="0.25">
      <c r="D269" s="6" t="s">
        <v>51</v>
      </c>
      <c r="E269" s="6">
        <f t="shared" si="85"/>
        <v>0</v>
      </c>
      <c r="F269" s="6">
        <f t="shared" si="86"/>
        <v>0</v>
      </c>
      <c r="G269" s="6">
        <f t="shared" si="87"/>
        <v>0</v>
      </c>
      <c r="H269" s="6">
        <f t="shared" si="88"/>
        <v>0</v>
      </c>
      <c r="I269" s="6">
        <f t="shared" si="89"/>
        <v>0</v>
      </c>
      <c r="J269" s="6">
        <f t="shared" si="90"/>
        <v>0</v>
      </c>
      <c r="K269" s="6">
        <f t="shared" si="91"/>
        <v>0</v>
      </c>
      <c r="L269" s="6">
        <f t="shared" si="92"/>
        <v>0</v>
      </c>
      <c r="M269" s="6">
        <f t="shared" si="93"/>
        <v>0</v>
      </c>
      <c r="N269" s="6">
        <f t="shared" si="94"/>
        <v>0</v>
      </c>
      <c r="O269" s="6">
        <f t="shared" si="95"/>
        <v>0</v>
      </c>
      <c r="P269" s="6">
        <f t="shared" si="96"/>
        <v>0</v>
      </c>
      <c r="Q269" s="6">
        <f t="shared" si="97"/>
        <v>0</v>
      </c>
      <c r="R269" s="6">
        <f t="shared" si="98"/>
        <v>0</v>
      </c>
      <c r="S269" s="6">
        <f t="shared" si="99"/>
        <v>0</v>
      </c>
      <c r="T269" s="6">
        <f t="shared" si="100"/>
        <v>0</v>
      </c>
      <c r="U269" s="6">
        <f t="shared" si="101"/>
        <v>0</v>
      </c>
      <c r="V269" s="6">
        <f t="shared" si="102"/>
        <v>0</v>
      </c>
      <c r="W269" s="6">
        <f t="shared" si="103"/>
        <v>0</v>
      </c>
      <c r="X269" s="6">
        <f t="shared" si="104"/>
        <v>0</v>
      </c>
      <c r="Y269" s="6">
        <f t="shared" si="105"/>
        <v>0</v>
      </c>
      <c r="AA269" s="6" t="str">
        <f>IF(最佳化斷筋點!C269="","",最佳化斷筋點!C269)</f>
        <v>下層</v>
      </c>
      <c r="AB269" s="6">
        <f>IF(最佳化斷筋點!D269="","",最佳化斷筋點!D269)</f>
        <v>3</v>
      </c>
      <c r="AC269" s="6">
        <f>IF(最佳化斷筋點!E269="","",最佳化斷筋點!E269)</f>
        <v>3</v>
      </c>
      <c r="AD269" s="6">
        <f>IF(最佳化斷筋點!F269="","",最佳化斷筋點!F269)</f>
        <v>3</v>
      </c>
      <c r="AE269" s="6">
        <f>IF(最佳化斷筋點!G269="","",最佳化斷筋點!G269)</f>
        <v>3</v>
      </c>
      <c r="AF269" s="6">
        <f>IF(最佳化斷筋點!H269="","",最佳化斷筋點!H269)</f>
        <v>3</v>
      </c>
      <c r="AG269" s="6">
        <f>IF(最佳化斷筋點!I269="","",最佳化斷筋點!I269)</f>
        <v>3</v>
      </c>
      <c r="AH269" s="6">
        <f>IF(最佳化斷筋點!J269="","",最佳化斷筋點!J269)</f>
        <v>4</v>
      </c>
      <c r="AI269" s="6">
        <f>IF(最佳化斷筋點!K269="","",最佳化斷筋點!K269)</f>
        <v>4</v>
      </c>
      <c r="AJ269" s="6">
        <f>IF(最佳化斷筋點!L269="","",最佳化斷筋點!L269)</f>
        <v>4</v>
      </c>
      <c r="AK269" s="6">
        <f>IF(最佳化斷筋點!M269="","",最佳化斷筋點!M269)</f>
        <v>4</v>
      </c>
      <c r="AL269" s="6">
        <f>IF(最佳化斷筋點!N269="","",最佳化斷筋點!N269)</f>
        <v>4</v>
      </c>
      <c r="AM269" s="6">
        <f>IF(最佳化斷筋點!O269="","",最佳化斷筋點!O269)</f>
        <v>4</v>
      </c>
      <c r="AN269" s="6">
        <f>IF(最佳化斷筋點!P269="","",最佳化斷筋點!P269)</f>
        <v>4</v>
      </c>
      <c r="AO269" s="6">
        <f>IF(最佳化斷筋點!Q269="","",最佳化斷筋點!Q269)</f>
        <v>4</v>
      </c>
      <c r="AP269" s="6">
        <f>IF(最佳化斷筋點!R269="","",最佳化斷筋點!R269)</f>
        <v>4</v>
      </c>
      <c r="AQ269" s="6">
        <f>IF(最佳化斷筋點!S269="","",最佳化斷筋點!S269)</f>
        <v>3</v>
      </c>
      <c r="AR269" s="6">
        <f>IF(最佳化斷筋點!T269="","",最佳化斷筋點!T269)</f>
        <v>3</v>
      </c>
      <c r="AS269" s="6">
        <f>IF(最佳化斷筋點!U269="","",最佳化斷筋點!U269)</f>
        <v>3</v>
      </c>
      <c r="AT269" s="6">
        <f>IF(最佳化斷筋點!V269="","",最佳化斷筋點!V269)</f>
        <v>3</v>
      </c>
      <c r="AU269" s="6">
        <f>IF(最佳化斷筋點!W269="","",最佳化斷筋點!W269)</f>
        <v>3</v>
      </c>
      <c r="AV269" s="6">
        <f>IF(最佳化斷筋點!X269="","",最佳化斷筋點!X269)</f>
        <v>3</v>
      </c>
      <c r="AX269" s="6" t="s">
        <v>51</v>
      </c>
      <c r="AY269" s="6">
        <v>3</v>
      </c>
      <c r="AZ269" s="6">
        <v>3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3</v>
      </c>
      <c r="BO269" s="6">
        <v>3</v>
      </c>
      <c r="BP269" s="6">
        <v>3</v>
      </c>
      <c r="BQ269" s="6">
        <v>3</v>
      </c>
      <c r="BR269" s="6">
        <v>3</v>
      </c>
      <c r="BS269" s="6">
        <v>3</v>
      </c>
    </row>
    <row r="270" spans="4:71" x14ac:dyDescent="0.25">
      <c r="E270" s="6">
        <f t="shared" si="85"/>
        <v>0</v>
      </c>
      <c r="F270" s="6">
        <f t="shared" si="86"/>
        <v>0</v>
      </c>
      <c r="G270" s="6">
        <f t="shared" si="87"/>
        <v>0</v>
      </c>
      <c r="H270" s="6">
        <f t="shared" si="88"/>
        <v>0</v>
      </c>
      <c r="I270" s="6">
        <f t="shared" si="89"/>
        <v>0</v>
      </c>
      <c r="J270" s="6">
        <f t="shared" si="90"/>
        <v>0</v>
      </c>
      <c r="K270" s="6">
        <f t="shared" si="91"/>
        <v>0</v>
      </c>
      <c r="L270" s="6">
        <f t="shared" si="92"/>
        <v>0</v>
      </c>
      <c r="M270" s="6">
        <f t="shared" si="93"/>
        <v>0</v>
      </c>
      <c r="N270" s="6">
        <f t="shared" si="94"/>
        <v>0</v>
      </c>
      <c r="O270" s="6">
        <f t="shared" si="95"/>
        <v>0</v>
      </c>
      <c r="P270" s="6">
        <f t="shared" si="96"/>
        <v>0</v>
      </c>
      <c r="Q270" s="6">
        <f t="shared" si="97"/>
        <v>0</v>
      </c>
      <c r="R270" s="6">
        <f t="shared" si="98"/>
        <v>0</v>
      </c>
      <c r="S270" s="6">
        <f t="shared" si="99"/>
        <v>0</v>
      </c>
      <c r="T270" s="6">
        <f t="shared" si="100"/>
        <v>0</v>
      </c>
      <c r="U270" s="6">
        <f t="shared" si="101"/>
        <v>0</v>
      </c>
      <c r="V270" s="6">
        <f t="shared" si="102"/>
        <v>0</v>
      </c>
      <c r="W270" s="6">
        <f t="shared" si="103"/>
        <v>0</v>
      </c>
      <c r="X270" s="6">
        <f t="shared" si="104"/>
        <v>0</v>
      </c>
      <c r="Y270" s="6">
        <f t="shared" si="105"/>
        <v>0</v>
      </c>
      <c r="AA270" s="6" t="str">
        <f>IF(最佳化斷筋點!C270="","",最佳化斷筋點!C270)</f>
        <v/>
      </c>
      <c r="AB270" s="6" t="str">
        <f>IF(最佳化斷筋點!D270="","",最佳化斷筋點!D270)</f>
        <v/>
      </c>
      <c r="AC270" s="6" t="str">
        <f>IF(最佳化斷筋點!E270="","",最佳化斷筋點!E270)</f>
        <v/>
      </c>
      <c r="AD270" s="6" t="str">
        <f>IF(最佳化斷筋點!F270="","",最佳化斷筋點!F270)</f>
        <v/>
      </c>
      <c r="AE270" s="6" t="str">
        <f>IF(最佳化斷筋點!G270="","",最佳化斷筋點!G270)</f>
        <v/>
      </c>
      <c r="AF270" s="6" t="str">
        <f>IF(最佳化斷筋點!H270="","",最佳化斷筋點!H270)</f>
        <v/>
      </c>
      <c r="AG270" s="6" t="str">
        <f>IF(最佳化斷筋點!I270="","",最佳化斷筋點!I270)</f>
        <v/>
      </c>
      <c r="AH270" s="6" t="str">
        <f>IF(最佳化斷筋點!J270="","",最佳化斷筋點!J270)</f>
        <v/>
      </c>
      <c r="AI270" s="6" t="str">
        <f>IF(最佳化斷筋點!K270="","",最佳化斷筋點!K270)</f>
        <v/>
      </c>
      <c r="AJ270" s="6" t="str">
        <f>IF(最佳化斷筋點!L270="","",最佳化斷筋點!L270)</f>
        <v/>
      </c>
      <c r="AK270" s="6" t="str">
        <f>IF(最佳化斷筋點!M270="","",最佳化斷筋點!M270)</f>
        <v/>
      </c>
      <c r="AL270" s="6" t="str">
        <f>IF(最佳化斷筋點!N270="","",最佳化斷筋點!N270)</f>
        <v/>
      </c>
      <c r="AM270" s="6" t="str">
        <f>IF(最佳化斷筋點!O270="","",最佳化斷筋點!O270)</f>
        <v/>
      </c>
      <c r="AN270" s="6" t="str">
        <f>IF(最佳化斷筋點!P270="","",最佳化斷筋點!P270)</f>
        <v/>
      </c>
      <c r="AO270" s="6" t="str">
        <f>IF(最佳化斷筋點!Q270="","",最佳化斷筋點!Q270)</f>
        <v/>
      </c>
      <c r="AP270" s="6" t="str">
        <f>IF(最佳化斷筋點!R270="","",最佳化斷筋點!R270)</f>
        <v/>
      </c>
      <c r="AQ270" s="6" t="str">
        <f>IF(最佳化斷筋點!S270="","",最佳化斷筋點!S270)</f>
        <v/>
      </c>
      <c r="AR270" s="6" t="str">
        <f>IF(最佳化斷筋點!T270="","",最佳化斷筋點!T270)</f>
        <v/>
      </c>
      <c r="AS270" s="6" t="str">
        <f>IF(最佳化斷筋點!U270="","",最佳化斷筋點!U270)</f>
        <v/>
      </c>
      <c r="AT270" s="6" t="str">
        <f>IF(最佳化斷筋點!V270="","",最佳化斷筋點!V270)</f>
        <v/>
      </c>
      <c r="AU270" s="6" t="str">
        <f>IF(最佳化斷筋點!W270="","",最佳化斷筋點!W270)</f>
        <v/>
      </c>
      <c r="AV270" s="6" t="str">
        <f>IF(最佳化斷筋點!X270="","",最佳化斷筋點!X270)</f>
        <v/>
      </c>
    </row>
    <row r="271" spans="4:71" x14ac:dyDescent="0.25">
      <c r="D271" s="6" t="s">
        <v>50</v>
      </c>
      <c r="E271" s="6">
        <f t="shared" si="85"/>
        <v>0</v>
      </c>
      <c r="F271" s="6">
        <f t="shared" si="86"/>
        <v>0</v>
      </c>
      <c r="G271" s="6">
        <f t="shared" si="87"/>
        <v>0</v>
      </c>
      <c r="H271" s="6">
        <f t="shared" si="88"/>
        <v>0</v>
      </c>
      <c r="I271" s="6">
        <f t="shared" si="89"/>
        <v>0</v>
      </c>
      <c r="J271" s="6">
        <f t="shared" si="90"/>
        <v>0</v>
      </c>
      <c r="K271" s="6">
        <f t="shared" si="91"/>
        <v>0</v>
      </c>
      <c r="L271" s="6">
        <f t="shared" si="92"/>
        <v>0</v>
      </c>
      <c r="M271" s="6">
        <f t="shared" si="93"/>
        <v>0</v>
      </c>
      <c r="N271" s="6">
        <f t="shared" si="94"/>
        <v>0</v>
      </c>
      <c r="O271" s="6">
        <f t="shared" si="95"/>
        <v>0</v>
      </c>
      <c r="P271" s="6">
        <f t="shared" si="96"/>
        <v>0</v>
      </c>
      <c r="Q271" s="6">
        <f t="shared" si="97"/>
        <v>0</v>
      </c>
      <c r="R271" s="6">
        <f t="shared" si="98"/>
        <v>0</v>
      </c>
      <c r="S271" s="6">
        <f t="shared" si="99"/>
        <v>0</v>
      </c>
      <c r="T271" s="6">
        <f t="shared" si="100"/>
        <v>0</v>
      </c>
      <c r="U271" s="6">
        <f t="shared" si="101"/>
        <v>0</v>
      </c>
      <c r="V271" s="6">
        <f t="shared" si="102"/>
        <v>0</v>
      </c>
      <c r="W271" s="6">
        <f t="shared" si="103"/>
        <v>0</v>
      </c>
      <c r="X271" s="6">
        <f t="shared" si="104"/>
        <v>0</v>
      </c>
      <c r="Y271" s="6">
        <f t="shared" si="105"/>
        <v>0</v>
      </c>
      <c r="AA271" s="6" t="str">
        <f>IF(最佳化斷筋點!C271="","",最佳化斷筋點!C271)</f>
        <v>上層</v>
      </c>
      <c r="AB271" s="6">
        <f>IF(最佳化斷筋點!D271="","",最佳化斷筋點!D271)</f>
        <v>5</v>
      </c>
      <c r="AC271" s="6">
        <f>IF(最佳化斷筋點!E271="","",最佳化斷筋點!E271)</f>
        <v>5</v>
      </c>
      <c r="AD271" s="6">
        <f>IF(最佳化斷筋點!F271="","",最佳化斷筋點!F271)</f>
        <v>4</v>
      </c>
      <c r="AE271" s="6">
        <f>IF(最佳化斷筋點!G271="","",最佳化斷筋點!G271)</f>
        <v>4</v>
      </c>
      <c r="AF271" s="6">
        <f>IF(最佳化斷筋點!H271="","",最佳化斷筋點!H271)</f>
        <v>4</v>
      </c>
      <c r="AG271" s="6">
        <f>IF(最佳化斷筋點!I271="","",最佳化斷筋點!I271)</f>
        <v>3</v>
      </c>
      <c r="AH271" s="6">
        <f>IF(最佳化斷筋點!J271="","",最佳化斷筋點!J271)</f>
        <v>3</v>
      </c>
      <c r="AI271" s="6">
        <f>IF(最佳化斷筋點!K271="","",最佳化斷筋點!K271)</f>
        <v>2</v>
      </c>
      <c r="AJ271" s="6">
        <f>IF(最佳化斷筋點!L271="","",最佳化斷筋點!L271)</f>
        <v>2</v>
      </c>
      <c r="AK271" s="6">
        <f>IF(最佳化斷筋點!M271="","",最佳化斷筋點!M271)</f>
        <v>2</v>
      </c>
      <c r="AL271" s="6">
        <f>IF(最佳化斷筋點!N271="","",最佳化斷筋點!N271)</f>
        <v>2</v>
      </c>
      <c r="AM271" s="6">
        <f>IF(最佳化斷筋點!O271="","",最佳化斷筋點!O271)</f>
        <v>2</v>
      </c>
      <c r="AN271" s="6">
        <f>IF(最佳化斷筋點!P271="","",最佳化斷筋點!P271)</f>
        <v>2</v>
      </c>
      <c r="AO271" s="6">
        <f>IF(最佳化斷筋點!Q271="","",最佳化斷筋點!Q271)</f>
        <v>2</v>
      </c>
      <c r="AP271" s="6">
        <f>IF(最佳化斷筋點!R271="","",最佳化斷筋點!R271)</f>
        <v>2</v>
      </c>
      <c r="AQ271" s="6">
        <f>IF(最佳化斷筋點!S271="","",最佳化斷筋點!S271)</f>
        <v>3</v>
      </c>
      <c r="AR271" s="6">
        <f>IF(最佳化斷筋點!T271="","",最佳化斷筋點!T271)</f>
        <v>3</v>
      </c>
      <c r="AS271" s="6">
        <f>IF(最佳化斷筋點!U271="","",最佳化斷筋點!U271)</f>
        <v>4</v>
      </c>
      <c r="AT271" s="6">
        <f>IF(最佳化斷筋點!V271="","",最佳化斷筋點!V271)</f>
        <v>4</v>
      </c>
      <c r="AU271" s="6">
        <f>IF(最佳化斷筋點!W271="","",最佳化斷筋點!W271)</f>
        <v>5</v>
      </c>
      <c r="AV271" s="6">
        <f>IF(最佳化斷筋點!X271="","",最佳化斷筋點!X271)</f>
        <v>5</v>
      </c>
      <c r="AX271" s="6" t="s">
        <v>50</v>
      </c>
      <c r="AY271" s="6">
        <v>5</v>
      </c>
      <c r="AZ271" s="6">
        <v>5</v>
      </c>
      <c r="BA271" s="6">
        <v>4</v>
      </c>
      <c r="BB271" s="6">
        <v>4</v>
      </c>
      <c r="BC271" s="6">
        <v>4</v>
      </c>
      <c r="BD271" s="6">
        <v>3</v>
      </c>
      <c r="BE271" s="6">
        <v>3</v>
      </c>
      <c r="BF271" s="6">
        <v>2</v>
      </c>
      <c r="BG271" s="6">
        <v>2</v>
      </c>
      <c r="BH271" s="6">
        <v>2</v>
      </c>
      <c r="BI271" s="6">
        <v>2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</row>
    <row r="272" spans="4:71" x14ac:dyDescent="0.25">
      <c r="E272" s="6">
        <f t="shared" si="85"/>
        <v>0</v>
      </c>
      <c r="F272" s="6">
        <f t="shared" si="86"/>
        <v>0</v>
      </c>
      <c r="G272" s="6">
        <f t="shared" si="87"/>
        <v>0</v>
      </c>
      <c r="H272" s="6">
        <f t="shared" si="88"/>
        <v>0</v>
      </c>
      <c r="I272" s="6">
        <f t="shared" si="89"/>
        <v>0</v>
      </c>
      <c r="J272" s="6">
        <f t="shared" si="90"/>
        <v>0</v>
      </c>
      <c r="K272" s="6">
        <f t="shared" si="91"/>
        <v>0</v>
      </c>
      <c r="L272" s="6">
        <f t="shared" si="92"/>
        <v>0</v>
      </c>
      <c r="M272" s="6">
        <f t="shared" si="93"/>
        <v>0</v>
      </c>
      <c r="N272" s="6">
        <f t="shared" si="94"/>
        <v>0</v>
      </c>
      <c r="O272" s="6">
        <f t="shared" si="95"/>
        <v>0</v>
      </c>
      <c r="P272" s="6">
        <f t="shared" si="96"/>
        <v>0</v>
      </c>
      <c r="Q272" s="6">
        <f t="shared" si="97"/>
        <v>0</v>
      </c>
      <c r="R272" s="6">
        <f t="shared" si="98"/>
        <v>0</v>
      </c>
      <c r="S272" s="6">
        <f t="shared" si="99"/>
        <v>0</v>
      </c>
      <c r="T272" s="6">
        <f t="shared" si="100"/>
        <v>0</v>
      </c>
      <c r="U272" s="6">
        <f t="shared" si="101"/>
        <v>0</v>
      </c>
      <c r="V272" s="6">
        <f t="shared" si="102"/>
        <v>0</v>
      </c>
      <c r="W272" s="6">
        <f t="shared" si="103"/>
        <v>0</v>
      </c>
      <c r="X272" s="6">
        <f t="shared" si="104"/>
        <v>0</v>
      </c>
      <c r="Y272" s="6">
        <f t="shared" si="105"/>
        <v>0</v>
      </c>
      <c r="AA272" s="6" t="str">
        <f>IF(最佳化斷筋點!C272="","",最佳化斷筋點!C272)</f>
        <v/>
      </c>
      <c r="AB272" s="6" t="str">
        <f>IF(最佳化斷筋點!D272="","",最佳化斷筋點!D272)</f>
        <v/>
      </c>
      <c r="AC272" s="6" t="str">
        <f>IF(最佳化斷筋點!E272="","",最佳化斷筋點!E272)</f>
        <v/>
      </c>
      <c r="AD272" s="6" t="str">
        <f>IF(最佳化斷筋點!F272="","",最佳化斷筋點!F272)</f>
        <v/>
      </c>
      <c r="AE272" s="6" t="str">
        <f>IF(最佳化斷筋點!G272="","",最佳化斷筋點!G272)</f>
        <v/>
      </c>
      <c r="AF272" s="6" t="str">
        <f>IF(最佳化斷筋點!H272="","",最佳化斷筋點!H272)</f>
        <v/>
      </c>
      <c r="AG272" s="6" t="str">
        <f>IF(最佳化斷筋點!I272="","",最佳化斷筋點!I272)</f>
        <v/>
      </c>
      <c r="AH272" s="6" t="str">
        <f>IF(最佳化斷筋點!J272="","",最佳化斷筋點!J272)</f>
        <v/>
      </c>
      <c r="AI272" s="6" t="str">
        <f>IF(最佳化斷筋點!K272="","",最佳化斷筋點!K272)</f>
        <v/>
      </c>
      <c r="AJ272" s="6" t="str">
        <f>IF(最佳化斷筋點!L272="","",最佳化斷筋點!L272)</f>
        <v/>
      </c>
      <c r="AK272" s="6" t="str">
        <f>IF(最佳化斷筋點!M272="","",最佳化斷筋點!M272)</f>
        <v/>
      </c>
      <c r="AL272" s="6" t="str">
        <f>IF(最佳化斷筋點!N272="","",最佳化斷筋點!N272)</f>
        <v/>
      </c>
      <c r="AM272" s="6" t="str">
        <f>IF(最佳化斷筋點!O272="","",最佳化斷筋點!O272)</f>
        <v/>
      </c>
      <c r="AN272" s="6" t="str">
        <f>IF(最佳化斷筋點!P272="","",最佳化斷筋點!P272)</f>
        <v/>
      </c>
      <c r="AO272" s="6" t="str">
        <f>IF(最佳化斷筋點!Q272="","",最佳化斷筋點!Q272)</f>
        <v/>
      </c>
      <c r="AP272" s="6" t="str">
        <f>IF(最佳化斷筋點!R272="","",最佳化斷筋點!R272)</f>
        <v/>
      </c>
      <c r="AQ272" s="6" t="str">
        <f>IF(最佳化斷筋點!S272="","",最佳化斷筋點!S272)</f>
        <v/>
      </c>
      <c r="AR272" s="6" t="str">
        <f>IF(最佳化斷筋點!T272="","",最佳化斷筋點!T272)</f>
        <v/>
      </c>
      <c r="AS272" s="6" t="str">
        <f>IF(最佳化斷筋點!U272="","",最佳化斷筋點!U272)</f>
        <v/>
      </c>
      <c r="AT272" s="6" t="str">
        <f>IF(最佳化斷筋點!V272="","",最佳化斷筋點!V272)</f>
        <v/>
      </c>
      <c r="AU272" s="6" t="str">
        <f>IF(最佳化斷筋點!W272="","",最佳化斷筋點!W272)</f>
        <v/>
      </c>
      <c r="AV272" s="6" t="str">
        <f>IF(最佳化斷筋點!X272="","",最佳化斷筋點!X272)</f>
        <v/>
      </c>
    </row>
    <row r="273" spans="4:71" x14ac:dyDescent="0.25">
      <c r="D273" s="6" t="s">
        <v>51</v>
      </c>
      <c r="E273" s="6">
        <f t="shared" si="85"/>
        <v>0</v>
      </c>
      <c r="F273" s="6">
        <f t="shared" si="86"/>
        <v>0</v>
      </c>
      <c r="G273" s="6">
        <f t="shared" si="87"/>
        <v>0</v>
      </c>
      <c r="H273" s="6">
        <f t="shared" si="88"/>
        <v>0</v>
      </c>
      <c r="I273" s="6">
        <f t="shared" si="89"/>
        <v>0</v>
      </c>
      <c r="J273" s="6">
        <f t="shared" si="90"/>
        <v>0</v>
      </c>
      <c r="K273" s="6">
        <f t="shared" si="91"/>
        <v>0</v>
      </c>
      <c r="L273" s="6">
        <f t="shared" si="92"/>
        <v>0</v>
      </c>
      <c r="M273" s="6">
        <f t="shared" si="93"/>
        <v>0</v>
      </c>
      <c r="N273" s="6">
        <f t="shared" si="94"/>
        <v>0</v>
      </c>
      <c r="O273" s="6">
        <f t="shared" si="95"/>
        <v>0</v>
      </c>
      <c r="P273" s="6">
        <f t="shared" si="96"/>
        <v>0</v>
      </c>
      <c r="Q273" s="6">
        <f t="shared" si="97"/>
        <v>0</v>
      </c>
      <c r="R273" s="6">
        <f t="shared" si="98"/>
        <v>0</v>
      </c>
      <c r="S273" s="6">
        <f t="shared" si="99"/>
        <v>0</v>
      </c>
      <c r="T273" s="6">
        <f t="shared" si="100"/>
        <v>0</v>
      </c>
      <c r="U273" s="6">
        <f t="shared" si="101"/>
        <v>0</v>
      </c>
      <c r="V273" s="6">
        <f t="shared" si="102"/>
        <v>0</v>
      </c>
      <c r="W273" s="6">
        <f t="shared" si="103"/>
        <v>0</v>
      </c>
      <c r="X273" s="6">
        <f t="shared" si="104"/>
        <v>0</v>
      </c>
      <c r="Y273" s="6">
        <f t="shared" si="105"/>
        <v>0</v>
      </c>
      <c r="AA273" s="6" t="str">
        <f>IF(最佳化斷筋點!C273="","",最佳化斷筋點!C273)</f>
        <v>下層</v>
      </c>
      <c r="AB273" s="6">
        <f>IF(最佳化斷筋點!D273="","",最佳化斷筋點!D273)</f>
        <v>3</v>
      </c>
      <c r="AC273" s="6">
        <f>IF(最佳化斷筋點!E273="","",最佳化斷筋點!E273)</f>
        <v>3</v>
      </c>
      <c r="AD273" s="6">
        <f>IF(最佳化斷筋點!F273="","",最佳化斷筋點!F273)</f>
        <v>3</v>
      </c>
      <c r="AE273" s="6">
        <f>IF(最佳化斷筋點!G273="","",最佳化斷筋點!G273)</f>
        <v>3</v>
      </c>
      <c r="AF273" s="6">
        <f>IF(最佳化斷筋點!H273="","",最佳化斷筋點!H273)</f>
        <v>3</v>
      </c>
      <c r="AG273" s="6">
        <f>IF(最佳化斷筋點!I273="","",最佳化斷筋點!I273)</f>
        <v>3</v>
      </c>
      <c r="AH273" s="6">
        <f>IF(最佳化斷筋點!J273="","",最佳化斷筋點!J273)</f>
        <v>4</v>
      </c>
      <c r="AI273" s="6">
        <f>IF(最佳化斷筋點!K273="","",最佳化斷筋點!K273)</f>
        <v>4</v>
      </c>
      <c r="AJ273" s="6">
        <f>IF(最佳化斷筋點!L273="","",最佳化斷筋點!L273)</f>
        <v>4</v>
      </c>
      <c r="AK273" s="6">
        <f>IF(最佳化斷筋點!M273="","",最佳化斷筋點!M273)</f>
        <v>4</v>
      </c>
      <c r="AL273" s="6">
        <f>IF(最佳化斷筋點!N273="","",最佳化斷筋點!N273)</f>
        <v>4</v>
      </c>
      <c r="AM273" s="6">
        <f>IF(最佳化斷筋點!O273="","",最佳化斷筋點!O273)</f>
        <v>4</v>
      </c>
      <c r="AN273" s="6">
        <f>IF(最佳化斷筋點!P273="","",最佳化斷筋點!P273)</f>
        <v>4</v>
      </c>
      <c r="AO273" s="6">
        <f>IF(最佳化斷筋點!Q273="","",最佳化斷筋點!Q273)</f>
        <v>4</v>
      </c>
      <c r="AP273" s="6">
        <f>IF(最佳化斷筋點!R273="","",最佳化斷筋點!R273)</f>
        <v>4</v>
      </c>
      <c r="AQ273" s="6">
        <f>IF(最佳化斷筋點!S273="","",最佳化斷筋點!S273)</f>
        <v>3</v>
      </c>
      <c r="AR273" s="6">
        <f>IF(最佳化斷筋點!T273="","",最佳化斷筋點!T273)</f>
        <v>3</v>
      </c>
      <c r="AS273" s="6">
        <f>IF(最佳化斷筋點!U273="","",最佳化斷筋點!U273)</f>
        <v>3</v>
      </c>
      <c r="AT273" s="6">
        <f>IF(最佳化斷筋點!V273="","",最佳化斷筋點!V273)</f>
        <v>3</v>
      </c>
      <c r="AU273" s="6">
        <f>IF(最佳化斷筋點!W273="","",最佳化斷筋點!W273)</f>
        <v>3</v>
      </c>
      <c r="AV273" s="6">
        <f>IF(最佳化斷筋點!X273="","",最佳化斷筋點!X273)</f>
        <v>3</v>
      </c>
      <c r="AX273" s="6" t="s">
        <v>51</v>
      </c>
      <c r="AY273" s="6">
        <v>3</v>
      </c>
      <c r="AZ273" s="6">
        <v>3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3</v>
      </c>
      <c r="BO273" s="6">
        <v>3</v>
      </c>
      <c r="BP273" s="6">
        <v>3</v>
      </c>
      <c r="BQ273" s="6">
        <v>3</v>
      </c>
      <c r="BR273" s="6">
        <v>3</v>
      </c>
      <c r="BS273" s="6">
        <v>3</v>
      </c>
    </row>
    <row r="274" spans="4:71" x14ac:dyDescent="0.25">
      <c r="E274" s="6">
        <f t="shared" si="85"/>
        <v>0</v>
      </c>
      <c r="F274" s="6">
        <f t="shared" si="86"/>
        <v>0</v>
      </c>
      <c r="G274" s="6">
        <f t="shared" si="87"/>
        <v>0</v>
      </c>
      <c r="H274" s="6">
        <f t="shared" si="88"/>
        <v>0</v>
      </c>
      <c r="I274" s="6">
        <f t="shared" si="89"/>
        <v>0</v>
      </c>
      <c r="J274" s="6">
        <f t="shared" si="90"/>
        <v>0</v>
      </c>
      <c r="K274" s="6">
        <f t="shared" si="91"/>
        <v>0</v>
      </c>
      <c r="L274" s="6">
        <f t="shared" si="92"/>
        <v>0</v>
      </c>
      <c r="M274" s="6">
        <f t="shared" si="93"/>
        <v>0</v>
      </c>
      <c r="N274" s="6">
        <f t="shared" si="94"/>
        <v>0</v>
      </c>
      <c r="O274" s="6">
        <f t="shared" si="95"/>
        <v>0</v>
      </c>
      <c r="P274" s="6">
        <f t="shared" si="96"/>
        <v>0</v>
      </c>
      <c r="Q274" s="6">
        <f t="shared" si="97"/>
        <v>0</v>
      </c>
      <c r="R274" s="6">
        <f t="shared" si="98"/>
        <v>0</v>
      </c>
      <c r="S274" s="6">
        <f t="shared" si="99"/>
        <v>0</v>
      </c>
      <c r="T274" s="6">
        <f t="shared" si="100"/>
        <v>0</v>
      </c>
      <c r="U274" s="6">
        <f t="shared" si="101"/>
        <v>0</v>
      </c>
      <c r="V274" s="6">
        <f t="shared" si="102"/>
        <v>0</v>
      </c>
      <c r="W274" s="6">
        <f t="shared" si="103"/>
        <v>0</v>
      </c>
      <c r="X274" s="6">
        <f t="shared" si="104"/>
        <v>0</v>
      </c>
      <c r="Y274" s="6">
        <f t="shared" si="105"/>
        <v>0</v>
      </c>
      <c r="AA274" s="6" t="str">
        <f>IF(最佳化斷筋點!C274="","",最佳化斷筋點!C274)</f>
        <v/>
      </c>
      <c r="AB274" s="6" t="str">
        <f>IF(最佳化斷筋點!D274="","",最佳化斷筋點!D274)</f>
        <v/>
      </c>
      <c r="AC274" s="6" t="str">
        <f>IF(最佳化斷筋點!E274="","",最佳化斷筋點!E274)</f>
        <v/>
      </c>
      <c r="AD274" s="6" t="str">
        <f>IF(最佳化斷筋點!F274="","",最佳化斷筋點!F274)</f>
        <v/>
      </c>
      <c r="AE274" s="6" t="str">
        <f>IF(最佳化斷筋點!G274="","",最佳化斷筋點!G274)</f>
        <v/>
      </c>
      <c r="AF274" s="6" t="str">
        <f>IF(最佳化斷筋點!H274="","",最佳化斷筋點!H274)</f>
        <v/>
      </c>
      <c r="AG274" s="6" t="str">
        <f>IF(最佳化斷筋點!I274="","",最佳化斷筋點!I274)</f>
        <v/>
      </c>
      <c r="AH274" s="6" t="str">
        <f>IF(最佳化斷筋點!J274="","",最佳化斷筋點!J274)</f>
        <v/>
      </c>
      <c r="AI274" s="6" t="str">
        <f>IF(最佳化斷筋點!K274="","",最佳化斷筋點!K274)</f>
        <v/>
      </c>
      <c r="AJ274" s="6" t="str">
        <f>IF(最佳化斷筋點!L274="","",最佳化斷筋點!L274)</f>
        <v/>
      </c>
      <c r="AK274" s="6" t="str">
        <f>IF(最佳化斷筋點!M274="","",最佳化斷筋點!M274)</f>
        <v/>
      </c>
      <c r="AL274" s="6" t="str">
        <f>IF(最佳化斷筋點!N274="","",最佳化斷筋點!N274)</f>
        <v/>
      </c>
      <c r="AM274" s="6" t="str">
        <f>IF(最佳化斷筋點!O274="","",最佳化斷筋點!O274)</f>
        <v/>
      </c>
      <c r="AN274" s="6" t="str">
        <f>IF(最佳化斷筋點!P274="","",最佳化斷筋點!P274)</f>
        <v/>
      </c>
      <c r="AO274" s="6" t="str">
        <f>IF(最佳化斷筋點!Q274="","",最佳化斷筋點!Q274)</f>
        <v/>
      </c>
      <c r="AP274" s="6" t="str">
        <f>IF(最佳化斷筋點!R274="","",最佳化斷筋點!R274)</f>
        <v/>
      </c>
      <c r="AQ274" s="6" t="str">
        <f>IF(最佳化斷筋點!S274="","",最佳化斷筋點!S274)</f>
        <v/>
      </c>
      <c r="AR274" s="6" t="str">
        <f>IF(最佳化斷筋點!T274="","",最佳化斷筋點!T274)</f>
        <v/>
      </c>
      <c r="AS274" s="6" t="str">
        <f>IF(最佳化斷筋點!U274="","",最佳化斷筋點!U274)</f>
        <v/>
      </c>
      <c r="AT274" s="6" t="str">
        <f>IF(最佳化斷筋點!V274="","",最佳化斷筋點!V274)</f>
        <v/>
      </c>
      <c r="AU274" s="6" t="str">
        <f>IF(最佳化斷筋點!W274="","",最佳化斷筋點!W274)</f>
        <v/>
      </c>
      <c r="AV274" s="6" t="str">
        <f>IF(最佳化斷筋點!X274="","",最佳化斷筋點!X274)</f>
        <v/>
      </c>
    </row>
    <row r="275" spans="4:71" x14ac:dyDescent="0.25">
      <c r="D275" s="6" t="s">
        <v>50</v>
      </c>
      <c r="E275" s="6">
        <f t="shared" si="85"/>
        <v>0</v>
      </c>
      <c r="F275" s="6">
        <f t="shared" si="86"/>
        <v>0</v>
      </c>
      <c r="G275" s="6">
        <f t="shared" si="87"/>
        <v>0</v>
      </c>
      <c r="H275" s="6">
        <f t="shared" si="88"/>
        <v>0</v>
      </c>
      <c r="I275" s="6">
        <f t="shared" si="89"/>
        <v>0</v>
      </c>
      <c r="J275" s="6">
        <f t="shared" si="90"/>
        <v>0</v>
      </c>
      <c r="K275" s="6">
        <f t="shared" si="91"/>
        <v>0</v>
      </c>
      <c r="L275" s="6">
        <f t="shared" si="92"/>
        <v>0</v>
      </c>
      <c r="M275" s="6">
        <f t="shared" si="93"/>
        <v>0</v>
      </c>
      <c r="N275" s="6">
        <f t="shared" si="94"/>
        <v>0</v>
      </c>
      <c r="O275" s="6">
        <f t="shared" si="95"/>
        <v>0</v>
      </c>
      <c r="P275" s="6">
        <f t="shared" si="96"/>
        <v>0</v>
      </c>
      <c r="Q275" s="6">
        <f t="shared" si="97"/>
        <v>0</v>
      </c>
      <c r="R275" s="6">
        <f t="shared" si="98"/>
        <v>0</v>
      </c>
      <c r="S275" s="6">
        <f t="shared" si="99"/>
        <v>0</v>
      </c>
      <c r="T275" s="6">
        <f t="shared" si="100"/>
        <v>0</v>
      </c>
      <c r="U275" s="6">
        <f t="shared" si="101"/>
        <v>0</v>
      </c>
      <c r="V275" s="6">
        <f t="shared" si="102"/>
        <v>0</v>
      </c>
      <c r="W275" s="6">
        <f t="shared" si="103"/>
        <v>0</v>
      </c>
      <c r="X275" s="6">
        <f t="shared" si="104"/>
        <v>0</v>
      </c>
      <c r="Y275" s="6">
        <f t="shared" si="105"/>
        <v>0</v>
      </c>
      <c r="AA275" s="6" t="str">
        <f>IF(最佳化斷筋點!C275="","",最佳化斷筋點!C275)</f>
        <v>上層</v>
      </c>
      <c r="AB275" s="6">
        <f>IF(最佳化斷筋點!D275="","",最佳化斷筋點!D275)</f>
        <v>5</v>
      </c>
      <c r="AC275" s="6">
        <f>IF(最佳化斷筋點!E275="","",最佳化斷筋點!E275)</f>
        <v>5</v>
      </c>
      <c r="AD275" s="6">
        <f>IF(最佳化斷筋點!F275="","",最佳化斷筋點!F275)</f>
        <v>4</v>
      </c>
      <c r="AE275" s="6">
        <f>IF(最佳化斷筋點!G275="","",最佳化斷筋點!G275)</f>
        <v>4</v>
      </c>
      <c r="AF275" s="6">
        <f>IF(最佳化斷筋點!H275="","",最佳化斷筋點!H275)</f>
        <v>4</v>
      </c>
      <c r="AG275" s="6">
        <f>IF(最佳化斷筋點!I275="","",最佳化斷筋點!I275)</f>
        <v>3</v>
      </c>
      <c r="AH275" s="6">
        <f>IF(最佳化斷筋點!J275="","",最佳化斷筋點!J275)</f>
        <v>3</v>
      </c>
      <c r="AI275" s="6">
        <f>IF(最佳化斷筋點!K275="","",最佳化斷筋點!K275)</f>
        <v>2</v>
      </c>
      <c r="AJ275" s="6">
        <f>IF(最佳化斷筋點!L275="","",最佳化斷筋點!L275)</f>
        <v>2</v>
      </c>
      <c r="AK275" s="6">
        <f>IF(最佳化斷筋點!M275="","",最佳化斷筋點!M275)</f>
        <v>2</v>
      </c>
      <c r="AL275" s="6">
        <f>IF(最佳化斷筋點!N275="","",最佳化斷筋點!N275)</f>
        <v>2</v>
      </c>
      <c r="AM275" s="6">
        <f>IF(最佳化斷筋點!O275="","",最佳化斷筋點!O275)</f>
        <v>2</v>
      </c>
      <c r="AN275" s="6">
        <f>IF(最佳化斷筋點!P275="","",最佳化斷筋點!P275)</f>
        <v>2</v>
      </c>
      <c r="AO275" s="6">
        <f>IF(最佳化斷筋點!Q275="","",最佳化斷筋點!Q275)</f>
        <v>2</v>
      </c>
      <c r="AP275" s="6">
        <f>IF(最佳化斷筋點!R275="","",最佳化斷筋點!R275)</f>
        <v>2</v>
      </c>
      <c r="AQ275" s="6">
        <f>IF(最佳化斷筋點!S275="","",最佳化斷筋點!S275)</f>
        <v>3</v>
      </c>
      <c r="AR275" s="6">
        <f>IF(最佳化斷筋點!T275="","",最佳化斷筋點!T275)</f>
        <v>3</v>
      </c>
      <c r="AS275" s="6">
        <f>IF(最佳化斷筋點!U275="","",最佳化斷筋點!U275)</f>
        <v>4</v>
      </c>
      <c r="AT275" s="6">
        <f>IF(最佳化斷筋點!V275="","",最佳化斷筋點!V275)</f>
        <v>4</v>
      </c>
      <c r="AU275" s="6">
        <f>IF(最佳化斷筋點!W275="","",最佳化斷筋點!W275)</f>
        <v>5</v>
      </c>
      <c r="AV275" s="6">
        <f>IF(最佳化斷筋點!X275="","",最佳化斷筋點!X275)</f>
        <v>5</v>
      </c>
      <c r="AX275" s="6" t="s">
        <v>50</v>
      </c>
      <c r="AY275" s="6">
        <v>5</v>
      </c>
      <c r="AZ275" s="6">
        <v>5</v>
      </c>
      <c r="BA275" s="6">
        <v>4</v>
      </c>
      <c r="BB275" s="6">
        <v>4</v>
      </c>
      <c r="BC275" s="6">
        <v>4</v>
      </c>
      <c r="BD275" s="6">
        <v>3</v>
      </c>
      <c r="BE275" s="6">
        <v>3</v>
      </c>
      <c r="BF275" s="6">
        <v>2</v>
      </c>
      <c r="BG275" s="6">
        <v>2</v>
      </c>
      <c r="BH275" s="6">
        <v>2</v>
      </c>
      <c r="BI275" s="6">
        <v>2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</row>
    <row r="276" spans="4:71" x14ac:dyDescent="0.25">
      <c r="E276" s="6">
        <f t="shared" si="85"/>
        <v>0</v>
      </c>
      <c r="F276" s="6">
        <f t="shared" si="86"/>
        <v>0</v>
      </c>
      <c r="G276" s="6">
        <f t="shared" si="87"/>
        <v>0</v>
      </c>
      <c r="H276" s="6">
        <f t="shared" si="88"/>
        <v>0</v>
      </c>
      <c r="I276" s="6">
        <f t="shared" si="89"/>
        <v>0</v>
      </c>
      <c r="J276" s="6">
        <f t="shared" si="90"/>
        <v>0</v>
      </c>
      <c r="K276" s="6">
        <f t="shared" si="91"/>
        <v>0</v>
      </c>
      <c r="L276" s="6">
        <f t="shared" si="92"/>
        <v>0</v>
      </c>
      <c r="M276" s="6">
        <f t="shared" si="93"/>
        <v>0</v>
      </c>
      <c r="N276" s="6">
        <f t="shared" si="94"/>
        <v>0</v>
      </c>
      <c r="O276" s="6">
        <f t="shared" si="95"/>
        <v>0</v>
      </c>
      <c r="P276" s="6">
        <f t="shared" si="96"/>
        <v>0</v>
      </c>
      <c r="Q276" s="6">
        <f t="shared" si="97"/>
        <v>0</v>
      </c>
      <c r="R276" s="6">
        <f t="shared" si="98"/>
        <v>0</v>
      </c>
      <c r="S276" s="6">
        <f t="shared" si="99"/>
        <v>0</v>
      </c>
      <c r="T276" s="6">
        <f t="shared" si="100"/>
        <v>0</v>
      </c>
      <c r="U276" s="6">
        <f t="shared" si="101"/>
        <v>0</v>
      </c>
      <c r="V276" s="6">
        <f t="shared" si="102"/>
        <v>0</v>
      </c>
      <c r="W276" s="6">
        <f t="shared" si="103"/>
        <v>0</v>
      </c>
      <c r="X276" s="6">
        <f t="shared" si="104"/>
        <v>0</v>
      </c>
      <c r="Y276" s="6">
        <f t="shared" si="105"/>
        <v>0</v>
      </c>
      <c r="AA276" s="6" t="str">
        <f>IF(最佳化斷筋點!C276="","",最佳化斷筋點!C276)</f>
        <v/>
      </c>
      <c r="AB276" s="6" t="str">
        <f>IF(最佳化斷筋點!D276="","",最佳化斷筋點!D276)</f>
        <v/>
      </c>
      <c r="AC276" s="6" t="str">
        <f>IF(最佳化斷筋點!E276="","",最佳化斷筋點!E276)</f>
        <v/>
      </c>
      <c r="AD276" s="6" t="str">
        <f>IF(最佳化斷筋點!F276="","",最佳化斷筋點!F276)</f>
        <v/>
      </c>
      <c r="AE276" s="6" t="str">
        <f>IF(最佳化斷筋點!G276="","",最佳化斷筋點!G276)</f>
        <v/>
      </c>
      <c r="AF276" s="6" t="str">
        <f>IF(最佳化斷筋點!H276="","",最佳化斷筋點!H276)</f>
        <v/>
      </c>
      <c r="AG276" s="6" t="str">
        <f>IF(最佳化斷筋點!I276="","",最佳化斷筋點!I276)</f>
        <v/>
      </c>
      <c r="AH276" s="6" t="str">
        <f>IF(最佳化斷筋點!J276="","",最佳化斷筋點!J276)</f>
        <v/>
      </c>
      <c r="AI276" s="6" t="str">
        <f>IF(最佳化斷筋點!K276="","",最佳化斷筋點!K276)</f>
        <v/>
      </c>
      <c r="AJ276" s="6" t="str">
        <f>IF(最佳化斷筋點!L276="","",最佳化斷筋點!L276)</f>
        <v/>
      </c>
      <c r="AK276" s="6" t="str">
        <f>IF(最佳化斷筋點!M276="","",最佳化斷筋點!M276)</f>
        <v/>
      </c>
      <c r="AL276" s="6" t="str">
        <f>IF(最佳化斷筋點!N276="","",最佳化斷筋點!N276)</f>
        <v/>
      </c>
      <c r="AM276" s="6" t="str">
        <f>IF(最佳化斷筋點!O276="","",最佳化斷筋點!O276)</f>
        <v/>
      </c>
      <c r="AN276" s="6" t="str">
        <f>IF(最佳化斷筋點!P276="","",最佳化斷筋點!P276)</f>
        <v/>
      </c>
      <c r="AO276" s="6" t="str">
        <f>IF(最佳化斷筋點!Q276="","",最佳化斷筋點!Q276)</f>
        <v/>
      </c>
      <c r="AP276" s="6" t="str">
        <f>IF(最佳化斷筋點!R276="","",最佳化斷筋點!R276)</f>
        <v/>
      </c>
      <c r="AQ276" s="6" t="str">
        <f>IF(最佳化斷筋點!S276="","",最佳化斷筋點!S276)</f>
        <v/>
      </c>
      <c r="AR276" s="6" t="str">
        <f>IF(最佳化斷筋點!T276="","",最佳化斷筋點!T276)</f>
        <v/>
      </c>
      <c r="AS276" s="6" t="str">
        <f>IF(最佳化斷筋點!U276="","",最佳化斷筋點!U276)</f>
        <v/>
      </c>
      <c r="AT276" s="6" t="str">
        <f>IF(最佳化斷筋點!V276="","",最佳化斷筋點!V276)</f>
        <v/>
      </c>
      <c r="AU276" s="6" t="str">
        <f>IF(最佳化斷筋點!W276="","",最佳化斷筋點!W276)</f>
        <v/>
      </c>
      <c r="AV276" s="6" t="str">
        <f>IF(最佳化斷筋點!X276="","",最佳化斷筋點!X276)</f>
        <v/>
      </c>
    </row>
    <row r="277" spans="4:71" x14ac:dyDescent="0.25">
      <c r="D277" s="6" t="s">
        <v>51</v>
      </c>
      <c r="E277" s="6">
        <f t="shared" si="85"/>
        <v>0</v>
      </c>
      <c r="F277" s="6">
        <f t="shared" si="86"/>
        <v>0</v>
      </c>
      <c r="G277" s="6">
        <f t="shared" si="87"/>
        <v>0</v>
      </c>
      <c r="H277" s="6">
        <f t="shared" si="88"/>
        <v>0</v>
      </c>
      <c r="I277" s="6">
        <f t="shared" si="89"/>
        <v>0</v>
      </c>
      <c r="J277" s="6">
        <f t="shared" si="90"/>
        <v>0</v>
      </c>
      <c r="K277" s="6">
        <f t="shared" si="91"/>
        <v>0</v>
      </c>
      <c r="L277" s="6">
        <f t="shared" si="92"/>
        <v>0</v>
      </c>
      <c r="M277" s="6">
        <f t="shared" si="93"/>
        <v>0</v>
      </c>
      <c r="N277" s="6">
        <f t="shared" si="94"/>
        <v>0</v>
      </c>
      <c r="O277" s="6">
        <f t="shared" si="95"/>
        <v>0</v>
      </c>
      <c r="P277" s="6">
        <f t="shared" si="96"/>
        <v>0</v>
      </c>
      <c r="Q277" s="6">
        <f t="shared" si="97"/>
        <v>0</v>
      </c>
      <c r="R277" s="6">
        <f t="shared" si="98"/>
        <v>0</v>
      </c>
      <c r="S277" s="6">
        <f t="shared" si="99"/>
        <v>0</v>
      </c>
      <c r="T277" s="6">
        <f t="shared" si="100"/>
        <v>0</v>
      </c>
      <c r="U277" s="6">
        <f t="shared" si="101"/>
        <v>0</v>
      </c>
      <c r="V277" s="6">
        <f t="shared" si="102"/>
        <v>0</v>
      </c>
      <c r="W277" s="6">
        <f t="shared" si="103"/>
        <v>0</v>
      </c>
      <c r="X277" s="6">
        <f t="shared" si="104"/>
        <v>0</v>
      </c>
      <c r="Y277" s="6">
        <f t="shared" si="105"/>
        <v>0</v>
      </c>
      <c r="AA277" s="6" t="str">
        <f>IF(最佳化斷筋點!C277="","",最佳化斷筋點!C277)</f>
        <v>下層</v>
      </c>
      <c r="AB277" s="6">
        <f>IF(最佳化斷筋點!D277="","",最佳化斷筋點!D277)</f>
        <v>3</v>
      </c>
      <c r="AC277" s="6">
        <f>IF(最佳化斷筋點!E277="","",最佳化斷筋點!E277)</f>
        <v>3</v>
      </c>
      <c r="AD277" s="6">
        <f>IF(最佳化斷筋點!F277="","",最佳化斷筋點!F277)</f>
        <v>3</v>
      </c>
      <c r="AE277" s="6">
        <f>IF(最佳化斷筋點!G277="","",最佳化斷筋點!G277)</f>
        <v>3</v>
      </c>
      <c r="AF277" s="6">
        <f>IF(最佳化斷筋點!H277="","",最佳化斷筋點!H277)</f>
        <v>3</v>
      </c>
      <c r="AG277" s="6">
        <f>IF(最佳化斷筋點!I277="","",最佳化斷筋點!I277)</f>
        <v>3</v>
      </c>
      <c r="AH277" s="6">
        <f>IF(最佳化斷筋點!J277="","",最佳化斷筋點!J277)</f>
        <v>4</v>
      </c>
      <c r="AI277" s="6">
        <f>IF(最佳化斷筋點!K277="","",最佳化斷筋點!K277)</f>
        <v>4</v>
      </c>
      <c r="AJ277" s="6">
        <f>IF(最佳化斷筋點!L277="","",最佳化斷筋點!L277)</f>
        <v>4</v>
      </c>
      <c r="AK277" s="6">
        <f>IF(最佳化斷筋點!M277="","",最佳化斷筋點!M277)</f>
        <v>4</v>
      </c>
      <c r="AL277" s="6">
        <f>IF(最佳化斷筋點!N277="","",最佳化斷筋點!N277)</f>
        <v>4</v>
      </c>
      <c r="AM277" s="6">
        <f>IF(最佳化斷筋點!O277="","",最佳化斷筋點!O277)</f>
        <v>4</v>
      </c>
      <c r="AN277" s="6">
        <f>IF(最佳化斷筋點!P277="","",最佳化斷筋點!P277)</f>
        <v>4</v>
      </c>
      <c r="AO277" s="6">
        <f>IF(最佳化斷筋點!Q277="","",最佳化斷筋點!Q277)</f>
        <v>4</v>
      </c>
      <c r="AP277" s="6">
        <f>IF(最佳化斷筋點!R277="","",最佳化斷筋點!R277)</f>
        <v>4</v>
      </c>
      <c r="AQ277" s="6">
        <f>IF(最佳化斷筋點!S277="","",最佳化斷筋點!S277)</f>
        <v>3</v>
      </c>
      <c r="AR277" s="6">
        <f>IF(最佳化斷筋點!T277="","",最佳化斷筋點!T277)</f>
        <v>3</v>
      </c>
      <c r="AS277" s="6">
        <f>IF(最佳化斷筋點!U277="","",最佳化斷筋點!U277)</f>
        <v>3</v>
      </c>
      <c r="AT277" s="6">
        <f>IF(最佳化斷筋點!V277="","",最佳化斷筋點!V277)</f>
        <v>3</v>
      </c>
      <c r="AU277" s="6">
        <f>IF(最佳化斷筋點!W277="","",最佳化斷筋點!W277)</f>
        <v>3</v>
      </c>
      <c r="AV277" s="6">
        <f>IF(最佳化斷筋點!X277="","",最佳化斷筋點!X277)</f>
        <v>3</v>
      </c>
      <c r="AX277" s="6" t="s">
        <v>51</v>
      </c>
      <c r="AY277" s="6">
        <v>3</v>
      </c>
      <c r="AZ277" s="6">
        <v>3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3</v>
      </c>
      <c r="BO277" s="6">
        <v>3</v>
      </c>
      <c r="BP277" s="6">
        <v>3</v>
      </c>
      <c r="BQ277" s="6">
        <v>3</v>
      </c>
      <c r="BR277" s="6">
        <v>3</v>
      </c>
      <c r="BS277" s="6">
        <v>3</v>
      </c>
    </row>
    <row r="278" spans="4:71" x14ac:dyDescent="0.25">
      <c r="E278" s="6">
        <f t="shared" si="85"/>
        <v>0</v>
      </c>
      <c r="F278" s="6">
        <f t="shared" si="86"/>
        <v>0</v>
      </c>
      <c r="G278" s="6">
        <f t="shared" si="87"/>
        <v>0</v>
      </c>
      <c r="H278" s="6">
        <f t="shared" si="88"/>
        <v>0</v>
      </c>
      <c r="I278" s="6">
        <f t="shared" si="89"/>
        <v>0</v>
      </c>
      <c r="J278" s="6">
        <f t="shared" si="90"/>
        <v>0</v>
      </c>
      <c r="K278" s="6">
        <f t="shared" si="91"/>
        <v>0</v>
      </c>
      <c r="L278" s="6">
        <f t="shared" si="92"/>
        <v>0</v>
      </c>
      <c r="M278" s="6">
        <f t="shared" si="93"/>
        <v>0</v>
      </c>
      <c r="N278" s="6">
        <f t="shared" si="94"/>
        <v>0</v>
      </c>
      <c r="O278" s="6">
        <f t="shared" si="95"/>
        <v>0</v>
      </c>
      <c r="P278" s="6">
        <f t="shared" si="96"/>
        <v>0</v>
      </c>
      <c r="Q278" s="6">
        <f t="shared" si="97"/>
        <v>0</v>
      </c>
      <c r="R278" s="6">
        <f t="shared" si="98"/>
        <v>0</v>
      </c>
      <c r="S278" s="6">
        <f t="shared" si="99"/>
        <v>0</v>
      </c>
      <c r="T278" s="6">
        <f t="shared" si="100"/>
        <v>0</v>
      </c>
      <c r="U278" s="6">
        <f t="shared" si="101"/>
        <v>0</v>
      </c>
      <c r="V278" s="6">
        <f t="shared" si="102"/>
        <v>0</v>
      </c>
      <c r="W278" s="6">
        <f t="shared" si="103"/>
        <v>0</v>
      </c>
      <c r="X278" s="6">
        <f t="shared" si="104"/>
        <v>0</v>
      </c>
      <c r="Y278" s="6">
        <f t="shared" si="105"/>
        <v>0</v>
      </c>
      <c r="AA278" s="6" t="str">
        <f>IF(最佳化斷筋點!C278="","",最佳化斷筋點!C278)</f>
        <v/>
      </c>
      <c r="AB278" s="6" t="str">
        <f>IF(最佳化斷筋點!D278="","",最佳化斷筋點!D278)</f>
        <v/>
      </c>
      <c r="AC278" s="6" t="str">
        <f>IF(最佳化斷筋點!E278="","",最佳化斷筋點!E278)</f>
        <v/>
      </c>
      <c r="AD278" s="6" t="str">
        <f>IF(最佳化斷筋點!F278="","",最佳化斷筋點!F278)</f>
        <v/>
      </c>
      <c r="AE278" s="6" t="str">
        <f>IF(最佳化斷筋點!G278="","",最佳化斷筋點!G278)</f>
        <v/>
      </c>
      <c r="AF278" s="6" t="str">
        <f>IF(最佳化斷筋點!H278="","",最佳化斷筋點!H278)</f>
        <v/>
      </c>
      <c r="AG278" s="6" t="str">
        <f>IF(最佳化斷筋點!I278="","",最佳化斷筋點!I278)</f>
        <v/>
      </c>
      <c r="AH278" s="6" t="str">
        <f>IF(最佳化斷筋點!J278="","",最佳化斷筋點!J278)</f>
        <v/>
      </c>
      <c r="AI278" s="6" t="str">
        <f>IF(最佳化斷筋點!K278="","",最佳化斷筋點!K278)</f>
        <v/>
      </c>
      <c r="AJ278" s="6" t="str">
        <f>IF(最佳化斷筋點!L278="","",最佳化斷筋點!L278)</f>
        <v/>
      </c>
      <c r="AK278" s="6" t="str">
        <f>IF(最佳化斷筋點!M278="","",最佳化斷筋點!M278)</f>
        <v/>
      </c>
      <c r="AL278" s="6" t="str">
        <f>IF(最佳化斷筋點!N278="","",最佳化斷筋點!N278)</f>
        <v/>
      </c>
      <c r="AM278" s="6" t="str">
        <f>IF(最佳化斷筋點!O278="","",最佳化斷筋點!O278)</f>
        <v/>
      </c>
      <c r="AN278" s="6" t="str">
        <f>IF(最佳化斷筋點!P278="","",最佳化斷筋點!P278)</f>
        <v/>
      </c>
      <c r="AO278" s="6" t="str">
        <f>IF(最佳化斷筋點!Q278="","",最佳化斷筋點!Q278)</f>
        <v/>
      </c>
      <c r="AP278" s="6" t="str">
        <f>IF(最佳化斷筋點!R278="","",最佳化斷筋點!R278)</f>
        <v/>
      </c>
      <c r="AQ278" s="6" t="str">
        <f>IF(最佳化斷筋點!S278="","",最佳化斷筋點!S278)</f>
        <v/>
      </c>
      <c r="AR278" s="6" t="str">
        <f>IF(最佳化斷筋點!T278="","",最佳化斷筋點!T278)</f>
        <v/>
      </c>
      <c r="AS278" s="6" t="str">
        <f>IF(最佳化斷筋點!U278="","",最佳化斷筋點!U278)</f>
        <v/>
      </c>
      <c r="AT278" s="6" t="str">
        <f>IF(最佳化斷筋點!V278="","",最佳化斷筋點!V278)</f>
        <v/>
      </c>
      <c r="AU278" s="6" t="str">
        <f>IF(最佳化斷筋點!W278="","",最佳化斷筋點!W278)</f>
        <v/>
      </c>
      <c r="AV278" s="6" t="str">
        <f>IF(最佳化斷筋點!X278="","",最佳化斷筋點!X278)</f>
        <v/>
      </c>
    </row>
    <row r="279" spans="4:71" x14ac:dyDescent="0.25">
      <c r="D279" s="6" t="s">
        <v>50</v>
      </c>
      <c r="E279" s="6">
        <f t="shared" si="85"/>
        <v>0</v>
      </c>
      <c r="F279" s="6">
        <f t="shared" si="86"/>
        <v>0</v>
      </c>
      <c r="G279" s="6">
        <f t="shared" si="87"/>
        <v>0</v>
      </c>
      <c r="H279" s="6">
        <f t="shared" si="88"/>
        <v>0</v>
      </c>
      <c r="I279" s="6">
        <f t="shared" si="89"/>
        <v>0</v>
      </c>
      <c r="J279" s="6">
        <f t="shared" si="90"/>
        <v>0</v>
      </c>
      <c r="K279" s="6">
        <f t="shared" si="91"/>
        <v>0</v>
      </c>
      <c r="L279" s="6">
        <f t="shared" si="92"/>
        <v>0</v>
      </c>
      <c r="M279" s="6">
        <f t="shared" si="93"/>
        <v>0</v>
      </c>
      <c r="N279" s="6">
        <f t="shared" si="94"/>
        <v>0</v>
      </c>
      <c r="O279" s="6">
        <f t="shared" si="95"/>
        <v>0</v>
      </c>
      <c r="P279" s="6">
        <f t="shared" si="96"/>
        <v>0</v>
      </c>
      <c r="Q279" s="6">
        <f t="shared" si="97"/>
        <v>0</v>
      </c>
      <c r="R279" s="6">
        <f t="shared" si="98"/>
        <v>0</v>
      </c>
      <c r="S279" s="6">
        <f t="shared" si="99"/>
        <v>0</v>
      </c>
      <c r="T279" s="6">
        <f t="shared" si="100"/>
        <v>0</v>
      </c>
      <c r="U279" s="6">
        <f t="shared" si="101"/>
        <v>0</v>
      </c>
      <c r="V279" s="6">
        <f t="shared" si="102"/>
        <v>0</v>
      </c>
      <c r="W279" s="6">
        <f t="shared" si="103"/>
        <v>0</v>
      </c>
      <c r="X279" s="6">
        <f t="shared" si="104"/>
        <v>0</v>
      </c>
      <c r="Y279" s="6">
        <f t="shared" si="105"/>
        <v>0</v>
      </c>
      <c r="AA279" s="6" t="str">
        <f>IF(最佳化斷筋點!C279="","",最佳化斷筋點!C279)</f>
        <v>上層</v>
      </c>
      <c r="AB279" s="6">
        <f>IF(最佳化斷筋點!D279="","",最佳化斷筋點!D279)</f>
        <v>5</v>
      </c>
      <c r="AC279" s="6">
        <f>IF(最佳化斷筋點!E279="","",最佳化斷筋點!E279)</f>
        <v>5</v>
      </c>
      <c r="AD279" s="6">
        <f>IF(最佳化斷筋點!F279="","",最佳化斷筋點!F279)</f>
        <v>4</v>
      </c>
      <c r="AE279" s="6">
        <f>IF(最佳化斷筋點!G279="","",最佳化斷筋點!G279)</f>
        <v>4</v>
      </c>
      <c r="AF279" s="6">
        <f>IF(最佳化斷筋點!H279="","",最佳化斷筋點!H279)</f>
        <v>4</v>
      </c>
      <c r="AG279" s="6">
        <f>IF(最佳化斷筋點!I279="","",最佳化斷筋點!I279)</f>
        <v>3</v>
      </c>
      <c r="AH279" s="6">
        <f>IF(最佳化斷筋點!J279="","",最佳化斷筋點!J279)</f>
        <v>3</v>
      </c>
      <c r="AI279" s="6">
        <f>IF(最佳化斷筋點!K279="","",最佳化斷筋點!K279)</f>
        <v>2</v>
      </c>
      <c r="AJ279" s="6">
        <f>IF(最佳化斷筋點!L279="","",最佳化斷筋點!L279)</f>
        <v>2</v>
      </c>
      <c r="AK279" s="6">
        <f>IF(最佳化斷筋點!M279="","",最佳化斷筋點!M279)</f>
        <v>2</v>
      </c>
      <c r="AL279" s="6">
        <f>IF(最佳化斷筋點!N279="","",最佳化斷筋點!N279)</f>
        <v>2</v>
      </c>
      <c r="AM279" s="6">
        <f>IF(最佳化斷筋點!O279="","",最佳化斷筋點!O279)</f>
        <v>2</v>
      </c>
      <c r="AN279" s="6">
        <f>IF(最佳化斷筋點!P279="","",最佳化斷筋點!P279)</f>
        <v>2</v>
      </c>
      <c r="AO279" s="6">
        <f>IF(最佳化斷筋點!Q279="","",最佳化斷筋點!Q279)</f>
        <v>2</v>
      </c>
      <c r="AP279" s="6">
        <f>IF(最佳化斷筋點!R279="","",最佳化斷筋點!R279)</f>
        <v>2</v>
      </c>
      <c r="AQ279" s="6">
        <f>IF(最佳化斷筋點!S279="","",最佳化斷筋點!S279)</f>
        <v>2</v>
      </c>
      <c r="AR279" s="6">
        <f>IF(最佳化斷筋點!T279="","",最佳化斷筋點!T279)</f>
        <v>2</v>
      </c>
      <c r="AS279" s="6">
        <f>IF(最佳化斷筋點!U279="","",最佳化斷筋點!U279)</f>
        <v>2</v>
      </c>
      <c r="AT279" s="6">
        <f>IF(最佳化斷筋點!V279="","",最佳化斷筋點!V279)</f>
        <v>2</v>
      </c>
      <c r="AU279" s="6">
        <f>IF(最佳化斷筋點!W279="","",最佳化斷筋點!W279)</f>
        <v>2</v>
      </c>
      <c r="AV279" s="6">
        <f>IF(最佳化斷筋點!X279="","",最佳化斷筋點!X279)</f>
        <v>2</v>
      </c>
      <c r="AX279" s="6" t="s">
        <v>50</v>
      </c>
      <c r="AY279" s="6">
        <v>5</v>
      </c>
      <c r="AZ279" s="6">
        <v>5</v>
      </c>
      <c r="BA279" s="6">
        <v>4</v>
      </c>
      <c r="BB279" s="6">
        <v>4</v>
      </c>
      <c r="BC279" s="6">
        <v>4</v>
      </c>
      <c r="BD279" s="6">
        <v>3</v>
      </c>
      <c r="BE279" s="6">
        <v>3</v>
      </c>
      <c r="BF279" s="6">
        <v>2</v>
      </c>
      <c r="BG279" s="6">
        <v>2</v>
      </c>
      <c r="BH279" s="6">
        <v>2</v>
      </c>
      <c r="BI279" s="6">
        <v>2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</row>
    <row r="280" spans="4:71" x14ac:dyDescent="0.25">
      <c r="E280" s="6">
        <f t="shared" si="85"/>
        <v>0</v>
      </c>
      <c r="F280" s="6">
        <f t="shared" si="86"/>
        <v>0</v>
      </c>
      <c r="G280" s="6">
        <f t="shared" si="87"/>
        <v>0</v>
      </c>
      <c r="H280" s="6">
        <f t="shared" si="88"/>
        <v>0</v>
      </c>
      <c r="I280" s="6">
        <f t="shared" si="89"/>
        <v>0</v>
      </c>
      <c r="J280" s="6">
        <f t="shared" si="90"/>
        <v>0</v>
      </c>
      <c r="K280" s="6">
        <f t="shared" si="91"/>
        <v>0</v>
      </c>
      <c r="L280" s="6">
        <f t="shared" si="92"/>
        <v>0</v>
      </c>
      <c r="M280" s="6">
        <f t="shared" si="93"/>
        <v>0</v>
      </c>
      <c r="N280" s="6">
        <f t="shared" si="94"/>
        <v>0</v>
      </c>
      <c r="O280" s="6">
        <f t="shared" si="95"/>
        <v>0</v>
      </c>
      <c r="P280" s="6">
        <f t="shared" si="96"/>
        <v>0</v>
      </c>
      <c r="Q280" s="6">
        <f t="shared" si="97"/>
        <v>0</v>
      </c>
      <c r="R280" s="6">
        <f t="shared" si="98"/>
        <v>0</v>
      </c>
      <c r="S280" s="6">
        <f t="shared" si="99"/>
        <v>0</v>
      </c>
      <c r="T280" s="6">
        <f t="shared" si="100"/>
        <v>0</v>
      </c>
      <c r="U280" s="6">
        <f t="shared" si="101"/>
        <v>0</v>
      </c>
      <c r="V280" s="6">
        <f t="shared" si="102"/>
        <v>0</v>
      </c>
      <c r="W280" s="6">
        <f t="shared" si="103"/>
        <v>0</v>
      </c>
      <c r="X280" s="6">
        <f t="shared" si="104"/>
        <v>0</v>
      </c>
      <c r="Y280" s="6">
        <f t="shared" si="105"/>
        <v>0</v>
      </c>
      <c r="AA280" s="6" t="str">
        <f>IF(最佳化斷筋點!C280="","",最佳化斷筋點!C280)</f>
        <v/>
      </c>
      <c r="AB280" s="6" t="str">
        <f>IF(最佳化斷筋點!D280="","",最佳化斷筋點!D280)</f>
        <v/>
      </c>
      <c r="AC280" s="6" t="str">
        <f>IF(最佳化斷筋點!E280="","",最佳化斷筋點!E280)</f>
        <v/>
      </c>
      <c r="AD280" s="6" t="str">
        <f>IF(最佳化斷筋點!F280="","",最佳化斷筋點!F280)</f>
        <v/>
      </c>
      <c r="AE280" s="6" t="str">
        <f>IF(最佳化斷筋點!G280="","",最佳化斷筋點!G280)</f>
        <v/>
      </c>
      <c r="AF280" s="6" t="str">
        <f>IF(最佳化斷筋點!H280="","",最佳化斷筋點!H280)</f>
        <v/>
      </c>
      <c r="AG280" s="6" t="str">
        <f>IF(最佳化斷筋點!I280="","",最佳化斷筋點!I280)</f>
        <v/>
      </c>
      <c r="AH280" s="6" t="str">
        <f>IF(最佳化斷筋點!J280="","",最佳化斷筋點!J280)</f>
        <v/>
      </c>
      <c r="AI280" s="6" t="str">
        <f>IF(最佳化斷筋點!K280="","",最佳化斷筋點!K280)</f>
        <v/>
      </c>
      <c r="AJ280" s="6" t="str">
        <f>IF(最佳化斷筋點!L280="","",最佳化斷筋點!L280)</f>
        <v/>
      </c>
      <c r="AK280" s="6" t="str">
        <f>IF(最佳化斷筋點!M280="","",最佳化斷筋點!M280)</f>
        <v/>
      </c>
      <c r="AL280" s="6" t="str">
        <f>IF(最佳化斷筋點!N280="","",最佳化斷筋點!N280)</f>
        <v/>
      </c>
      <c r="AM280" s="6" t="str">
        <f>IF(最佳化斷筋點!O280="","",最佳化斷筋點!O280)</f>
        <v/>
      </c>
      <c r="AN280" s="6" t="str">
        <f>IF(最佳化斷筋點!P280="","",最佳化斷筋點!P280)</f>
        <v/>
      </c>
      <c r="AO280" s="6" t="str">
        <f>IF(最佳化斷筋點!Q280="","",最佳化斷筋點!Q280)</f>
        <v/>
      </c>
      <c r="AP280" s="6" t="str">
        <f>IF(最佳化斷筋點!R280="","",最佳化斷筋點!R280)</f>
        <v/>
      </c>
      <c r="AQ280" s="6" t="str">
        <f>IF(最佳化斷筋點!S280="","",最佳化斷筋點!S280)</f>
        <v/>
      </c>
      <c r="AR280" s="6" t="str">
        <f>IF(最佳化斷筋點!T280="","",最佳化斷筋點!T280)</f>
        <v/>
      </c>
      <c r="AS280" s="6" t="str">
        <f>IF(最佳化斷筋點!U280="","",最佳化斷筋點!U280)</f>
        <v/>
      </c>
      <c r="AT280" s="6" t="str">
        <f>IF(最佳化斷筋點!V280="","",最佳化斷筋點!V280)</f>
        <v/>
      </c>
      <c r="AU280" s="6" t="str">
        <f>IF(最佳化斷筋點!W280="","",最佳化斷筋點!W280)</f>
        <v/>
      </c>
      <c r="AV280" s="6" t="str">
        <f>IF(最佳化斷筋點!X280="","",最佳化斷筋點!X280)</f>
        <v/>
      </c>
    </row>
    <row r="281" spans="4:71" x14ac:dyDescent="0.25">
      <c r="D281" s="6" t="s">
        <v>51</v>
      </c>
      <c r="E281" s="6">
        <f t="shared" si="85"/>
        <v>0</v>
      </c>
      <c r="F281" s="6">
        <f t="shared" si="86"/>
        <v>0</v>
      </c>
      <c r="G281" s="6">
        <f t="shared" si="87"/>
        <v>0</v>
      </c>
      <c r="H281" s="6">
        <f t="shared" si="88"/>
        <v>0</v>
      </c>
      <c r="I281" s="6">
        <f t="shared" si="89"/>
        <v>0</v>
      </c>
      <c r="J281" s="6">
        <f t="shared" si="90"/>
        <v>0</v>
      </c>
      <c r="K281" s="6">
        <f t="shared" si="91"/>
        <v>0</v>
      </c>
      <c r="L281" s="6">
        <f t="shared" si="92"/>
        <v>0</v>
      </c>
      <c r="M281" s="6">
        <f t="shared" si="93"/>
        <v>0</v>
      </c>
      <c r="N281" s="6">
        <f t="shared" si="94"/>
        <v>0</v>
      </c>
      <c r="O281" s="6">
        <f t="shared" si="95"/>
        <v>0</v>
      </c>
      <c r="P281" s="6">
        <f t="shared" si="96"/>
        <v>0</v>
      </c>
      <c r="Q281" s="6">
        <f t="shared" si="97"/>
        <v>0</v>
      </c>
      <c r="R281" s="6">
        <f t="shared" si="98"/>
        <v>0</v>
      </c>
      <c r="S281" s="6">
        <f t="shared" si="99"/>
        <v>0</v>
      </c>
      <c r="T281" s="6">
        <f t="shared" si="100"/>
        <v>0</v>
      </c>
      <c r="U281" s="6">
        <f t="shared" si="101"/>
        <v>0</v>
      </c>
      <c r="V281" s="6">
        <f t="shared" si="102"/>
        <v>0</v>
      </c>
      <c r="W281" s="6">
        <f t="shared" si="103"/>
        <v>0</v>
      </c>
      <c r="X281" s="6">
        <f t="shared" si="104"/>
        <v>0</v>
      </c>
      <c r="Y281" s="6">
        <f t="shared" si="105"/>
        <v>0</v>
      </c>
      <c r="AA281" s="6" t="str">
        <f>IF(最佳化斷筋點!C281="","",最佳化斷筋點!C281)</f>
        <v>下層</v>
      </c>
      <c r="AB281" s="6">
        <f>IF(最佳化斷筋點!D281="","",最佳化斷筋點!D281)</f>
        <v>3</v>
      </c>
      <c r="AC281" s="6">
        <f>IF(最佳化斷筋點!E281="","",最佳化斷筋點!E281)</f>
        <v>3</v>
      </c>
      <c r="AD281" s="6">
        <f>IF(最佳化斷筋點!F281="","",最佳化斷筋點!F281)</f>
        <v>3</v>
      </c>
      <c r="AE281" s="6">
        <f>IF(最佳化斷筋點!G281="","",最佳化斷筋點!G281)</f>
        <v>3</v>
      </c>
      <c r="AF281" s="6">
        <f>IF(最佳化斷筋點!H281="","",最佳化斷筋點!H281)</f>
        <v>3</v>
      </c>
      <c r="AG281" s="6">
        <f>IF(最佳化斷筋點!I281="","",最佳化斷筋點!I281)</f>
        <v>3</v>
      </c>
      <c r="AH281" s="6">
        <f>IF(最佳化斷筋點!J281="","",最佳化斷筋點!J281)</f>
        <v>4</v>
      </c>
      <c r="AI281" s="6">
        <f>IF(最佳化斷筋點!K281="","",最佳化斷筋點!K281)</f>
        <v>4</v>
      </c>
      <c r="AJ281" s="6">
        <f>IF(最佳化斷筋點!L281="","",最佳化斷筋點!L281)</f>
        <v>4</v>
      </c>
      <c r="AK281" s="6">
        <f>IF(最佳化斷筋點!M281="","",最佳化斷筋點!M281)</f>
        <v>4</v>
      </c>
      <c r="AL281" s="6">
        <f>IF(最佳化斷筋點!N281="","",最佳化斷筋點!N281)</f>
        <v>4</v>
      </c>
      <c r="AM281" s="6">
        <f>IF(最佳化斷筋點!O281="","",最佳化斷筋點!O281)</f>
        <v>4</v>
      </c>
      <c r="AN281" s="6">
        <f>IF(最佳化斷筋點!P281="","",最佳化斷筋點!P281)</f>
        <v>4</v>
      </c>
      <c r="AO281" s="6">
        <f>IF(最佳化斷筋點!Q281="","",最佳化斷筋點!Q281)</f>
        <v>4</v>
      </c>
      <c r="AP281" s="6">
        <f>IF(最佳化斷筋點!R281="","",最佳化斷筋點!R281)</f>
        <v>4</v>
      </c>
      <c r="AQ281" s="6">
        <f>IF(最佳化斷筋點!S281="","",最佳化斷筋點!S281)</f>
        <v>3</v>
      </c>
      <c r="AR281" s="6">
        <f>IF(最佳化斷筋點!T281="","",最佳化斷筋點!T281)</f>
        <v>3</v>
      </c>
      <c r="AS281" s="6">
        <f>IF(最佳化斷筋點!U281="","",最佳化斷筋點!U281)</f>
        <v>3</v>
      </c>
      <c r="AT281" s="6">
        <f>IF(最佳化斷筋點!V281="","",最佳化斷筋點!V281)</f>
        <v>4</v>
      </c>
      <c r="AU281" s="6">
        <f>IF(最佳化斷筋點!W281="","",最佳化斷筋點!W281)</f>
        <v>4</v>
      </c>
      <c r="AV281" s="6">
        <f>IF(最佳化斷筋點!X281="","",最佳化斷筋點!X281)</f>
        <v>4</v>
      </c>
      <c r="AX281" s="6" t="s">
        <v>51</v>
      </c>
      <c r="AY281" s="6">
        <v>3</v>
      </c>
      <c r="AZ281" s="6">
        <v>3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3</v>
      </c>
      <c r="BO281" s="6">
        <v>3</v>
      </c>
      <c r="BP281" s="6">
        <v>3</v>
      </c>
      <c r="BQ281" s="6">
        <v>4</v>
      </c>
      <c r="BR281" s="6">
        <v>4</v>
      </c>
      <c r="BS281" s="6">
        <v>4</v>
      </c>
    </row>
    <row r="282" spans="4:71" x14ac:dyDescent="0.25">
      <c r="E282" s="6">
        <f t="shared" si="85"/>
        <v>0</v>
      </c>
      <c r="F282" s="6">
        <f t="shared" si="86"/>
        <v>0</v>
      </c>
      <c r="G282" s="6">
        <f t="shared" si="87"/>
        <v>0</v>
      </c>
      <c r="H282" s="6">
        <f t="shared" si="88"/>
        <v>0</v>
      </c>
      <c r="I282" s="6">
        <f t="shared" si="89"/>
        <v>0</v>
      </c>
      <c r="J282" s="6">
        <f t="shared" si="90"/>
        <v>0</v>
      </c>
      <c r="K282" s="6">
        <f t="shared" si="91"/>
        <v>0</v>
      </c>
      <c r="L282" s="6">
        <f t="shared" si="92"/>
        <v>0</v>
      </c>
      <c r="M282" s="6">
        <f t="shared" si="93"/>
        <v>0</v>
      </c>
      <c r="N282" s="6">
        <f t="shared" si="94"/>
        <v>0</v>
      </c>
      <c r="O282" s="6">
        <f t="shared" si="95"/>
        <v>0</v>
      </c>
      <c r="P282" s="6">
        <f t="shared" si="96"/>
        <v>0</v>
      </c>
      <c r="Q282" s="6">
        <f t="shared" si="97"/>
        <v>0</v>
      </c>
      <c r="R282" s="6">
        <f t="shared" si="98"/>
        <v>0</v>
      </c>
      <c r="S282" s="6">
        <f t="shared" si="99"/>
        <v>0</v>
      </c>
      <c r="T282" s="6">
        <f t="shared" si="100"/>
        <v>0</v>
      </c>
      <c r="U282" s="6">
        <f t="shared" si="101"/>
        <v>0</v>
      </c>
      <c r="V282" s="6">
        <f t="shared" si="102"/>
        <v>0</v>
      </c>
      <c r="W282" s="6">
        <f t="shared" si="103"/>
        <v>0</v>
      </c>
      <c r="X282" s="6">
        <f t="shared" si="104"/>
        <v>0</v>
      </c>
      <c r="Y282" s="6">
        <f t="shared" si="105"/>
        <v>0</v>
      </c>
      <c r="AA282" s="6" t="str">
        <f>IF(最佳化斷筋點!C282="","",最佳化斷筋點!C282)</f>
        <v/>
      </c>
      <c r="AB282" s="6" t="str">
        <f>IF(最佳化斷筋點!D282="","",最佳化斷筋點!D282)</f>
        <v/>
      </c>
      <c r="AC282" s="6" t="str">
        <f>IF(最佳化斷筋點!E282="","",最佳化斷筋點!E282)</f>
        <v/>
      </c>
      <c r="AD282" s="6" t="str">
        <f>IF(最佳化斷筋點!F282="","",最佳化斷筋點!F282)</f>
        <v/>
      </c>
      <c r="AE282" s="6" t="str">
        <f>IF(最佳化斷筋點!G282="","",最佳化斷筋點!G282)</f>
        <v/>
      </c>
      <c r="AF282" s="6" t="str">
        <f>IF(最佳化斷筋點!H282="","",最佳化斷筋點!H282)</f>
        <v/>
      </c>
      <c r="AG282" s="6" t="str">
        <f>IF(最佳化斷筋點!I282="","",最佳化斷筋點!I282)</f>
        <v/>
      </c>
      <c r="AH282" s="6" t="str">
        <f>IF(最佳化斷筋點!J282="","",最佳化斷筋點!J282)</f>
        <v/>
      </c>
      <c r="AI282" s="6" t="str">
        <f>IF(最佳化斷筋點!K282="","",最佳化斷筋點!K282)</f>
        <v/>
      </c>
      <c r="AJ282" s="6" t="str">
        <f>IF(最佳化斷筋點!L282="","",最佳化斷筋點!L282)</f>
        <v/>
      </c>
      <c r="AK282" s="6" t="str">
        <f>IF(最佳化斷筋點!M282="","",最佳化斷筋點!M282)</f>
        <v/>
      </c>
      <c r="AL282" s="6" t="str">
        <f>IF(最佳化斷筋點!N282="","",最佳化斷筋點!N282)</f>
        <v/>
      </c>
      <c r="AM282" s="6" t="str">
        <f>IF(最佳化斷筋點!O282="","",最佳化斷筋點!O282)</f>
        <v/>
      </c>
      <c r="AN282" s="6" t="str">
        <f>IF(最佳化斷筋點!P282="","",最佳化斷筋點!P282)</f>
        <v/>
      </c>
      <c r="AO282" s="6" t="str">
        <f>IF(最佳化斷筋點!Q282="","",最佳化斷筋點!Q282)</f>
        <v/>
      </c>
      <c r="AP282" s="6" t="str">
        <f>IF(最佳化斷筋點!R282="","",最佳化斷筋點!R282)</f>
        <v/>
      </c>
      <c r="AQ282" s="6" t="str">
        <f>IF(最佳化斷筋點!S282="","",最佳化斷筋點!S282)</f>
        <v/>
      </c>
      <c r="AR282" s="6" t="str">
        <f>IF(最佳化斷筋點!T282="","",最佳化斷筋點!T282)</f>
        <v/>
      </c>
      <c r="AS282" s="6" t="str">
        <f>IF(最佳化斷筋點!U282="","",最佳化斷筋點!U282)</f>
        <v/>
      </c>
      <c r="AT282" s="6" t="str">
        <f>IF(最佳化斷筋點!V282="","",最佳化斷筋點!V282)</f>
        <v/>
      </c>
      <c r="AU282" s="6" t="str">
        <f>IF(最佳化斷筋點!W282="","",最佳化斷筋點!W282)</f>
        <v/>
      </c>
      <c r="AV282" s="6" t="str">
        <f>IF(最佳化斷筋點!X282="","",最佳化斷筋點!X282)</f>
        <v/>
      </c>
    </row>
    <row r="283" spans="4:71" x14ac:dyDescent="0.25">
      <c r="D283" s="6" t="s">
        <v>50</v>
      </c>
      <c r="E283" s="6">
        <f t="shared" si="85"/>
        <v>0</v>
      </c>
      <c r="F283" s="6">
        <f t="shared" si="86"/>
        <v>0</v>
      </c>
      <c r="G283" s="6">
        <f t="shared" si="87"/>
        <v>0</v>
      </c>
      <c r="H283" s="6">
        <f t="shared" si="88"/>
        <v>0</v>
      </c>
      <c r="I283" s="6">
        <f t="shared" si="89"/>
        <v>0</v>
      </c>
      <c r="J283" s="6">
        <f t="shared" si="90"/>
        <v>0</v>
      </c>
      <c r="K283" s="6">
        <f t="shared" si="91"/>
        <v>0</v>
      </c>
      <c r="L283" s="6">
        <f t="shared" si="92"/>
        <v>0</v>
      </c>
      <c r="M283" s="6">
        <f t="shared" si="93"/>
        <v>0</v>
      </c>
      <c r="N283" s="6">
        <f t="shared" si="94"/>
        <v>0</v>
      </c>
      <c r="O283" s="6">
        <f t="shared" si="95"/>
        <v>0</v>
      </c>
      <c r="P283" s="6">
        <f t="shared" si="96"/>
        <v>0</v>
      </c>
      <c r="Q283" s="6">
        <f t="shared" si="97"/>
        <v>0</v>
      </c>
      <c r="R283" s="6">
        <f t="shared" si="98"/>
        <v>0</v>
      </c>
      <c r="S283" s="6">
        <f t="shared" si="99"/>
        <v>0</v>
      </c>
      <c r="T283" s="6">
        <f t="shared" si="100"/>
        <v>0</v>
      </c>
      <c r="U283" s="6">
        <f t="shared" si="101"/>
        <v>0</v>
      </c>
      <c r="V283" s="6">
        <f t="shared" si="102"/>
        <v>0</v>
      </c>
      <c r="W283" s="6">
        <f t="shared" si="103"/>
        <v>0</v>
      </c>
      <c r="X283" s="6">
        <f t="shared" si="104"/>
        <v>0</v>
      </c>
      <c r="Y283" s="6">
        <f t="shared" si="105"/>
        <v>0</v>
      </c>
      <c r="AA283" s="6" t="str">
        <f>IF(最佳化斷筋點!C283="","",最佳化斷筋點!C283)</f>
        <v>上層</v>
      </c>
      <c r="AB283" s="6">
        <f>IF(最佳化斷筋點!D283="","",最佳化斷筋點!D283)</f>
        <v>11</v>
      </c>
      <c r="AC283" s="6">
        <f>IF(最佳化斷筋點!E283="","",最佳化斷筋點!E283)</f>
        <v>10</v>
      </c>
      <c r="AD283" s="6">
        <f>IF(最佳化斷筋點!F283="","",最佳化斷筋點!F283)</f>
        <v>9</v>
      </c>
      <c r="AE283" s="6">
        <f>IF(最佳化斷筋點!G283="","",最佳化斷筋點!G283)</f>
        <v>8</v>
      </c>
      <c r="AF283" s="6">
        <f>IF(最佳化斷筋點!H283="","",最佳化斷筋點!H283)</f>
        <v>7</v>
      </c>
      <c r="AG283" s="6">
        <f>IF(最佳化斷筋點!I283="","",最佳化斷筋點!I283)</f>
        <v>6</v>
      </c>
      <c r="AH283" s="6">
        <f>IF(最佳化斷筋點!J283="","",最佳化斷筋點!J283)</f>
        <v>5</v>
      </c>
      <c r="AI283" s="6">
        <f>IF(最佳化斷筋點!K283="","",最佳化斷筋點!K283)</f>
        <v>4</v>
      </c>
      <c r="AJ283" s="6">
        <f>IF(最佳化斷筋點!L283="","",最佳化斷筋點!L283)</f>
        <v>3</v>
      </c>
      <c r="AK283" s="6">
        <f>IF(最佳化斷筋點!M283="","",最佳化斷筋點!M283)</f>
        <v>2</v>
      </c>
      <c r="AL283" s="6">
        <f>IF(最佳化斷筋點!N283="","",最佳化斷筋點!N283)</f>
        <v>2</v>
      </c>
      <c r="AM283" s="6">
        <f>IF(最佳化斷筋點!O283="","",最佳化斷筋點!O283)</f>
        <v>2</v>
      </c>
      <c r="AN283" s="6">
        <f>IF(最佳化斷筋點!P283="","",最佳化斷筋點!P283)</f>
        <v>2</v>
      </c>
      <c r="AO283" s="6">
        <f>IF(最佳化斷筋點!Q283="","",最佳化斷筋點!Q283)</f>
        <v>2</v>
      </c>
      <c r="AP283" s="6">
        <f>IF(最佳化斷筋點!R283="","",最佳化斷筋點!R283)</f>
        <v>2</v>
      </c>
      <c r="AQ283" s="6">
        <f>IF(最佳化斷筋點!S283="","",最佳化斷筋點!S283)</f>
        <v>2</v>
      </c>
      <c r="AR283" s="6">
        <f>IF(最佳化斷筋點!T283="","",最佳化斷筋點!T283)</f>
        <v>2</v>
      </c>
      <c r="AS283" s="6">
        <f>IF(最佳化斷筋點!U283="","",最佳化斷筋點!U283)</f>
        <v>2</v>
      </c>
      <c r="AT283" s="6">
        <f>IF(最佳化斷筋點!V283="","",最佳化斷筋點!V283)</f>
        <v>2</v>
      </c>
      <c r="AU283" s="6">
        <f>IF(最佳化斷筋點!W283="","",最佳化斷筋點!W283)</f>
        <v>2</v>
      </c>
      <c r="AV283" s="6">
        <f>IF(最佳化斷筋點!X283="","",最佳化斷筋點!X283)</f>
        <v>2</v>
      </c>
      <c r="AX283" s="6" t="s">
        <v>50</v>
      </c>
      <c r="AY283" s="6">
        <v>11</v>
      </c>
      <c r="AZ283" s="6">
        <v>10</v>
      </c>
      <c r="BA283" s="6">
        <v>9</v>
      </c>
      <c r="BB283" s="6">
        <v>8</v>
      </c>
      <c r="BC283" s="6">
        <v>7</v>
      </c>
      <c r="BD283" s="6">
        <v>6</v>
      </c>
      <c r="BE283" s="6">
        <v>5</v>
      </c>
      <c r="BF283" s="6">
        <v>4</v>
      </c>
      <c r="BG283" s="6">
        <v>3</v>
      </c>
      <c r="BH283" s="6">
        <v>2</v>
      </c>
      <c r="BI283" s="6">
        <v>2</v>
      </c>
      <c r="BJ283" s="6">
        <v>2</v>
      </c>
      <c r="BK283" s="6">
        <v>2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</row>
    <row r="284" spans="4:71" x14ac:dyDescent="0.25">
      <c r="E284" s="6">
        <f t="shared" si="85"/>
        <v>0</v>
      </c>
      <c r="F284" s="6">
        <f t="shared" si="86"/>
        <v>0</v>
      </c>
      <c r="G284" s="6">
        <f t="shared" si="87"/>
        <v>0</v>
      </c>
      <c r="H284" s="6">
        <f t="shared" si="88"/>
        <v>0</v>
      </c>
      <c r="I284" s="6">
        <f t="shared" si="89"/>
        <v>0</v>
      </c>
      <c r="J284" s="6">
        <f t="shared" si="90"/>
        <v>0</v>
      </c>
      <c r="K284" s="6">
        <f t="shared" si="91"/>
        <v>0</v>
      </c>
      <c r="L284" s="6">
        <f t="shared" si="92"/>
        <v>0</v>
      </c>
      <c r="M284" s="6">
        <f t="shared" si="93"/>
        <v>0</v>
      </c>
      <c r="N284" s="6">
        <f t="shared" si="94"/>
        <v>0</v>
      </c>
      <c r="O284" s="6">
        <f t="shared" si="95"/>
        <v>0</v>
      </c>
      <c r="P284" s="6">
        <f t="shared" si="96"/>
        <v>0</v>
      </c>
      <c r="Q284" s="6">
        <f t="shared" si="97"/>
        <v>0</v>
      </c>
      <c r="R284" s="6">
        <f t="shared" si="98"/>
        <v>0</v>
      </c>
      <c r="S284" s="6">
        <f t="shared" si="99"/>
        <v>0</v>
      </c>
      <c r="T284" s="6">
        <f t="shared" si="100"/>
        <v>0</v>
      </c>
      <c r="U284" s="6">
        <f t="shared" si="101"/>
        <v>0</v>
      </c>
      <c r="V284" s="6">
        <f t="shared" si="102"/>
        <v>0</v>
      </c>
      <c r="W284" s="6">
        <f t="shared" si="103"/>
        <v>0</v>
      </c>
      <c r="X284" s="6">
        <f t="shared" si="104"/>
        <v>0</v>
      </c>
      <c r="Y284" s="6">
        <f t="shared" si="105"/>
        <v>0</v>
      </c>
      <c r="AA284" s="6" t="str">
        <f>IF(最佳化斷筋點!C284="","",最佳化斷筋點!C284)</f>
        <v/>
      </c>
      <c r="AB284" s="6" t="str">
        <f>IF(最佳化斷筋點!D284="","",最佳化斷筋點!D284)</f>
        <v/>
      </c>
      <c r="AC284" s="6" t="str">
        <f>IF(最佳化斷筋點!E284="","",最佳化斷筋點!E284)</f>
        <v/>
      </c>
      <c r="AD284" s="6" t="str">
        <f>IF(最佳化斷筋點!F284="","",最佳化斷筋點!F284)</f>
        <v/>
      </c>
      <c r="AE284" s="6" t="str">
        <f>IF(最佳化斷筋點!G284="","",最佳化斷筋點!G284)</f>
        <v/>
      </c>
      <c r="AF284" s="6" t="str">
        <f>IF(最佳化斷筋點!H284="","",最佳化斷筋點!H284)</f>
        <v/>
      </c>
      <c r="AG284" s="6" t="str">
        <f>IF(最佳化斷筋點!I284="","",最佳化斷筋點!I284)</f>
        <v/>
      </c>
      <c r="AH284" s="6" t="str">
        <f>IF(最佳化斷筋點!J284="","",最佳化斷筋點!J284)</f>
        <v/>
      </c>
      <c r="AI284" s="6" t="str">
        <f>IF(最佳化斷筋點!K284="","",最佳化斷筋點!K284)</f>
        <v/>
      </c>
      <c r="AJ284" s="6" t="str">
        <f>IF(最佳化斷筋點!L284="","",最佳化斷筋點!L284)</f>
        <v/>
      </c>
      <c r="AK284" s="6" t="str">
        <f>IF(最佳化斷筋點!M284="","",最佳化斷筋點!M284)</f>
        <v/>
      </c>
      <c r="AL284" s="6" t="str">
        <f>IF(最佳化斷筋點!N284="","",最佳化斷筋點!N284)</f>
        <v/>
      </c>
      <c r="AM284" s="6" t="str">
        <f>IF(最佳化斷筋點!O284="","",最佳化斷筋點!O284)</f>
        <v/>
      </c>
      <c r="AN284" s="6" t="str">
        <f>IF(最佳化斷筋點!P284="","",最佳化斷筋點!P284)</f>
        <v/>
      </c>
      <c r="AO284" s="6" t="str">
        <f>IF(最佳化斷筋點!Q284="","",最佳化斷筋點!Q284)</f>
        <v/>
      </c>
      <c r="AP284" s="6" t="str">
        <f>IF(最佳化斷筋點!R284="","",最佳化斷筋點!R284)</f>
        <v/>
      </c>
      <c r="AQ284" s="6" t="str">
        <f>IF(最佳化斷筋點!S284="","",最佳化斷筋點!S284)</f>
        <v/>
      </c>
      <c r="AR284" s="6" t="str">
        <f>IF(最佳化斷筋點!T284="","",最佳化斷筋點!T284)</f>
        <v/>
      </c>
      <c r="AS284" s="6" t="str">
        <f>IF(最佳化斷筋點!U284="","",最佳化斷筋點!U284)</f>
        <v/>
      </c>
      <c r="AT284" s="6" t="str">
        <f>IF(最佳化斷筋點!V284="","",最佳化斷筋點!V284)</f>
        <v/>
      </c>
      <c r="AU284" s="6" t="str">
        <f>IF(最佳化斷筋點!W284="","",最佳化斷筋點!W284)</f>
        <v/>
      </c>
      <c r="AV284" s="6" t="str">
        <f>IF(最佳化斷筋點!X284="","",最佳化斷筋點!X284)</f>
        <v/>
      </c>
    </row>
    <row r="285" spans="4:71" x14ac:dyDescent="0.25">
      <c r="D285" s="6" t="s">
        <v>51</v>
      </c>
      <c r="E285" s="6">
        <f t="shared" si="85"/>
        <v>0</v>
      </c>
      <c r="F285" s="6">
        <f t="shared" si="86"/>
        <v>0</v>
      </c>
      <c r="G285" s="6">
        <f t="shared" si="87"/>
        <v>0</v>
      </c>
      <c r="H285" s="6">
        <f t="shared" si="88"/>
        <v>0</v>
      </c>
      <c r="I285" s="6">
        <f t="shared" si="89"/>
        <v>0</v>
      </c>
      <c r="J285" s="6">
        <f t="shared" si="90"/>
        <v>0</v>
      </c>
      <c r="K285" s="6">
        <f t="shared" si="91"/>
        <v>0</v>
      </c>
      <c r="L285" s="6">
        <f t="shared" si="92"/>
        <v>0</v>
      </c>
      <c r="M285" s="6">
        <f t="shared" si="93"/>
        <v>0</v>
      </c>
      <c r="N285" s="6">
        <f t="shared" si="94"/>
        <v>0</v>
      </c>
      <c r="O285" s="6">
        <f t="shared" si="95"/>
        <v>0</v>
      </c>
      <c r="P285" s="6">
        <f t="shared" si="96"/>
        <v>0</v>
      </c>
      <c r="Q285" s="6">
        <f t="shared" si="97"/>
        <v>0</v>
      </c>
      <c r="R285" s="6">
        <f t="shared" si="98"/>
        <v>0</v>
      </c>
      <c r="S285" s="6">
        <f t="shared" si="99"/>
        <v>0</v>
      </c>
      <c r="T285" s="6">
        <f t="shared" si="100"/>
        <v>0</v>
      </c>
      <c r="U285" s="6">
        <f t="shared" si="101"/>
        <v>0</v>
      </c>
      <c r="V285" s="6">
        <f t="shared" si="102"/>
        <v>0</v>
      </c>
      <c r="W285" s="6">
        <f t="shared" si="103"/>
        <v>0</v>
      </c>
      <c r="X285" s="6">
        <f t="shared" si="104"/>
        <v>0</v>
      </c>
      <c r="Y285" s="6">
        <f t="shared" si="105"/>
        <v>0</v>
      </c>
      <c r="AA285" s="6" t="str">
        <f>IF(最佳化斷筋點!C285="","",最佳化斷筋點!C285)</f>
        <v>下層</v>
      </c>
      <c r="AB285" s="6">
        <f>IF(最佳化斷筋點!D285="","",最佳化斷筋點!D285)</f>
        <v>6</v>
      </c>
      <c r="AC285" s="6">
        <f>IF(最佳化斷筋點!E285="","",最佳化斷筋點!E285)</f>
        <v>6</v>
      </c>
      <c r="AD285" s="6">
        <f>IF(最佳化斷筋點!F285="","",最佳化斷筋點!F285)</f>
        <v>5</v>
      </c>
      <c r="AE285" s="6">
        <f>IF(最佳化斷筋點!G285="","",最佳化斷筋點!G285)</f>
        <v>5</v>
      </c>
      <c r="AF285" s="6">
        <f>IF(最佳化斷筋點!H285="","",最佳化斷筋點!H285)</f>
        <v>6</v>
      </c>
      <c r="AG285" s="6">
        <f>IF(最佳化斷筋點!I285="","",最佳化斷筋點!I285)</f>
        <v>6</v>
      </c>
      <c r="AH285" s="6">
        <f>IF(最佳化斷筋點!J285="","",最佳化斷筋點!J285)</f>
        <v>7</v>
      </c>
      <c r="AI285" s="6">
        <f>IF(最佳化斷筋點!K285="","",最佳化斷筋點!K285)</f>
        <v>8</v>
      </c>
      <c r="AJ285" s="6">
        <f>IF(最佳化斷筋點!L285="","",最佳化斷筋點!L285)</f>
        <v>8</v>
      </c>
      <c r="AK285" s="6">
        <f>IF(最佳化斷筋點!M285="","",最佳化斷筋點!M285)</f>
        <v>8</v>
      </c>
      <c r="AL285" s="6">
        <f>IF(最佳化斷筋點!N285="","",最佳化斷筋點!N285)</f>
        <v>8</v>
      </c>
      <c r="AM285" s="6">
        <f>IF(最佳化斷筋點!O285="","",最佳化斷筋點!O285)</f>
        <v>8</v>
      </c>
      <c r="AN285" s="6">
        <f>IF(最佳化斷筋點!P285="","",最佳化斷筋點!P285)</f>
        <v>8</v>
      </c>
      <c r="AO285" s="6">
        <f>IF(最佳化斷筋點!Q285="","",最佳化斷筋點!Q285)</f>
        <v>8</v>
      </c>
      <c r="AP285" s="6">
        <f>IF(最佳化斷筋點!R285="","",最佳化斷筋點!R285)</f>
        <v>7</v>
      </c>
      <c r="AQ285" s="6">
        <f>IF(最佳化斷筋點!S285="","",最佳化斷筋點!S285)</f>
        <v>6</v>
      </c>
      <c r="AR285" s="6">
        <f>IF(最佳化斷筋點!T285="","",最佳化斷筋點!T285)</f>
        <v>6</v>
      </c>
      <c r="AS285" s="6">
        <f>IF(最佳化斷筋點!U285="","",最佳化斷筋點!U285)</f>
        <v>6</v>
      </c>
      <c r="AT285" s="6">
        <f>IF(最佳化斷筋點!V285="","",最佳化斷筋點!V285)</f>
        <v>7</v>
      </c>
      <c r="AU285" s="6">
        <f>IF(最佳化斷筋點!W285="","",最佳化斷筋點!W285)</f>
        <v>8</v>
      </c>
      <c r="AV285" s="6">
        <f>IF(最佳化斷筋點!X285="","",最佳化斷筋點!X285)</f>
        <v>8</v>
      </c>
      <c r="AX285" s="6" t="s">
        <v>51</v>
      </c>
      <c r="AY285" s="6">
        <v>6</v>
      </c>
      <c r="AZ285" s="6">
        <v>6</v>
      </c>
      <c r="BA285" s="6">
        <v>5</v>
      </c>
      <c r="BB285" s="6">
        <v>5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7</v>
      </c>
      <c r="BN285" s="6">
        <v>6</v>
      </c>
      <c r="BO285" s="6">
        <v>6</v>
      </c>
      <c r="BP285" s="6">
        <v>6</v>
      </c>
      <c r="BQ285" s="6">
        <v>7</v>
      </c>
      <c r="BR285" s="6">
        <v>8</v>
      </c>
      <c r="BS285" s="6">
        <v>8</v>
      </c>
    </row>
    <row r="286" spans="4:71" x14ac:dyDescent="0.25">
      <c r="E286" s="6">
        <f t="shared" si="85"/>
        <v>0</v>
      </c>
      <c r="F286" s="6">
        <f t="shared" si="86"/>
        <v>0</v>
      </c>
      <c r="G286" s="6">
        <f t="shared" si="87"/>
        <v>0</v>
      </c>
      <c r="H286" s="6">
        <f t="shared" si="88"/>
        <v>0</v>
      </c>
      <c r="I286" s="6">
        <f t="shared" si="89"/>
        <v>0</v>
      </c>
      <c r="J286" s="6">
        <f t="shared" si="90"/>
        <v>0</v>
      </c>
      <c r="K286" s="6">
        <f t="shared" si="91"/>
        <v>0</v>
      </c>
      <c r="L286" s="6">
        <f t="shared" si="92"/>
        <v>0</v>
      </c>
      <c r="M286" s="6">
        <f t="shared" si="93"/>
        <v>0</v>
      </c>
      <c r="N286" s="6">
        <f t="shared" si="94"/>
        <v>0</v>
      </c>
      <c r="O286" s="6">
        <f t="shared" si="95"/>
        <v>0</v>
      </c>
      <c r="P286" s="6">
        <f t="shared" si="96"/>
        <v>0</v>
      </c>
      <c r="Q286" s="6">
        <f t="shared" si="97"/>
        <v>0</v>
      </c>
      <c r="R286" s="6">
        <f t="shared" si="98"/>
        <v>0</v>
      </c>
      <c r="S286" s="6">
        <f t="shared" si="99"/>
        <v>0</v>
      </c>
      <c r="T286" s="6">
        <f t="shared" si="100"/>
        <v>0</v>
      </c>
      <c r="U286" s="6">
        <f t="shared" si="101"/>
        <v>0</v>
      </c>
      <c r="V286" s="6">
        <f t="shared" si="102"/>
        <v>0</v>
      </c>
      <c r="W286" s="6">
        <f t="shared" si="103"/>
        <v>0</v>
      </c>
      <c r="X286" s="6">
        <f t="shared" si="104"/>
        <v>0</v>
      </c>
      <c r="Y286" s="6">
        <f t="shared" si="105"/>
        <v>0</v>
      </c>
      <c r="AA286" s="6" t="str">
        <f>IF(最佳化斷筋點!C286="","",最佳化斷筋點!C286)</f>
        <v/>
      </c>
      <c r="AB286" s="6" t="str">
        <f>IF(最佳化斷筋點!D286="","",最佳化斷筋點!D286)</f>
        <v/>
      </c>
      <c r="AC286" s="6" t="str">
        <f>IF(最佳化斷筋點!E286="","",最佳化斷筋點!E286)</f>
        <v/>
      </c>
      <c r="AD286" s="6" t="str">
        <f>IF(最佳化斷筋點!F286="","",最佳化斷筋點!F286)</f>
        <v/>
      </c>
      <c r="AE286" s="6" t="str">
        <f>IF(最佳化斷筋點!G286="","",最佳化斷筋點!G286)</f>
        <v/>
      </c>
      <c r="AF286" s="6" t="str">
        <f>IF(最佳化斷筋點!H286="","",最佳化斷筋點!H286)</f>
        <v/>
      </c>
      <c r="AG286" s="6" t="str">
        <f>IF(最佳化斷筋點!I286="","",最佳化斷筋點!I286)</f>
        <v/>
      </c>
      <c r="AH286" s="6" t="str">
        <f>IF(最佳化斷筋點!J286="","",最佳化斷筋點!J286)</f>
        <v/>
      </c>
      <c r="AI286" s="6" t="str">
        <f>IF(最佳化斷筋點!K286="","",最佳化斷筋點!K286)</f>
        <v/>
      </c>
      <c r="AJ286" s="6" t="str">
        <f>IF(最佳化斷筋點!L286="","",最佳化斷筋點!L286)</f>
        <v/>
      </c>
      <c r="AK286" s="6" t="str">
        <f>IF(最佳化斷筋點!M286="","",最佳化斷筋點!M286)</f>
        <v/>
      </c>
      <c r="AL286" s="6" t="str">
        <f>IF(最佳化斷筋點!N286="","",最佳化斷筋點!N286)</f>
        <v/>
      </c>
      <c r="AM286" s="6" t="str">
        <f>IF(最佳化斷筋點!O286="","",最佳化斷筋點!O286)</f>
        <v/>
      </c>
      <c r="AN286" s="6" t="str">
        <f>IF(最佳化斷筋點!P286="","",最佳化斷筋點!P286)</f>
        <v/>
      </c>
      <c r="AO286" s="6" t="str">
        <f>IF(最佳化斷筋點!Q286="","",最佳化斷筋點!Q286)</f>
        <v/>
      </c>
      <c r="AP286" s="6" t="str">
        <f>IF(最佳化斷筋點!R286="","",最佳化斷筋點!R286)</f>
        <v/>
      </c>
      <c r="AQ286" s="6" t="str">
        <f>IF(最佳化斷筋點!S286="","",最佳化斷筋點!S286)</f>
        <v/>
      </c>
      <c r="AR286" s="6" t="str">
        <f>IF(最佳化斷筋點!T286="","",最佳化斷筋點!T286)</f>
        <v/>
      </c>
      <c r="AS286" s="6" t="str">
        <f>IF(最佳化斷筋點!U286="","",最佳化斷筋點!U286)</f>
        <v/>
      </c>
      <c r="AT286" s="6" t="str">
        <f>IF(最佳化斷筋點!V286="","",最佳化斷筋點!V286)</f>
        <v/>
      </c>
      <c r="AU286" s="6" t="str">
        <f>IF(最佳化斷筋點!W286="","",最佳化斷筋點!W286)</f>
        <v/>
      </c>
      <c r="AV286" s="6" t="str">
        <f>IF(最佳化斷筋點!X286="","",最佳化斷筋點!X286)</f>
        <v/>
      </c>
    </row>
    <row r="287" spans="4:71" x14ac:dyDescent="0.25">
      <c r="D287" s="6" t="s">
        <v>50</v>
      </c>
      <c r="E287" s="6">
        <f t="shared" si="85"/>
        <v>0</v>
      </c>
      <c r="F287" s="6">
        <f t="shared" si="86"/>
        <v>0</v>
      </c>
      <c r="G287" s="6">
        <f t="shared" si="87"/>
        <v>0</v>
      </c>
      <c r="H287" s="6">
        <f t="shared" si="88"/>
        <v>0</v>
      </c>
      <c r="I287" s="6">
        <f t="shared" si="89"/>
        <v>0</v>
      </c>
      <c r="J287" s="6">
        <f t="shared" si="90"/>
        <v>0</v>
      </c>
      <c r="K287" s="6">
        <f t="shared" si="91"/>
        <v>0</v>
      </c>
      <c r="L287" s="6">
        <f t="shared" si="92"/>
        <v>0</v>
      </c>
      <c r="M287" s="6">
        <f t="shared" si="93"/>
        <v>0</v>
      </c>
      <c r="N287" s="6">
        <f t="shared" si="94"/>
        <v>0</v>
      </c>
      <c r="O287" s="6">
        <f t="shared" si="95"/>
        <v>0</v>
      </c>
      <c r="P287" s="6">
        <f t="shared" si="96"/>
        <v>0</v>
      </c>
      <c r="Q287" s="6">
        <f t="shared" si="97"/>
        <v>0</v>
      </c>
      <c r="R287" s="6">
        <f t="shared" si="98"/>
        <v>0</v>
      </c>
      <c r="S287" s="6">
        <f t="shared" si="99"/>
        <v>0</v>
      </c>
      <c r="T287" s="6">
        <f t="shared" si="100"/>
        <v>0</v>
      </c>
      <c r="U287" s="6">
        <f t="shared" si="101"/>
        <v>0</v>
      </c>
      <c r="V287" s="6">
        <f t="shared" si="102"/>
        <v>0</v>
      </c>
      <c r="W287" s="6">
        <f t="shared" si="103"/>
        <v>0</v>
      </c>
      <c r="X287" s="6">
        <f t="shared" si="104"/>
        <v>0</v>
      </c>
      <c r="Y287" s="6">
        <f t="shared" si="105"/>
        <v>0</v>
      </c>
      <c r="AA287" s="6" t="str">
        <f>IF(最佳化斷筋點!C287="","",最佳化斷筋點!C287)</f>
        <v>上層</v>
      </c>
      <c r="AB287" s="6">
        <f>IF(最佳化斷筋點!D287="","",最佳化斷筋點!D287)</f>
        <v>10</v>
      </c>
      <c r="AC287" s="6">
        <f>IF(最佳化斷筋點!E287="","",最佳化斷筋點!E287)</f>
        <v>9</v>
      </c>
      <c r="AD287" s="6">
        <f>IF(最佳化斷筋點!F287="","",最佳化斷筋點!F287)</f>
        <v>8</v>
      </c>
      <c r="AE287" s="6">
        <f>IF(最佳化斷筋點!G287="","",最佳化斷筋點!G287)</f>
        <v>8</v>
      </c>
      <c r="AF287" s="6">
        <f>IF(最佳化斷筋點!H287="","",最佳化斷筋點!H287)</f>
        <v>7</v>
      </c>
      <c r="AG287" s="6">
        <f>IF(最佳化斷筋點!I287="","",最佳化斷筋點!I287)</f>
        <v>6</v>
      </c>
      <c r="AH287" s="6">
        <f>IF(最佳化斷筋點!J287="","",最佳化斷筋點!J287)</f>
        <v>5</v>
      </c>
      <c r="AI287" s="6">
        <f>IF(最佳化斷筋點!K287="","",最佳化斷筋點!K287)</f>
        <v>4</v>
      </c>
      <c r="AJ287" s="6">
        <f>IF(最佳化斷筋點!L287="","",最佳化斷筋點!L287)</f>
        <v>3</v>
      </c>
      <c r="AK287" s="6">
        <f>IF(最佳化斷筋點!M287="","",最佳化斷筋點!M287)</f>
        <v>2</v>
      </c>
      <c r="AL287" s="6">
        <f>IF(最佳化斷筋點!N287="","",最佳化斷筋點!N287)</f>
        <v>2</v>
      </c>
      <c r="AM287" s="6">
        <f>IF(最佳化斷筋點!O287="","",最佳化斷筋點!O287)</f>
        <v>2</v>
      </c>
      <c r="AN287" s="6">
        <f>IF(最佳化斷筋點!P287="","",最佳化斷筋點!P287)</f>
        <v>2</v>
      </c>
      <c r="AO287" s="6">
        <f>IF(最佳化斷筋點!Q287="","",最佳化斷筋點!Q287)</f>
        <v>2</v>
      </c>
      <c r="AP287" s="6">
        <f>IF(最佳化斷筋點!R287="","",最佳化斷筋點!R287)</f>
        <v>2</v>
      </c>
      <c r="AQ287" s="6">
        <f>IF(最佳化斷筋點!S287="","",最佳化斷筋點!S287)</f>
        <v>2</v>
      </c>
      <c r="AR287" s="6">
        <f>IF(最佳化斷筋點!T287="","",最佳化斷筋點!T287)</f>
        <v>2</v>
      </c>
      <c r="AS287" s="6">
        <f>IF(最佳化斷筋點!U287="","",最佳化斷筋點!U287)</f>
        <v>2</v>
      </c>
      <c r="AT287" s="6">
        <f>IF(最佳化斷筋點!V287="","",最佳化斷筋點!V287)</f>
        <v>2</v>
      </c>
      <c r="AU287" s="6">
        <f>IF(最佳化斷筋點!W287="","",最佳化斷筋點!W287)</f>
        <v>2</v>
      </c>
      <c r="AV287" s="6">
        <f>IF(最佳化斷筋點!X287="","",最佳化斷筋點!X287)</f>
        <v>2</v>
      </c>
      <c r="AX287" s="6" t="s">
        <v>50</v>
      </c>
      <c r="AY287" s="6">
        <v>10</v>
      </c>
      <c r="AZ287" s="6">
        <v>9</v>
      </c>
      <c r="BA287" s="6">
        <v>8</v>
      </c>
      <c r="BB287" s="6">
        <v>8</v>
      </c>
      <c r="BC287" s="6">
        <v>7</v>
      </c>
      <c r="BD287" s="6">
        <v>6</v>
      </c>
      <c r="BE287" s="6">
        <v>5</v>
      </c>
      <c r="BF287" s="6">
        <v>4</v>
      </c>
      <c r="BG287" s="6">
        <v>3</v>
      </c>
      <c r="BH287" s="6">
        <v>2</v>
      </c>
      <c r="BI287" s="6">
        <v>2</v>
      </c>
      <c r="BJ287" s="6">
        <v>2</v>
      </c>
      <c r="BK287" s="6">
        <v>2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</row>
    <row r="288" spans="4:71" x14ac:dyDescent="0.25">
      <c r="E288" s="6">
        <f t="shared" si="85"/>
        <v>0</v>
      </c>
      <c r="F288" s="6">
        <f t="shared" si="86"/>
        <v>0</v>
      </c>
      <c r="G288" s="6">
        <f t="shared" si="87"/>
        <v>0</v>
      </c>
      <c r="H288" s="6">
        <f t="shared" si="88"/>
        <v>0</v>
      </c>
      <c r="I288" s="6">
        <f t="shared" si="89"/>
        <v>0</v>
      </c>
      <c r="J288" s="6">
        <f t="shared" si="90"/>
        <v>0</v>
      </c>
      <c r="K288" s="6">
        <f t="shared" si="91"/>
        <v>0</v>
      </c>
      <c r="L288" s="6">
        <f t="shared" si="92"/>
        <v>0</v>
      </c>
      <c r="M288" s="6">
        <f t="shared" si="93"/>
        <v>0</v>
      </c>
      <c r="N288" s="6">
        <f t="shared" si="94"/>
        <v>0</v>
      </c>
      <c r="O288" s="6">
        <f t="shared" si="95"/>
        <v>0</v>
      </c>
      <c r="P288" s="6">
        <f t="shared" si="96"/>
        <v>0</v>
      </c>
      <c r="Q288" s="6">
        <f t="shared" si="97"/>
        <v>0</v>
      </c>
      <c r="R288" s="6">
        <f t="shared" si="98"/>
        <v>0</v>
      </c>
      <c r="S288" s="6">
        <f t="shared" si="99"/>
        <v>0</v>
      </c>
      <c r="T288" s="6">
        <f t="shared" si="100"/>
        <v>0</v>
      </c>
      <c r="U288" s="6">
        <f t="shared" si="101"/>
        <v>0</v>
      </c>
      <c r="V288" s="6">
        <f t="shared" si="102"/>
        <v>0</v>
      </c>
      <c r="W288" s="6">
        <f t="shared" si="103"/>
        <v>0</v>
      </c>
      <c r="X288" s="6">
        <f t="shared" si="104"/>
        <v>0</v>
      </c>
      <c r="Y288" s="6">
        <f t="shared" si="105"/>
        <v>0</v>
      </c>
      <c r="AA288" s="6" t="str">
        <f>IF(最佳化斷筋點!C288="","",最佳化斷筋點!C288)</f>
        <v/>
      </c>
      <c r="AB288" s="6" t="str">
        <f>IF(最佳化斷筋點!D288="","",最佳化斷筋點!D288)</f>
        <v/>
      </c>
      <c r="AC288" s="6" t="str">
        <f>IF(最佳化斷筋點!E288="","",最佳化斷筋點!E288)</f>
        <v/>
      </c>
      <c r="AD288" s="6" t="str">
        <f>IF(最佳化斷筋點!F288="","",最佳化斷筋點!F288)</f>
        <v/>
      </c>
      <c r="AE288" s="6" t="str">
        <f>IF(最佳化斷筋點!G288="","",最佳化斷筋點!G288)</f>
        <v/>
      </c>
      <c r="AF288" s="6" t="str">
        <f>IF(最佳化斷筋點!H288="","",最佳化斷筋點!H288)</f>
        <v/>
      </c>
      <c r="AG288" s="6" t="str">
        <f>IF(最佳化斷筋點!I288="","",最佳化斷筋點!I288)</f>
        <v/>
      </c>
      <c r="AH288" s="6" t="str">
        <f>IF(最佳化斷筋點!J288="","",最佳化斷筋點!J288)</f>
        <v/>
      </c>
      <c r="AI288" s="6" t="str">
        <f>IF(最佳化斷筋點!K288="","",最佳化斷筋點!K288)</f>
        <v/>
      </c>
      <c r="AJ288" s="6" t="str">
        <f>IF(最佳化斷筋點!L288="","",最佳化斷筋點!L288)</f>
        <v/>
      </c>
      <c r="AK288" s="6" t="str">
        <f>IF(最佳化斷筋點!M288="","",最佳化斷筋點!M288)</f>
        <v/>
      </c>
      <c r="AL288" s="6" t="str">
        <f>IF(最佳化斷筋點!N288="","",最佳化斷筋點!N288)</f>
        <v/>
      </c>
      <c r="AM288" s="6" t="str">
        <f>IF(最佳化斷筋點!O288="","",最佳化斷筋點!O288)</f>
        <v/>
      </c>
      <c r="AN288" s="6" t="str">
        <f>IF(最佳化斷筋點!P288="","",最佳化斷筋點!P288)</f>
        <v/>
      </c>
      <c r="AO288" s="6" t="str">
        <f>IF(最佳化斷筋點!Q288="","",最佳化斷筋點!Q288)</f>
        <v/>
      </c>
      <c r="AP288" s="6" t="str">
        <f>IF(最佳化斷筋點!R288="","",最佳化斷筋點!R288)</f>
        <v/>
      </c>
      <c r="AQ288" s="6" t="str">
        <f>IF(最佳化斷筋點!S288="","",最佳化斷筋點!S288)</f>
        <v/>
      </c>
      <c r="AR288" s="6" t="str">
        <f>IF(最佳化斷筋點!T288="","",最佳化斷筋點!T288)</f>
        <v/>
      </c>
      <c r="AS288" s="6" t="str">
        <f>IF(最佳化斷筋點!U288="","",最佳化斷筋點!U288)</f>
        <v/>
      </c>
      <c r="AT288" s="6" t="str">
        <f>IF(最佳化斷筋點!V288="","",最佳化斷筋點!V288)</f>
        <v/>
      </c>
      <c r="AU288" s="6" t="str">
        <f>IF(最佳化斷筋點!W288="","",最佳化斷筋點!W288)</f>
        <v/>
      </c>
      <c r="AV288" s="6" t="str">
        <f>IF(最佳化斷筋點!X288="","",最佳化斷筋點!X288)</f>
        <v/>
      </c>
    </row>
    <row r="289" spans="4:71" x14ac:dyDescent="0.25">
      <c r="D289" s="6" t="s">
        <v>51</v>
      </c>
      <c r="E289" s="6">
        <f t="shared" si="85"/>
        <v>0</v>
      </c>
      <c r="F289" s="6">
        <f t="shared" si="86"/>
        <v>0</v>
      </c>
      <c r="G289" s="6">
        <f t="shared" si="87"/>
        <v>0</v>
      </c>
      <c r="H289" s="6">
        <f t="shared" si="88"/>
        <v>0</v>
      </c>
      <c r="I289" s="6">
        <f t="shared" si="89"/>
        <v>0</v>
      </c>
      <c r="J289" s="6">
        <f t="shared" si="90"/>
        <v>0</v>
      </c>
      <c r="K289" s="6">
        <f t="shared" si="91"/>
        <v>0</v>
      </c>
      <c r="L289" s="6">
        <f t="shared" si="92"/>
        <v>0</v>
      </c>
      <c r="M289" s="6">
        <f t="shared" si="93"/>
        <v>0</v>
      </c>
      <c r="N289" s="6">
        <f t="shared" si="94"/>
        <v>0</v>
      </c>
      <c r="O289" s="6">
        <f t="shared" si="95"/>
        <v>0</v>
      </c>
      <c r="P289" s="6">
        <f t="shared" si="96"/>
        <v>0</v>
      </c>
      <c r="Q289" s="6">
        <f t="shared" si="97"/>
        <v>0</v>
      </c>
      <c r="R289" s="6">
        <f t="shared" si="98"/>
        <v>0</v>
      </c>
      <c r="S289" s="6">
        <f t="shared" si="99"/>
        <v>0</v>
      </c>
      <c r="T289" s="6">
        <f t="shared" si="100"/>
        <v>0</v>
      </c>
      <c r="U289" s="6">
        <f t="shared" si="101"/>
        <v>0</v>
      </c>
      <c r="V289" s="6">
        <f t="shared" si="102"/>
        <v>0</v>
      </c>
      <c r="W289" s="6">
        <f t="shared" si="103"/>
        <v>0</v>
      </c>
      <c r="X289" s="6">
        <f t="shared" si="104"/>
        <v>0</v>
      </c>
      <c r="Y289" s="6">
        <f t="shared" si="105"/>
        <v>0</v>
      </c>
      <c r="AA289" s="6" t="str">
        <f>IF(最佳化斷筋點!C289="","",最佳化斷筋點!C289)</f>
        <v>下層</v>
      </c>
      <c r="AB289" s="6">
        <f>IF(最佳化斷筋點!D289="","",最佳化斷筋點!D289)</f>
        <v>6</v>
      </c>
      <c r="AC289" s="6">
        <f>IF(最佳化斷筋點!E289="","",最佳化斷筋點!E289)</f>
        <v>6</v>
      </c>
      <c r="AD289" s="6">
        <f>IF(最佳化斷筋點!F289="","",最佳化斷筋點!F289)</f>
        <v>5</v>
      </c>
      <c r="AE289" s="6">
        <f>IF(最佳化斷筋點!G289="","",最佳化斷筋點!G289)</f>
        <v>5</v>
      </c>
      <c r="AF289" s="6">
        <f>IF(最佳化斷筋點!H289="","",最佳化斷筋點!H289)</f>
        <v>6</v>
      </c>
      <c r="AG289" s="6">
        <f>IF(最佳化斷筋點!I289="","",最佳化斷筋點!I289)</f>
        <v>6</v>
      </c>
      <c r="AH289" s="6">
        <f>IF(最佳化斷筋點!J289="","",最佳化斷筋點!J289)</f>
        <v>7</v>
      </c>
      <c r="AI289" s="6">
        <f>IF(最佳化斷筋點!K289="","",最佳化斷筋點!K289)</f>
        <v>8</v>
      </c>
      <c r="AJ289" s="6">
        <f>IF(最佳化斷筋點!L289="","",最佳化斷筋點!L289)</f>
        <v>8</v>
      </c>
      <c r="AK289" s="6">
        <f>IF(最佳化斷筋點!M289="","",最佳化斷筋點!M289)</f>
        <v>8</v>
      </c>
      <c r="AL289" s="6">
        <f>IF(最佳化斷筋點!N289="","",最佳化斷筋點!N289)</f>
        <v>8</v>
      </c>
      <c r="AM289" s="6">
        <f>IF(最佳化斷筋點!O289="","",最佳化斷筋點!O289)</f>
        <v>8</v>
      </c>
      <c r="AN289" s="6">
        <f>IF(最佳化斷筋點!P289="","",最佳化斷筋點!P289)</f>
        <v>8</v>
      </c>
      <c r="AO289" s="6">
        <f>IF(最佳化斷筋點!Q289="","",最佳化斷筋點!Q289)</f>
        <v>8</v>
      </c>
      <c r="AP289" s="6">
        <f>IF(最佳化斷筋點!R289="","",最佳化斷筋點!R289)</f>
        <v>7</v>
      </c>
      <c r="AQ289" s="6">
        <f>IF(最佳化斷筋點!S289="","",最佳化斷筋點!S289)</f>
        <v>6</v>
      </c>
      <c r="AR289" s="6">
        <f>IF(最佳化斷筋點!T289="","",最佳化斷筋點!T289)</f>
        <v>6</v>
      </c>
      <c r="AS289" s="6">
        <f>IF(最佳化斷筋點!U289="","",最佳化斷筋點!U289)</f>
        <v>6</v>
      </c>
      <c r="AT289" s="6">
        <f>IF(最佳化斷筋點!V289="","",最佳化斷筋點!V289)</f>
        <v>7</v>
      </c>
      <c r="AU289" s="6">
        <f>IF(最佳化斷筋點!W289="","",最佳化斷筋點!W289)</f>
        <v>8</v>
      </c>
      <c r="AV289" s="6">
        <f>IF(最佳化斷筋點!X289="","",最佳化斷筋點!X289)</f>
        <v>8</v>
      </c>
      <c r="AX289" s="6" t="s">
        <v>51</v>
      </c>
      <c r="AY289" s="6">
        <v>6</v>
      </c>
      <c r="AZ289" s="6">
        <v>6</v>
      </c>
      <c r="BA289" s="6">
        <v>5</v>
      </c>
      <c r="BB289" s="6">
        <v>5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7</v>
      </c>
      <c r="BN289" s="6">
        <v>6</v>
      </c>
      <c r="BO289" s="6">
        <v>6</v>
      </c>
      <c r="BP289" s="6">
        <v>6</v>
      </c>
      <c r="BQ289" s="6">
        <v>7</v>
      </c>
      <c r="BR289" s="6">
        <v>8</v>
      </c>
      <c r="BS289" s="6">
        <v>8</v>
      </c>
    </row>
    <row r="290" spans="4:71" x14ac:dyDescent="0.25">
      <c r="E290" s="6">
        <f t="shared" si="85"/>
        <v>0</v>
      </c>
      <c r="F290" s="6">
        <f t="shared" si="86"/>
        <v>0</v>
      </c>
      <c r="G290" s="6">
        <f t="shared" si="87"/>
        <v>0</v>
      </c>
      <c r="H290" s="6">
        <f t="shared" si="88"/>
        <v>0</v>
      </c>
      <c r="I290" s="6">
        <f t="shared" si="89"/>
        <v>0</v>
      </c>
      <c r="J290" s="6">
        <f t="shared" si="90"/>
        <v>0</v>
      </c>
      <c r="K290" s="6">
        <f t="shared" si="91"/>
        <v>0</v>
      </c>
      <c r="L290" s="6">
        <f t="shared" si="92"/>
        <v>0</v>
      </c>
      <c r="M290" s="6">
        <f t="shared" si="93"/>
        <v>0</v>
      </c>
      <c r="N290" s="6">
        <f t="shared" si="94"/>
        <v>0</v>
      </c>
      <c r="O290" s="6">
        <f t="shared" si="95"/>
        <v>0</v>
      </c>
      <c r="P290" s="6">
        <f t="shared" si="96"/>
        <v>0</v>
      </c>
      <c r="Q290" s="6">
        <f t="shared" si="97"/>
        <v>0</v>
      </c>
      <c r="R290" s="6">
        <f t="shared" si="98"/>
        <v>0</v>
      </c>
      <c r="S290" s="6">
        <f t="shared" si="99"/>
        <v>0</v>
      </c>
      <c r="T290" s="6">
        <f t="shared" si="100"/>
        <v>0</v>
      </c>
      <c r="U290" s="6">
        <f t="shared" si="101"/>
        <v>0</v>
      </c>
      <c r="V290" s="6">
        <f t="shared" si="102"/>
        <v>0</v>
      </c>
      <c r="W290" s="6">
        <f t="shared" si="103"/>
        <v>0</v>
      </c>
      <c r="X290" s="6">
        <f t="shared" si="104"/>
        <v>0</v>
      </c>
      <c r="Y290" s="6">
        <f t="shared" si="105"/>
        <v>0</v>
      </c>
      <c r="AA290" s="6" t="str">
        <f>IF(最佳化斷筋點!C290="","",最佳化斷筋點!C290)</f>
        <v/>
      </c>
      <c r="AB290" s="6" t="str">
        <f>IF(最佳化斷筋點!D290="","",最佳化斷筋點!D290)</f>
        <v/>
      </c>
      <c r="AC290" s="6" t="str">
        <f>IF(最佳化斷筋點!E290="","",最佳化斷筋點!E290)</f>
        <v/>
      </c>
      <c r="AD290" s="6" t="str">
        <f>IF(最佳化斷筋點!F290="","",最佳化斷筋點!F290)</f>
        <v/>
      </c>
      <c r="AE290" s="6" t="str">
        <f>IF(最佳化斷筋點!G290="","",最佳化斷筋點!G290)</f>
        <v/>
      </c>
      <c r="AF290" s="6" t="str">
        <f>IF(最佳化斷筋點!H290="","",最佳化斷筋點!H290)</f>
        <v/>
      </c>
      <c r="AG290" s="6" t="str">
        <f>IF(最佳化斷筋點!I290="","",最佳化斷筋點!I290)</f>
        <v/>
      </c>
      <c r="AH290" s="6" t="str">
        <f>IF(最佳化斷筋點!J290="","",最佳化斷筋點!J290)</f>
        <v/>
      </c>
      <c r="AI290" s="6" t="str">
        <f>IF(最佳化斷筋點!K290="","",最佳化斷筋點!K290)</f>
        <v/>
      </c>
      <c r="AJ290" s="6" t="str">
        <f>IF(最佳化斷筋點!L290="","",最佳化斷筋點!L290)</f>
        <v/>
      </c>
      <c r="AK290" s="6" t="str">
        <f>IF(最佳化斷筋點!M290="","",最佳化斷筋點!M290)</f>
        <v/>
      </c>
      <c r="AL290" s="6" t="str">
        <f>IF(最佳化斷筋點!N290="","",最佳化斷筋點!N290)</f>
        <v/>
      </c>
      <c r="AM290" s="6" t="str">
        <f>IF(最佳化斷筋點!O290="","",最佳化斷筋點!O290)</f>
        <v/>
      </c>
      <c r="AN290" s="6" t="str">
        <f>IF(最佳化斷筋點!P290="","",最佳化斷筋點!P290)</f>
        <v/>
      </c>
      <c r="AO290" s="6" t="str">
        <f>IF(最佳化斷筋點!Q290="","",最佳化斷筋點!Q290)</f>
        <v/>
      </c>
      <c r="AP290" s="6" t="str">
        <f>IF(最佳化斷筋點!R290="","",最佳化斷筋點!R290)</f>
        <v/>
      </c>
      <c r="AQ290" s="6" t="str">
        <f>IF(最佳化斷筋點!S290="","",最佳化斷筋點!S290)</f>
        <v/>
      </c>
      <c r="AR290" s="6" t="str">
        <f>IF(最佳化斷筋點!T290="","",最佳化斷筋點!T290)</f>
        <v/>
      </c>
      <c r="AS290" s="6" t="str">
        <f>IF(最佳化斷筋點!U290="","",最佳化斷筋點!U290)</f>
        <v/>
      </c>
      <c r="AT290" s="6" t="str">
        <f>IF(最佳化斷筋點!V290="","",最佳化斷筋點!V290)</f>
        <v/>
      </c>
      <c r="AU290" s="6" t="str">
        <f>IF(最佳化斷筋點!W290="","",最佳化斷筋點!W290)</f>
        <v/>
      </c>
      <c r="AV290" s="6" t="str">
        <f>IF(最佳化斷筋點!X290="","",最佳化斷筋點!X290)</f>
        <v/>
      </c>
    </row>
    <row r="291" spans="4:71" x14ac:dyDescent="0.25">
      <c r="D291" s="6" t="s">
        <v>50</v>
      </c>
      <c r="E291" s="6">
        <f t="shared" si="85"/>
        <v>0</v>
      </c>
      <c r="F291" s="6">
        <f t="shared" si="86"/>
        <v>0</v>
      </c>
      <c r="G291" s="6">
        <f t="shared" si="87"/>
        <v>0</v>
      </c>
      <c r="H291" s="6">
        <f t="shared" si="88"/>
        <v>0</v>
      </c>
      <c r="I291" s="6">
        <f t="shared" si="89"/>
        <v>0</v>
      </c>
      <c r="J291" s="6">
        <f t="shared" si="90"/>
        <v>0</v>
      </c>
      <c r="K291" s="6">
        <f t="shared" si="91"/>
        <v>0</v>
      </c>
      <c r="L291" s="6">
        <f t="shared" si="92"/>
        <v>0</v>
      </c>
      <c r="M291" s="6">
        <f t="shared" si="93"/>
        <v>0</v>
      </c>
      <c r="N291" s="6">
        <f t="shared" si="94"/>
        <v>0</v>
      </c>
      <c r="O291" s="6">
        <f t="shared" si="95"/>
        <v>0</v>
      </c>
      <c r="P291" s="6">
        <f t="shared" si="96"/>
        <v>0</v>
      </c>
      <c r="Q291" s="6">
        <f t="shared" si="97"/>
        <v>0</v>
      </c>
      <c r="R291" s="6">
        <f t="shared" si="98"/>
        <v>0</v>
      </c>
      <c r="S291" s="6">
        <f t="shared" si="99"/>
        <v>0</v>
      </c>
      <c r="T291" s="6">
        <f t="shared" si="100"/>
        <v>0</v>
      </c>
      <c r="U291" s="6">
        <f t="shared" si="101"/>
        <v>0</v>
      </c>
      <c r="V291" s="6">
        <f t="shared" si="102"/>
        <v>0</v>
      </c>
      <c r="W291" s="6">
        <f t="shared" si="103"/>
        <v>0</v>
      </c>
      <c r="X291" s="6">
        <f t="shared" si="104"/>
        <v>0</v>
      </c>
      <c r="Y291" s="6">
        <f t="shared" si="105"/>
        <v>0</v>
      </c>
      <c r="AA291" s="6" t="str">
        <f>IF(最佳化斷筋點!C291="","",最佳化斷筋點!C291)</f>
        <v>上層</v>
      </c>
      <c r="AB291" s="6">
        <f>IF(最佳化斷筋點!D291="","",最佳化斷筋點!D291)</f>
        <v>12</v>
      </c>
      <c r="AC291" s="6">
        <f>IF(最佳化斷筋點!E291="","",最佳化斷筋點!E291)</f>
        <v>11</v>
      </c>
      <c r="AD291" s="6">
        <f>IF(最佳化斷筋點!F291="","",最佳化斷筋點!F291)</f>
        <v>10</v>
      </c>
      <c r="AE291" s="6">
        <f>IF(最佳化斷筋點!G291="","",最佳化斷筋點!G291)</f>
        <v>9</v>
      </c>
      <c r="AF291" s="6">
        <f>IF(最佳化斷筋點!H291="","",最佳化斷筋點!H291)</f>
        <v>8</v>
      </c>
      <c r="AG291" s="6">
        <f>IF(最佳化斷筋點!I291="","",最佳化斷筋點!I291)</f>
        <v>7</v>
      </c>
      <c r="AH291" s="6">
        <f>IF(最佳化斷筋點!J291="","",最佳化斷筋點!J291)</f>
        <v>5</v>
      </c>
      <c r="AI291" s="6">
        <f>IF(最佳化斷筋點!K291="","",最佳化斷筋點!K291)</f>
        <v>4</v>
      </c>
      <c r="AJ291" s="6">
        <f>IF(最佳化斷筋點!L291="","",最佳化斷筋點!L291)</f>
        <v>3</v>
      </c>
      <c r="AK291" s="6">
        <f>IF(最佳化斷筋點!M291="","",最佳化斷筋點!M291)</f>
        <v>2</v>
      </c>
      <c r="AL291" s="6">
        <f>IF(最佳化斷筋點!N291="","",最佳化斷筋點!N291)</f>
        <v>2</v>
      </c>
      <c r="AM291" s="6">
        <f>IF(最佳化斷筋點!O291="","",最佳化斷筋點!O291)</f>
        <v>2</v>
      </c>
      <c r="AN291" s="6">
        <f>IF(最佳化斷筋點!P291="","",最佳化斷筋點!P291)</f>
        <v>2</v>
      </c>
      <c r="AO291" s="6">
        <f>IF(最佳化斷筋點!Q291="","",最佳化斷筋點!Q291)</f>
        <v>2</v>
      </c>
      <c r="AP291" s="6">
        <f>IF(最佳化斷筋點!R291="","",最佳化斷筋點!R291)</f>
        <v>2</v>
      </c>
      <c r="AQ291" s="6">
        <f>IF(最佳化斷筋點!S291="","",最佳化斷筋點!S291)</f>
        <v>2</v>
      </c>
      <c r="AR291" s="6">
        <f>IF(最佳化斷筋點!T291="","",最佳化斷筋點!T291)</f>
        <v>2</v>
      </c>
      <c r="AS291" s="6">
        <f>IF(最佳化斷筋點!U291="","",最佳化斷筋點!U291)</f>
        <v>2</v>
      </c>
      <c r="AT291" s="6">
        <f>IF(最佳化斷筋點!V291="","",最佳化斷筋點!V291)</f>
        <v>2</v>
      </c>
      <c r="AU291" s="6">
        <f>IF(最佳化斷筋點!W291="","",最佳化斷筋點!W291)</f>
        <v>2</v>
      </c>
      <c r="AV291" s="6">
        <f>IF(最佳化斷筋點!X291="","",最佳化斷筋點!X291)</f>
        <v>2</v>
      </c>
      <c r="AX291" s="6" t="s">
        <v>50</v>
      </c>
      <c r="AY291" s="6">
        <v>12</v>
      </c>
      <c r="AZ291" s="6">
        <v>11</v>
      </c>
      <c r="BA291" s="6">
        <v>10</v>
      </c>
      <c r="BB291" s="6">
        <v>9</v>
      </c>
      <c r="BC291" s="6">
        <v>8</v>
      </c>
      <c r="BD291" s="6">
        <v>7</v>
      </c>
      <c r="BE291" s="6">
        <v>5</v>
      </c>
      <c r="BF291" s="6">
        <v>4</v>
      </c>
      <c r="BG291" s="6">
        <v>3</v>
      </c>
      <c r="BH291" s="6">
        <v>2</v>
      </c>
      <c r="BI291" s="6">
        <v>2</v>
      </c>
      <c r="BJ291" s="6">
        <v>2</v>
      </c>
      <c r="BK291" s="6">
        <v>2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</row>
    <row r="292" spans="4:71" x14ac:dyDescent="0.25">
      <c r="E292" s="6">
        <f t="shared" si="85"/>
        <v>0</v>
      </c>
      <c r="F292" s="6">
        <f t="shared" si="86"/>
        <v>0</v>
      </c>
      <c r="G292" s="6">
        <f t="shared" si="87"/>
        <v>0</v>
      </c>
      <c r="H292" s="6">
        <f t="shared" si="88"/>
        <v>0</v>
      </c>
      <c r="I292" s="6">
        <f t="shared" si="89"/>
        <v>0</v>
      </c>
      <c r="J292" s="6">
        <f t="shared" si="90"/>
        <v>0</v>
      </c>
      <c r="K292" s="6">
        <f t="shared" si="91"/>
        <v>0</v>
      </c>
      <c r="L292" s="6">
        <f t="shared" si="92"/>
        <v>0</v>
      </c>
      <c r="M292" s="6">
        <f t="shared" si="93"/>
        <v>0</v>
      </c>
      <c r="N292" s="6">
        <f t="shared" si="94"/>
        <v>0</v>
      </c>
      <c r="O292" s="6">
        <f t="shared" si="95"/>
        <v>0</v>
      </c>
      <c r="P292" s="6">
        <f t="shared" si="96"/>
        <v>0</v>
      </c>
      <c r="Q292" s="6">
        <f t="shared" si="97"/>
        <v>0</v>
      </c>
      <c r="R292" s="6">
        <f t="shared" si="98"/>
        <v>0</v>
      </c>
      <c r="S292" s="6">
        <f t="shared" si="99"/>
        <v>0</v>
      </c>
      <c r="T292" s="6">
        <f t="shared" si="100"/>
        <v>0</v>
      </c>
      <c r="U292" s="6">
        <f t="shared" si="101"/>
        <v>0</v>
      </c>
      <c r="V292" s="6">
        <f t="shared" si="102"/>
        <v>0</v>
      </c>
      <c r="W292" s="6">
        <f t="shared" si="103"/>
        <v>0</v>
      </c>
      <c r="X292" s="6">
        <f t="shared" si="104"/>
        <v>0</v>
      </c>
      <c r="Y292" s="6">
        <f t="shared" si="105"/>
        <v>0</v>
      </c>
      <c r="AA292" s="6" t="str">
        <f>IF(最佳化斷筋點!C292="","",最佳化斷筋點!C292)</f>
        <v/>
      </c>
      <c r="AB292" s="6" t="str">
        <f>IF(最佳化斷筋點!D292="","",最佳化斷筋點!D292)</f>
        <v/>
      </c>
      <c r="AC292" s="6" t="str">
        <f>IF(最佳化斷筋點!E292="","",最佳化斷筋點!E292)</f>
        <v/>
      </c>
      <c r="AD292" s="6" t="str">
        <f>IF(最佳化斷筋點!F292="","",最佳化斷筋點!F292)</f>
        <v/>
      </c>
      <c r="AE292" s="6" t="str">
        <f>IF(最佳化斷筋點!G292="","",最佳化斷筋點!G292)</f>
        <v/>
      </c>
      <c r="AF292" s="6" t="str">
        <f>IF(最佳化斷筋點!H292="","",最佳化斷筋點!H292)</f>
        <v/>
      </c>
      <c r="AG292" s="6" t="str">
        <f>IF(最佳化斷筋點!I292="","",最佳化斷筋點!I292)</f>
        <v/>
      </c>
      <c r="AH292" s="6" t="str">
        <f>IF(最佳化斷筋點!J292="","",最佳化斷筋點!J292)</f>
        <v/>
      </c>
      <c r="AI292" s="6" t="str">
        <f>IF(最佳化斷筋點!K292="","",最佳化斷筋點!K292)</f>
        <v/>
      </c>
      <c r="AJ292" s="6" t="str">
        <f>IF(最佳化斷筋點!L292="","",最佳化斷筋點!L292)</f>
        <v/>
      </c>
      <c r="AK292" s="6" t="str">
        <f>IF(最佳化斷筋點!M292="","",最佳化斷筋點!M292)</f>
        <v/>
      </c>
      <c r="AL292" s="6" t="str">
        <f>IF(最佳化斷筋點!N292="","",最佳化斷筋點!N292)</f>
        <v/>
      </c>
      <c r="AM292" s="6" t="str">
        <f>IF(最佳化斷筋點!O292="","",最佳化斷筋點!O292)</f>
        <v/>
      </c>
      <c r="AN292" s="6" t="str">
        <f>IF(最佳化斷筋點!P292="","",最佳化斷筋點!P292)</f>
        <v/>
      </c>
      <c r="AO292" s="6" t="str">
        <f>IF(最佳化斷筋點!Q292="","",最佳化斷筋點!Q292)</f>
        <v/>
      </c>
      <c r="AP292" s="6" t="str">
        <f>IF(最佳化斷筋點!R292="","",最佳化斷筋點!R292)</f>
        <v/>
      </c>
      <c r="AQ292" s="6" t="str">
        <f>IF(最佳化斷筋點!S292="","",最佳化斷筋點!S292)</f>
        <v/>
      </c>
      <c r="AR292" s="6" t="str">
        <f>IF(最佳化斷筋點!T292="","",最佳化斷筋點!T292)</f>
        <v/>
      </c>
      <c r="AS292" s="6" t="str">
        <f>IF(最佳化斷筋點!U292="","",最佳化斷筋點!U292)</f>
        <v/>
      </c>
      <c r="AT292" s="6" t="str">
        <f>IF(最佳化斷筋點!V292="","",最佳化斷筋點!V292)</f>
        <v/>
      </c>
      <c r="AU292" s="6" t="str">
        <f>IF(最佳化斷筋點!W292="","",最佳化斷筋點!W292)</f>
        <v/>
      </c>
      <c r="AV292" s="6" t="str">
        <f>IF(最佳化斷筋點!X292="","",最佳化斷筋點!X292)</f>
        <v/>
      </c>
    </row>
    <row r="293" spans="4:71" x14ac:dyDescent="0.25">
      <c r="D293" s="6" t="s">
        <v>51</v>
      </c>
      <c r="E293" s="6">
        <f t="shared" si="85"/>
        <v>0</v>
      </c>
      <c r="F293" s="6">
        <f t="shared" si="86"/>
        <v>0</v>
      </c>
      <c r="G293" s="6">
        <f t="shared" si="87"/>
        <v>0</v>
      </c>
      <c r="H293" s="6">
        <f t="shared" si="88"/>
        <v>0</v>
      </c>
      <c r="I293" s="6">
        <f t="shared" si="89"/>
        <v>0</v>
      </c>
      <c r="J293" s="6">
        <f t="shared" si="90"/>
        <v>0</v>
      </c>
      <c r="K293" s="6">
        <f t="shared" si="91"/>
        <v>0</v>
      </c>
      <c r="L293" s="6">
        <f t="shared" si="92"/>
        <v>0</v>
      </c>
      <c r="M293" s="6">
        <f t="shared" si="93"/>
        <v>0</v>
      </c>
      <c r="N293" s="6">
        <f t="shared" si="94"/>
        <v>0</v>
      </c>
      <c r="O293" s="6">
        <f t="shared" si="95"/>
        <v>0</v>
      </c>
      <c r="P293" s="6">
        <f t="shared" si="96"/>
        <v>0</v>
      </c>
      <c r="Q293" s="6">
        <f t="shared" si="97"/>
        <v>0</v>
      </c>
      <c r="R293" s="6">
        <f t="shared" si="98"/>
        <v>0</v>
      </c>
      <c r="S293" s="6">
        <f t="shared" si="99"/>
        <v>0</v>
      </c>
      <c r="T293" s="6">
        <f t="shared" si="100"/>
        <v>0</v>
      </c>
      <c r="U293" s="6">
        <f t="shared" si="101"/>
        <v>0</v>
      </c>
      <c r="V293" s="6">
        <f t="shared" si="102"/>
        <v>0</v>
      </c>
      <c r="W293" s="6">
        <f t="shared" si="103"/>
        <v>0</v>
      </c>
      <c r="X293" s="6">
        <f t="shared" si="104"/>
        <v>0</v>
      </c>
      <c r="Y293" s="6">
        <f t="shared" si="105"/>
        <v>0</v>
      </c>
      <c r="AA293" s="6" t="str">
        <f>IF(最佳化斷筋點!C293="","",最佳化斷筋點!C293)</f>
        <v>下層</v>
      </c>
      <c r="AB293" s="6">
        <f>IF(最佳化斷筋點!D293="","",最佳化斷筋點!D293)</f>
        <v>7</v>
      </c>
      <c r="AC293" s="6">
        <f>IF(最佳化斷筋點!E293="","",最佳化斷筋點!E293)</f>
        <v>7</v>
      </c>
      <c r="AD293" s="6">
        <f>IF(最佳化斷筋點!F293="","",最佳化斷筋點!F293)</f>
        <v>6</v>
      </c>
      <c r="AE293" s="6">
        <f>IF(最佳化斷筋點!G293="","",最佳化斷筋點!G293)</f>
        <v>5</v>
      </c>
      <c r="AF293" s="6">
        <f>IF(最佳化斷筋點!H293="","",最佳化斷筋點!H293)</f>
        <v>6</v>
      </c>
      <c r="AG293" s="6">
        <f>IF(最佳化斷筋點!I293="","",最佳化斷筋點!I293)</f>
        <v>7</v>
      </c>
      <c r="AH293" s="6">
        <f>IF(最佳化斷筋點!J293="","",最佳化斷筋點!J293)</f>
        <v>8</v>
      </c>
      <c r="AI293" s="6">
        <f>IF(最佳化斷筋點!K293="","",最佳化斷筋點!K293)</f>
        <v>9</v>
      </c>
      <c r="AJ293" s="6">
        <f>IF(最佳化斷筋點!L293="","",最佳化斷筋點!L293)</f>
        <v>9</v>
      </c>
      <c r="AK293" s="6">
        <f>IF(最佳化斷筋點!M293="","",最佳化斷筋點!M293)</f>
        <v>9</v>
      </c>
      <c r="AL293" s="6">
        <f>IF(最佳化斷筋點!N293="","",最佳化斷筋點!N293)</f>
        <v>9</v>
      </c>
      <c r="AM293" s="6">
        <f>IF(最佳化斷筋點!O293="","",最佳化斷筋點!O293)</f>
        <v>9</v>
      </c>
      <c r="AN293" s="6">
        <f>IF(最佳化斷筋點!P293="","",最佳化斷筋點!P293)</f>
        <v>9</v>
      </c>
      <c r="AO293" s="6">
        <f>IF(最佳化斷筋點!Q293="","",最佳化斷筋點!Q293)</f>
        <v>9</v>
      </c>
      <c r="AP293" s="6">
        <f>IF(最佳化斷筋點!R293="","",最佳化斷筋點!R293)</f>
        <v>8</v>
      </c>
      <c r="AQ293" s="6">
        <f>IF(最佳化斷筋點!S293="","",最佳化斷筋點!S293)</f>
        <v>7</v>
      </c>
      <c r="AR293" s="6">
        <f>IF(最佳化斷筋點!T293="","",最佳化斷筋點!T293)</f>
        <v>6</v>
      </c>
      <c r="AS293" s="6">
        <f>IF(最佳化斷筋點!U293="","",最佳化斷筋點!U293)</f>
        <v>7</v>
      </c>
      <c r="AT293" s="6">
        <f>IF(最佳化斷筋點!V293="","",最佳化斷筋點!V293)</f>
        <v>8</v>
      </c>
      <c r="AU293" s="6">
        <f>IF(最佳化斷筋點!W293="","",最佳化斷筋點!W293)</f>
        <v>9</v>
      </c>
      <c r="AV293" s="6">
        <f>IF(最佳化斷筋點!X293="","",最佳化斷筋點!X293)</f>
        <v>9</v>
      </c>
      <c r="AX293" s="6" t="s">
        <v>51</v>
      </c>
      <c r="AY293" s="6">
        <v>7</v>
      </c>
      <c r="AZ293" s="6">
        <v>7</v>
      </c>
      <c r="BA293" s="6">
        <v>6</v>
      </c>
      <c r="BB293" s="6">
        <v>5</v>
      </c>
      <c r="BC293" s="6">
        <v>6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8</v>
      </c>
      <c r="BN293" s="6">
        <v>7</v>
      </c>
      <c r="BO293" s="6">
        <v>6</v>
      </c>
      <c r="BP293" s="6">
        <v>7</v>
      </c>
      <c r="BQ293" s="6">
        <v>8</v>
      </c>
      <c r="BR293" s="6">
        <v>9</v>
      </c>
      <c r="BS293" s="6">
        <v>9</v>
      </c>
    </row>
    <row r="294" spans="4:71" x14ac:dyDescent="0.25">
      <c r="E294" s="6">
        <f t="shared" si="85"/>
        <v>0</v>
      </c>
      <c r="F294" s="6">
        <f t="shared" si="86"/>
        <v>0</v>
      </c>
      <c r="G294" s="6">
        <f t="shared" si="87"/>
        <v>0</v>
      </c>
      <c r="H294" s="6">
        <f t="shared" si="88"/>
        <v>0</v>
      </c>
      <c r="I294" s="6">
        <f t="shared" si="89"/>
        <v>0</v>
      </c>
      <c r="J294" s="6">
        <f t="shared" si="90"/>
        <v>0</v>
      </c>
      <c r="K294" s="6">
        <f t="shared" si="91"/>
        <v>0</v>
      </c>
      <c r="L294" s="6">
        <f t="shared" si="92"/>
        <v>0</v>
      </c>
      <c r="M294" s="6">
        <f t="shared" si="93"/>
        <v>0</v>
      </c>
      <c r="N294" s="6">
        <f t="shared" si="94"/>
        <v>0</v>
      </c>
      <c r="O294" s="6">
        <f t="shared" si="95"/>
        <v>0</v>
      </c>
      <c r="P294" s="6">
        <f t="shared" si="96"/>
        <v>0</v>
      </c>
      <c r="Q294" s="6">
        <f t="shared" si="97"/>
        <v>0</v>
      </c>
      <c r="R294" s="6">
        <f t="shared" si="98"/>
        <v>0</v>
      </c>
      <c r="S294" s="6">
        <f t="shared" si="99"/>
        <v>0</v>
      </c>
      <c r="T294" s="6">
        <f t="shared" si="100"/>
        <v>0</v>
      </c>
      <c r="U294" s="6">
        <f t="shared" si="101"/>
        <v>0</v>
      </c>
      <c r="V294" s="6">
        <f t="shared" si="102"/>
        <v>0</v>
      </c>
      <c r="W294" s="6">
        <f t="shared" si="103"/>
        <v>0</v>
      </c>
      <c r="X294" s="6">
        <f t="shared" si="104"/>
        <v>0</v>
      </c>
      <c r="Y294" s="6">
        <f t="shared" si="105"/>
        <v>0</v>
      </c>
      <c r="AA294" s="6" t="str">
        <f>IF(最佳化斷筋點!C294="","",最佳化斷筋點!C294)</f>
        <v/>
      </c>
      <c r="AB294" s="6" t="str">
        <f>IF(最佳化斷筋點!D294="","",最佳化斷筋點!D294)</f>
        <v/>
      </c>
      <c r="AC294" s="6" t="str">
        <f>IF(最佳化斷筋點!E294="","",最佳化斷筋點!E294)</f>
        <v/>
      </c>
      <c r="AD294" s="6" t="str">
        <f>IF(最佳化斷筋點!F294="","",最佳化斷筋點!F294)</f>
        <v/>
      </c>
      <c r="AE294" s="6" t="str">
        <f>IF(最佳化斷筋點!G294="","",最佳化斷筋點!G294)</f>
        <v/>
      </c>
      <c r="AF294" s="6" t="str">
        <f>IF(最佳化斷筋點!H294="","",最佳化斷筋點!H294)</f>
        <v/>
      </c>
      <c r="AG294" s="6" t="str">
        <f>IF(最佳化斷筋點!I294="","",最佳化斷筋點!I294)</f>
        <v/>
      </c>
      <c r="AH294" s="6" t="str">
        <f>IF(最佳化斷筋點!J294="","",最佳化斷筋點!J294)</f>
        <v/>
      </c>
      <c r="AI294" s="6" t="str">
        <f>IF(最佳化斷筋點!K294="","",最佳化斷筋點!K294)</f>
        <v/>
      </c>
      <c r="AJ294" s="6" t="str">
        <f>IF(最佳化斷筋點!L294="","",最佳化斷筋點!L294)</f>
        <v/>
      </c>
      <c r="AK294" s="6" t="str">
        <f>IF(最佳化斷筋點!M294="","",最佳化斷筋點!M294)</f>
        <v/>
      </c>
      <c r="AL294" s="6" t="str">
        <f>IF(最佳化斷筋點!N294="","",最佳化斷筋點!N294)</f>
        <v/>
      </c>
      <c r="AM294" s="6" t="str">
        <f>IF(最佳化斷筋點!O294="","",最佳化斷筋點!O294)</f>
        <v/>
      </c>
      <c r="AN294" s="6" t="str">
        <f>IF(最佳化斷筋點!P294="","",最佳化斷筋點!P294)</f>
        <v/>
      </c>
      <c r="AO294" s="6" t="str">
        <f>IF(最佳化斷筋點!Q294="","",最佳化斷筋點!Q294)</f>
        <v/>
      </c>
      <c r="AP294" s="6" t="str">
        <f>IF(最佳化斷筋點!R294="","",最佳化斷筋點!R294)</f>
        <v/>
      </c>
      <c r="AQ294" s="6" t="str">
        <f>IF(最佳化斷筋點!S294="","",最佳化斷筋點!S294)</f>
        <v/>
      </c>
      <c r="AR294" s="6" t="str">
        <f>IF(最佳化斷筋點!T294="","",最佳化斷筋點!T294)</f>
        <v/>
      </c>
      <c r="AS294" s="6" t="str">
        <f>IF(最佳化斷筋點!U294="","",最佳化斷筋點!U294)</f>
        <v/>
      </c>
      <c r="AT294" s="6" t="str">
        <f>IF(最佳化斷筋點!V294="","",最佳化斷筋點!V294)</f>
        <v/>
      </c>
      <c r="AU294" s="6" t="str">
        <f>IF(最佳化斷筋點!W294="","",最佳化斷筋點!W294)</f>
        <v/>
      </c>
      <c r="AV294" s="6" t="str">
        <f>IF(最佳化斷筋點!X294="","",最佳化斷筋點!X294)</f>
        <v/>
      </c>
    </row>
    <row r="295" spans="4:71" x14ac:dyDescent="0.25">
      <c r="D295" s="6" t="s">
        <v>50</v>
      </c>
      <c r="E295" s="6">
        <f t="shared" si="85"/>
        <v>0</v>
      </c>
      <c r="F295" s="6">
        <f t="shared" si="86"/>
        <v>0</v>
      </c>
      <c r="G295" s="6">
        <f t="shared" si="87"/>
        <v>0</v>
      </c>
      <c r="H295" s="6">
        <f t="shared" si="88"/>
        <v>0</v>
      </c>
      <c r="I295" s="6">
        <f t="shared" si="89"/>
        <v>0</v>
      </c>
      <c r="J295" s="6">
        <f t="shared" si="90"/>
        <v>0</v>
      </c>
      <c r="K295" s="6">
        <f t="shared" si="91"/>
        <v>0</v>
      </c>
      <c r="L295" s="6">
        <f t="shared" si="92"/>
        <v>0</v>
      </c>
      <c r="M295" s="6">
        <f t="shared" si="93"/>
        <v>0</v>
      </c>
      <c r="N295" s="6">
        <f t="shared" si="94"/>
        <v>0</v>
      </c>
      <c r="O295" s="6">
        <f t="shared" si="95"/>
        <v>0</v>
      </c>
      <c r="P295" s="6">
        <f t="shared" si="96"/>
        <v>0</v>
      </c>
      <c r="Q295" s="6">
        <f t="shared" si="97"/>
        <v>0</v>
      </c>
      <c r="R295" s="6">
        <f t="shared" si="98"/>
        <v>0</v>
      </c>
      <c r="S295" s="6">
        <f t="shared" si="99"/>
        <v>0</v>
      </c>
      <c r="T295" s="6">
        <f t="shared" si="100"/>
        <v>0</v>
      </c>
      <c r="U295" s="6">
        <f t="shared" si="101"/>
        <v>0</v>
      </c>
      <c r="V295" s="6">
        <f t="shared" si="102"/>
        <v>0</v>
      </c>
      <c r="W295" s="6">
        <f t="shared" si="103"/>
        <v>0</v>
      </c>
      <c r="X295" s="6">
        <f t="shared" si="104"/>
        <v>0</v>
      </c>
      <c r="Y295" s="6">
        <f t="shared" si="105"/>
        <v>0</v>
      </c>
      <c r="AA295" s="6" t="str">
        <f>IF(最佳化斷筋點!C295="","",最佳化斷筋點!C295)</f>
        <v>上層</v>
      </c>
      <c r="AB295" s="6">
        <f>IF(最佳化斷筋點!D295="","",最佳化斷筋點!D295)</f>
        <v>12</v>
      </c>
      <c r="AC295" s="6">
        <f>IF(最佳化斷筋點!E295="","",最佳化斷筋點!E295)</f>
        <v>11</v>
      </c>
      <c r="AD295" s="6">
        <f>IF(最佳化斷筋點!F295="","",最佳化斷筋點!F295)</f>
        <v>10</v>
      </c>
      <c r="AE295" s="6">
        <f>IF(最佳化斷筋點!G295="","",最佳化斷筋點!G295)</f>
        <v>9</v>
      </c>
      <c r="AF295" s="6">
        <f>IF(最佳化斷筋點!H295="","",最佳化斷筋點!H295)</f>
        <v>8</v>
      </c>
      <c r="AG295" s="6">
        <f>IF(最佳化斷筋點!I295="","",最佳化斷筋點!I295)</f>
        <v>7</v>
      </c>
      <c r="AH295" s="6">
        <f>IF(最佳化斷筋點!J295="","",最佳化斷筋點!J295)</f>
        <v>5</v>
      </c>
      <c r="AI295" s="6">
        <f>IF(最佳化斷筋點!K295="","",最佳化斷筋點!K295)</f>
        <v>4</v>
      </c>
      <c r="AJ295" s="6">
        <f>IF(最佳化斷筋點!L295="","",最佳化斷筋點!L295)</f>
        <v>3</v>
      </c>
      <c r="AK295" s="6">
        <f>IF(最佳化斷筋點!M295="","",最佳化斷筋點!M295)</f>
        <v>2</v>
      </c>
      <c r="AL295" s="6">
        <f>IF(最佳化斷筋點!N295="","",最佳化斷筋點!N295)</f>
        <v>2</v>
      </c>
      <c r="AM295" s="6">
        <f>IF(最佳化斷筋點!O295="","",最佳化斷筋點!O295)</f>
        <v>2</v>
      </c>
      <c r="AN295" s="6">
        <f>IF(最佳化斷筋點!P295="","",最佳化斷筋點!P295)</f>
        <v>2</v>
      </c>
      <c r="AO295" s="6">
        <f>IF(最佳化斷筋點!Q295="","",最佳化斷筋點!Q295)</f>
        <v>2</v>
      </c>
      <c r="AP295" s="6">
        <f>IF(最佳化斷筋點!R295="","",最佳化斷筋點!R295)</f>
        <v>2</v>
      </c>
      <c r="AQ295" s="6">
        <f>IF(最佳化斷筋點!S295="","",最佳化斷筋點!S295)</f>
        <v>2</v>
      </c>
      <c r="AR295" s="6">
        <f>IF(最佳化斷筋點!T295="","",最佳化斷筋點!T295)</f>
        <v>2</v>
      </c>
      <c r="AS295" s="6">
        <f>IF(最佳化斷筋點!U295="","",最佳化斷筋點!U295)</f>
        <v>2</v>
      </c>
      <c r="AT295" s="6">
        <f>IF(最佳化斷筋點!V295="","",最佳化斷筋點!V295)</f>
        <v>2</v>
      </c>
      <c r="AU295" s="6">
        <f>IF(最佳化斷筋點!W295="","",最佳化斷筋點!W295)</f>
        <v>2</v>
      </c>
      <c r="AV295" s="6">
        <f>IF(最佳化斷筋點!X295="","",最佳化斷筋點!X295)</f>
        <v>2</v>
      </c>
      <c r="AX295" s="6" t="s">
        <v>50</v>
      </c>
      <c r="AY295" s="6">
        <v>12</v>
      </c>
      <c r="AZ295" s="6">
        <v>11</v>
      </c>
      <c r="BA295" s="6">
        <v>10</v>
      </c>
      <c r="BB295" s="6">
        <v>9</v>
      </c>
      <c r="BC295" s="6">
        <v>8</v>
      </c>
      <c r="BD295" s="6">
        <v>7</v>
      </c>
      <c r="BE295" s="6">
        <v>5</v>
      </c>
      <c r="BF295" s="6">
        <v>4</v>
      </c>
      <c r="BG295" s="6">
        <v>3</v>
      </c>
      <c r="BH295" s="6">
        <v>2</v>
      </c>
      <c r="BI295" s="6">
        <v>2</v>
      </c>
      <c r="BJ295" s="6">
        <v>2</v>
      </c>
      <c r="BK295" s="6">
        <v>2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</row>
    <row r="296" spans="4:71" x14ac:dyDescent="0.25">
      <c r="E296" s="6">
        <f t="shared" si="85"/>
        <v>0</v>
      </c>
      <c r="F296" s="6">
        <f t="shared" si="86"/>
        <v>0</v>
      </c>
      <c r="G296" s="6">
        <f t="shared" si="87"/>
        <v>0</v>
      </c>
      <c r="H296" s="6">
        <f t="shared" si="88"/>
        <v>0</v>
      </c>
      <c r="I296" s="6">
        <f t="shared" si="89"/>
        <v>0</v>
      </c>
      <c r="J296" s="6">
        <f t="shared" si="90"/>
        <v>0</v>
      </c>
      <c r="K296" s="6">
        <f t="shared" si="91"/>
        <v>0</v>
      </c>
      <c r="L296" s="6">
        <f t="shared" si="92"/>
        <v>0</v>
      </c>
      <c r="M296" s="6">
        <f t="shared" si="93"/>
        <v>0</v>
      </c>
      <c r="N296" s="6">
        <f t="shared" si="94"/>
        <v>0</v>
      </c>
      <c r="O296" s="6">
        <f t="shared" si="95"/>
        <v>0</v>
      </c>
      <c r="P296" s="6">
        <f t="shared" si="96"/>
        <v>0</v>
      </c>
      <c r="Q296" s="6">
        <f t="shared" si="97"/>
        <v>0</v>
      </c>
      <c r="R296" s="6">
        <f t="shared" si="98"/>
        <v>0</v>
      </c>
      <c r="S296" s="6">
        <f t="shared" si="99"/>
        <v>0</v>
      </c>
      <c r="T296" s="6">
        <f t="shared" si="100"/>
        <v>0</v>
      </c>
      <c r="U296" s="6">
        <f t="shared" si="101"/>
        <v>0</v>
      </c>
      <c r="V296" s="6">
        <f t="shared" si="102"/>
        <v>0</v>
      </c>
      <c r="W296" s="6">
        <f t="shared" si="103"/>
        <v>0</v>
      </c>
      <c r="X296" s="6">
        <f t="shared" si="104"/>
        <v>0</v>
      </c>
      <c r="Y296" s="6">
        <f t="shared" si="105"/>
        <v>0</v>
      </c>
      <c r="AA296" s="6" t="str">
        <f>IF(最佳化斷筋點!C296="","",最佳化斷筋點!C296)</f>
        <v/>
      </c>
      <c r="AB296" s="6" t="str">
        <f>IF(最佳化斷筋點!D296="","",最佳化斷筋點!D296)</f>
        <v/>
      </c>
      <c r="AC296" s="6" t="str">
        <f>IF(最佳化斷筋點!E296="","",最佳化斷筋點!E296)</f>
        <v/>
      </c>
      <c r="AD296" s="6" t="str">
        <f>IF(最佳化斷筋點!F296="","",最佳化斷筋點!F296)</f>
        <v/>
      </c>
      <c r="AE296" s="6" t="str">
        <f>IF(最佳化斷筋點!G296="","",最佳化斷筋點!G296)</f>
        <v/>
      </c>
      <c r="AF296" s="6" t="str">
        <f>IF(最佳化斷筋點!H296="","",最佳化斷筋點!H296)</f>
        <v/>
      </c>
      <c r="AG296" s="6" t="str">
        <f>IF(最佳化斷筋點!I296="","",最佳化斷筋點!I296)</f>
        <v/>
      </c>
      <c r="AH296" s="6" t="str">
        <f>IF(最佳化斷筋點!J296="","",最佳化斷筋點!J296)</f>
        <v/>
      </c>
      <c r="AI296" s="6" t="str">
        <f>IF(最佳化斷筋點!K296="","",最佳化斷筋點!K296)</f>
        <v/>
      </c>
      <c r="AJ296" s="6" t="str">
        <f>IF(最佳化斷筋點!L296="","",最佳化斷筋點!L296)</f>
        <v/>
      </c>
      <c r="AK296" s="6" t="str">
        <f>IF(最佳化斷筋點!M296="","",最佳化斷筋點!M296)</f>
        <v/>
      </c>
      <c r="AL296" s="6" t="str">
        <f>IF(最佳化斷筋點!N296="","",最佳化斷筋點!N296)</f>
        <v/>
      </c>
      <c r="AM296" s="6" t="str">
        <f>IF(最佳化斷筋點!O296="","",最佳化斷筋點!O296)</f>
        <v/>
      </c>
      <c r="AN296" s="6" t="str">
        <f>IF(最佳化斷筋點!P296="","",最佳化斷筋點!P296)</f>
        <v/>
      </c>
      <c r="AO296" s="6" t="str">
        <f>IF(最佳化斷筋點!Q296="","",最佳化斷筋點!Q296)</f>
        <v/>
      </c>
      <c r="AP296" s="6" t="str">
        <f>IF(最佳化斷筋點!R296="","",最佳化斷筋點!R296)</f>
        <v/>
      </c>
      <c r="AQ296" s="6" t="str">
        <f>IF(最佳化斷筋點!S296="","",最佳化斷筋點!S296)</f>
        <v/>
      </c>
      <c r="AR296" s="6" t="str">
        <f>IF(最佳化斷筋點!T296="","",最佳化斷筋點!T296)</f>
        <v/>
      </c>
      <c r="AS296" s="6" t="str">
        <f>IF(最佳化斷筋點!U296="","",最佳化斷筋點!U296)</f>
        <v/>
      </c>
      <c r="AT296" s="6" t="str">
        <f>IF(最佳化斷筋點!V296="","",最佳化斷筋點!V296)</f>
        <v/>
      </c>
      <c r="AU296" s="6" t="str">
        <f>IF(最佳化斷筋點!W296="","",最佳化斷筋點!W296)</f>
        <v/>
      </c>
      <c r="AV296" s="6" t="str">
        <f>IF(最佳化斷筋點!X296="","",最佳化斷筋點!X296)</f>
        <v/>
      </c>
    </row>
    <row r="297" spans="4:71" x14ac:dyDescent="0.25">
      <c r="D297" s="6" t="s">
        <v>51</v>
      </c>
      <c r="E297" s="6">
        <f t="shared" si="85"/>
        <v>0</v>
      </c>
      <c r="F297" s="6">
        <f t="shared" si="86"/>
        <v>0</v>
      </c>
      <c r="G297" s="6">
        <f t="shared" si="87"/>
        <v>0</v>
      </c>
      <c r="H297" s="6">
        <f t="shared" si="88"/>
        <v>0</v>
      </c>
      <c r="I297" s="6">
        <f t="shared" si="89"/>
        <v>0</v>
      </c>
      <c r="J297" s="6">
        <f t="shared" si="90"/>
        <v>0</v>
      </c>
      <c r="K297" s="6">
        <f t="shared" si="91"/>
        <v>0</v>
      </c>
      <c r="L297" s="6">
        <f t="shared" si="92"/>
        <v>0</v>
      </c>
      <c r="M297" s="6">
        <f t="shared" si="93"/>
        <v>0</v>
      </c>
      <c r="N297" s="6">
        <f t="shared" si="94"/>
        <v>0</v>
      </c>
      <c r="O297" s="6">
        <f t="shared" si="95"/>
        <v>0</v>
      </c>
      <c r="P297" s="6">
        <f t="shared" si="96"/>
        <v>0</v>
      </c>
      <c r="Q297" s="6">
        <f t="shared" si="97"/>
        <v>0</v>
      </c>
      <c r="R297" s="6">
        <f t="shared" si="98"/>
        <v>0</v>
      </c>
      <c r="S297" s="6">
        <f t="shared" si="99"/>
        <v>0</v>
      </c>
      <c r="T297" s="6">
        <f t="shared" si="100"/>
        <v>0</v>
      </c>
      <c r="U297" s="6">
        <f t="shared" si="101"/>
        <v>0</v>
      </c>
      <c r="V297" s="6">
        <f t="shared" si="102"/>
        <v>0</v>
      </c>
      <c r="W297" s="6">
        <f t="shared" si="103"/>
        <v>0</v>
      </c>
      <c r="X297" s="6">
        <f t="shared" si="104"/>
        <v>0</v>
      </c>
      <c r="Y297" s="6">
        <f t="shared" si="105"/>
        <v>0</v>
      </c>
      <c r="AA297" s="6" t="str">
        <f>IF(最佳化斷筋點!C297="","",最佳化斷筋點!C297)</f>
        <v>下層</v>
      </c>
      <c r="AB297" s="6">
        <f>IF(最佳化斷筋點!D297="","",最佳化斷筋點!D297)</f>
        <v>7</v>
      </c>
      <c r="AC297" s="6">
        <f>IF(最佳化斷筋點!E297="","",最佳化斷筋點!E297)</f>
        <v>7</v>
      </c>
      <c r="AD297" s="6">
        <f>IF(最佳化斷筋點!F297="","",最佳化斷筋點!F297)</f>
        <v>6</v>
      </c>
      <c r="AE297" s="6">
        <f>IF(最佳化斷筋點!G297="","",最佳化斷筋點!G297)</f>
        <v>5</v>
      </c>
      <c r="AF297" s="6">
        <f>IF(最佳化斷筋點!H297="","",最佳化斷筋點!H297)</f>
        <v>6</v>
      </c>
      <c r="AG297" s="6">
        <f>IF(最佳化斷筋點!I297="","",最佳化斷筋點!I297)</f>
        <v>7</v>
      </c>
      <c r="AH297" s="6">
        <f>IF(最佳化斷筋點!J297="","",最佳化斷筋點!J297)</f>
        <v>8</v>
      </c>
      <c r="AI297" s="6">
        <f>IF(最佳化斷筋點!K297="","",最佳化斷筋點!K297)</f>
        <v>9</v>
      </c>
      <c r="AJ297" s="6">
        <f>IF(最佳化斷筋點!L297="","",最佳化斷筋點!L297)</f>
        <v>9</v>
      </c>
      <c r="AK297" s="6">
        <f>IF(最佳化斷筋點!M297="","",最佳化斷筋點!M297)</f>
        <v>9</v>
      </c>
      <c r="AL297" s="6">
        <f>IF(最佳化斷筋點!N297="","",最佳化斷筋點!N297)</f>
        <v>9</v>
      </c>
      <c r="AM297" s="6">
        <f>IF(最佳化斷筋點!O297="","",最佳化斷筋點!O297)</f>
        <v>9</v>
      </c>
      <c r="AN297" s="6">
        <f>IF(最佳化斷筋點!P297="","",最佳化斷筋點!P297)</f>
        <v>9</v>
      </c>
      <c r="AO297" s="6">
        <f>IF(最佳化斷筋點!Q297="","",最佳化斷筋點!Q297)</f>
        <v>9</v>
      </c>
      <c r="AP297" s="6">
        <f>IF(最佳化斷筋點!R297="","",最佳化斷筋點!R297)</f>
        <v>8</v>
      </c>
      <c r="AQ297" s="6">
        <f>IF(最佳化斷筋點!S297="","",最佳化斷筋點!S297)</f>
        <v>7</v>
      </c>
      <c r="AR297" s="6">
        <f>IF(最佳化斷筋點!T297="","",最佳化斷筋點!T297)</f>
        <v>6</v>
      </c>
      <c r="AS297" s="6">
        <f>IF(最佳化斷筋點!U297="","",最佳化斷筋點!U297)</f>
        <v>7</v>
      </c>
      <c r="AT297" s="6">
        <f>IF(最佳化斷筋點!V297="","",最佳化斷筋點!V297)</f>
        <v>8</v>
      </c>
      <c r="AU297" s="6">
        <f>IF(最佳化斷筋點!W297="","",最佳化斷筋點!W297)</f>
        <v>9</v>
      </c>
      <c r="AV297" s="6">
        <f>IF(最佳化斷筋點!X297="","",最佳化斷筋點!X297)</f>
        <v>9</v>
      </c>
      <c r="AX297" s="6" t="s">
        <v>51</v>
      </c>
      <c r="AY297" s="6">
        <v>7</v>
      </c>
      <c r="AZ297" s="6">
        <v>7</v>
      </c>
      <c r="BA297" s="6">
        <v>6</v>
      </c>
      <c r="BB297" s="6">
        <v>5</v>
      </c>
      <c r="BC297" s="6">
        <v>6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8</v>
      </c>
      <c r="BN297" s="6">
        <v>7</v>
      </c>
      <c r="BO297" s="6">
        <v>6</v>
      </c>
      <c r="BP297" s="6">
        <v>7</v>
      </c>
      <c r="BQ297" s="6">
        <v>8</v>
      </c>
      <c r="BR297" s="6">
        <v>9</v>
      </c>
      <c r="BS297" s="6">
        <v>9</v>
      </c>
    </row>
    <row r="298" spans="4:71" x14ac:dyDescent="0.25">
      <c r="E298" s="6">
        <f t="shared" si="85"/>
        <v>0</v>
      </c>
      <c r="F298" s="6">
        <f t="shared" si="86"/>
        <v>0</v>
      </c>
      <c r="G298" s="6">
        <f t="shared" si="87"/>
        <v>0</v>
      </c>
      <c r="H298" s="6">
        <f t="shared" si="88"/>
        <v>0</v>
      </c>
      <c r="I298" s="6">
        <f t="shared" si="89"/>
        <v>0</v>
      </c>
      <c r="J298" s="6">
        <f t="shared" si="90"/>
        <v>0</v>
      </c>
      <c r="K298" s="6">
        <f t="shared" si="91"/>
        <v>0</v>
      </c>
      <c r="L298" s="6">
        <f t="shared" si="92"/>
        <v>0</v>
      </c>
      <c r="M298" s="6">
        <f t="shared" si="93"/>
        <v>0</v>
      </c>
      <c r="N298" s="6">
        <f t="shared" si="94"/>
        <v>0</v>
      </c>
      <c r="O298" s="6">
        <f t="shared" si="95"/>
        <v>0</v>
      </c>
      <c r="P298" s="6">
        <f t="shared" si="96"/>
        <v>0</v>
      </c>
      <c r="Q298" s="6">
        <f t="shared" si="97"/>
        <v>0</v>
      </c>
      <c r="R298" s="6">
        <f t="shared" si="98"/>
        <v>0</v>
      </c>
      <c r="S298" s="6">
        <f t="shared" si="99"/>
        <v>0</v>
      </c>
      <c r="T298" s="6">
        <f t="shared" si="100"/>
        <v>0</v>
      </c>
      <c r="U298" s="6">
        <f t="shared" si="101"/>
        <v>0</v>
      </c>
      <c r="V298" s="6">
        <f t="shared" si="102"/>
        <v>0</v>
      </c>
      <c r="W298" s="6">
        <f t="shared" si="103"/>
        <v>0</v>
      </c>
      <c r="X298" s="6">
        <f t="shared" si="104"/>
        <v>0</v>
      </c>
      <c r="Y298" s="6">
        <f t="shared" si="105"/>
        <v>0</v>
      </c>
      <c r="AA298" s="6" t="str">
        <f>IF(最佳化斷筋點!C298="","",最佳化斷筋點!C298)</f>
        <v/>
      </c>
      <c r="AB298" s="6" t="str">
        <f>IF(最佳化斷筋點!D298="","",最佳化斷筋點!D298)</f>
        <v/>
      </c>
      <c r="AC298" s="6" t="str">
        <f>IF(最佳化斷筋點!E298="","",最佳化斷筋點!E298)</f>
        <v/>
      </c>
      <c r="AD298" s="6" t="str">
        <f>IF(最佳化斷筋點!F298="","",最佳化斷筋點!F298)</f>
        <v/>
      </c>
      <c r="AE298" s="6" t="str">
        <f>IF(最佳化斷筋點!G298="","",最佳化斷筋點!G298)</f>
        <v/>
      </c>
      <c r="AF298" s="6" t="str">
        <f>IF(最佳化斷筋點!H298="","",最佳化斷筋點!H298)</f>
        <v/>
      </c>
      <c r="AG298" s="6" t="str">
        <f>IF(最佳化斷筋點!I298="","",最佳化斷筋點!I298)</f>
        <v/>
      </c>
      <c r="AH298" s="6" t="str">
        <f>IF(最佳化斷筋點!J298="","",最佳化斷筋點!J298)</f>
        <v/>
      </c>
      <c r="AI298" s="6" t="str">
        <f>IF(最佳化斷筋點!K298="","",最佳化斷筋點!K298)</f>
        <v/>
      </c>
      <c r="AJ298" s="6" t="str">
        <f>IF(最佳化斷筋點!L298="","",最佳化斷筋點!L298)</f>
        <v/>
      </c>
      <c r="AK298" s="6" t="str">
        <f>IF(最佳化斷筋點!M298="","",最佳化斷筋點!M298)</f>
        <v/>
      </c>
      <c r="AL298" s="6" t="str">
        <f>IF(最佳化斷筋點!N298="","",最佳化斷筋點!N298)</f>
        <v/>
      </c>
      <c r="AM298" s="6" t="str">
        <f>IF(最佳化斷筋點!O298="","",最佳化斷筋點!O298)</f>
        <v/>
      </c>
      <c r="AN298" s="6" t="str">
        <f>IF(最佳化斷筋點!P298="","",最佳化斷筋點!P298)</f>
        <v/>
      </c>
      <c r="AO298" s="6" t="str">
        <f>IF(最佳化斷筋點!Q298="","",最佳化斷筋點!Q298)</f>
        <v/>
      </c>
      <c r="AP298" s="6" t="str">
        <f>IF(最佳化斷筋點!R298="","",最佳化斷筋點!R298)</f>
        <v/>
      </c>
      <c r="AQ298" s="6" t="str">
        <f>IF(最佳化斷筋點!S298="","",最佳化斷筋點!S298)</f>
        <v/>
      </c>
      <c r="AR298" s="6" t="str">
        <f>IF(最佳化斷筋點!T298="","",最佳化斷筋點!T298)</f>
        <v/>
      </c>
      <c r="AS298" s="6" t="str">
        <f>IF(最佳化斷筋點!U298="","",最佳化斷筋點!U298)</f>
        <v/>
      </c>
      <c r="AT298" s="6" t="str">
        <f>IF(最佳化斷筋點!V298="","",最佳化斷筋點!V298)</f>
        <v/>
      </c>
      <c r="AU298" s="6" t="str">
        <f>IF(最佳化斷筋點!W298="","",最佳化斷筋點!W298)</f>
        <v/>
      </c>
      <c r="AV298" s="6" t="str">
        <f>IF(最佳化斷筋點!X298="","",最佳化斷筋點!X298)</f>
        <v/>
      </c>
    </row>
    <row r="299" spans="4:71" x14ac:dyDescent="0.25">
      <c r="D299" s="6" t="s">
        <v>50</v>
      </c>
      <c r="E299" s="6">
        <f t="shared" si="85"/>
        <v>0</v>
      </c>
      <c r="F299" s="6">
        <f t="shared" si="86"/>
        <v>0</v>
      </c>
      <c r="G299" s="6">
        <f t="shared" si="87"/>
        <v>0</v>
      </c>
      <c r="H299" s="6">
        <f t="shared" si="88"/>
        <v>0</v>
      </c>
      <c r="I299" s="6">
        <f t="shared" si="89"/>
        <v>0</v>
      </c>
      <c r="J299" s="6">
        <f t="shared" si="90"/>
        <v>0</v>
      </c>
      <c r="K299" s="6">
        <f t="shared" si="91"/>
        <v>0</v>
      </c>
      <c r="L299" s="6">
        <f t="shared" si="92"/>
        <v>0</v>
      </c>
      <c r="M299" s="6">
        <f t="shared" si="93"/>
        <v>0</v>
      </c>
      <c r="N299" s="6">
        <f t="shared" si="94"/>
        <v>0</v>
      </c>
      <c r="O299" s="6">
        <f t="shared" si="95"/>
        <v>0</v>
      </c>
      <c r="P299" s="6">
        <f t="shared" si="96"/>
        <v>0</v>
      </c>
      <c r="Q299" s="6">
        <f t="shared" si="97"/>
        <v>0</v>
      </c>
      <c r="R299" s="6">
        <f t="shared" si="98"/>
        <v>0</v>
      </c>
      <c r="S299" s="6">
        <f t="shared" si="99"/>
        <v>0</v>
      </c>
      <c r="T299" s="6">
        <f t="shared" si="100"/>
        <v>0</v>
      </c>
      <c r="U299" s="6">
        <f t="shared" si="101"/>
        <v>0</v>
      </c>
      <c r="V299" s="6">
        <f t="shared" si="102"/>
        <v>0</v>
      </c>
      <c r="W299" s="6">
        <f t="shared" si="103"/>
        <v>0</v>
      </c>
      <c r="X299" s="6">
        <f t="shared" si="104"/>
        <v>0</v>
      </c>
      <c r="Y299" s="6">
        <f t="shared" si="105"/>
        <v>0</v>
      </c>
      <c r="AA299" s="6" t="str">
        <f>IF(最佳化斷筋點!C299="","",最佳化斷筋點!C299)</f>
        <v>上層</v>
      </c>
      <c r="AB299" s="6">
        <f>IF(最佳化斷筋點!D299="","",最佳化斷筋點!D299)</f>
        <v>12</v>
      </c>
      <c r="AC299" s="6">
        <f>IF(最佳化斷筋點!E299="","",最佳化斷筋點!E299)</f>
        <v>11</v>
      </c>
      <c r="AD299" s="6">
        <f>IF(最佳化斷筋點!F299="","",最佳化斷筋點!F299)</f>
        <v>10</v>
      </c>
      <c r="AE299" s="6">
        <f>IF(最佳化斷筋點!G299="","",最佳化斷筋點!G299)</f>
        <v>9</v>
      </c>
      <c r="AF299" s="6">
        <f>IF(最佳化斷筋點!H299="","",最佳化斷筋點!H299)</f>
        <v>8</v>
      </c>
      <c r="AG299" s="6">
        <f>IF(最佳化斷筋點!I299="","",最佳化斷筋點!I299)</f>
        <v>7</v>
      </c>
      <c r="AH299" s="6">
        <f>IF(最佳化斷筋點!J299="","",最佳化斷筋點!J299)</f>
        <v>5</v>
      </c>
      <c r="AI299" s="6">
        <f>IF(最佳化斷筋點!K299="","",最佳化斷筋點!K299)</f>
        <v>4</v>
      </c>
      <c r="AJ299" s="6">
        <f>IF(最佳化斷筋點!L299="","",最佳化斷筋點!L299)</f>
        <v>3</v>
      </c>
      <c r="AK299" s="6">
        <f>IF(最佳化斷筋點!M299="","",最佳化斷筋點!M299)</f>
        <v>2</v>
      </c>
      <c r="AL299" s="6">
        <f>IF(最佳化斷筋點!N299="","",最佳化斷筋點!N299)</f>
        <v>2</v>
      </c>
      <c r="AM299" s="6">
        <f>IF(最佳化斷筋點!O299="","",最佳化斷筋點!O299)</f>
        <v>2</v>
      </c>
      <c r="AN299" s="6">
        <f>IF(最佳化斷筋點!P299="","",最佳化斷筋點!P299)</f>
        <v>2</v>
      </c>
      <c r="AO299" s="6">
        <f>IF(最佳化斷筋點!Q299="","",最佳化斷筋點!Q299)</f>
        <v>2</v>
      </c>
      <c r="AP299" s="6">
        <f>IF(最佳化斷筋點!R299="","",最佳化斷筋點!R299)</f>
        <v>2</v>
      </c>
      <c r="AQ299" s="6">
        <f>IF(最佳化斷筋點!S299="","",最佳化斷筋點!S299)</f>
        <v>2</v>
      </c>
      <c r="AR299" s="6">
        <f>IF(最佳化斷筋點!T299="","",最佳化斷筋點!T299)</f>
        <v>2</v>
      </c>
      <c r="AS299" s="6">
        <f>IF(最佳化斷筋點!U299="","",最佳化斷筋點!U299)</f>
        <v>2</v>
      </c>
      <c r="AT299" s="6">
        <f>IF(最佳化斷筋點!V299="","",最佳化斷筋點!V299)</f>
        <v>2</v>
      </c>
      <c r="AU299" s="6">
        <f>IF(最佳化斷筋點!W299="","",最佳化斷筋點!W299)</f>
        <v>2</v>
      </c>
      <c r="AV299" s="6">
        <f>IF(最佳化斷筋點!X299="","",最佳化斷筋點!X299)</f>
        <v>2</v>
      </c>
      <c r="AX299" s="6" t="s">
        <v>50</v>
      </c>
      <c r="AY299" s="6">
        <v>12</v>
      </c>
      <c r="AZ299" s="6">
        <v>11</v>
      </c>
      <c r="BA299" s="6">
        <v>10</v>
      </c>
      <c r="BB299" s="6">
        <v>9</v>
      </c>
      <c r="BC299" s="6">
        <v>8</v>
      </c>
      <c r="BD299" s="6">
        <v>7</v>
      </c>
      <c r="BE299" s="6">
        <v>5</v>
      </c>
      <c r="BF299" s="6">
        <v>4</v>
      </c>
      <c r="BG299" s="6">
        <v>3</v>
      </c>
      <c r="BH299" s="6">
        <v>2</v>
      </c>
      <c r="BI299" s="6">
        <v>2</v>
      </c>
      <c r="BJ299" s="6">
        <v>2</v>
      </c>
      <c r="BK299" s="6">
        <v>2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</row>
    <row r="300" spans="4:71" x14ac:dyDescent="0.25">
      <c r="E300" s="6">
        <f t="shared" si="85"/>
        <v>0</v>
      </c>
      <c r="F300" s="6">
        <f t="shared" si="86"/>
        <v>0</v>
      </c>
      <c r="G300" s="6">
        <f t="shared" si="87"/>
        <v>0</v>
      </c>
      <c r="H300" s="6">
        <f t="shared" si="88"/>
        <v>0</v>
      </c>
      <c r="I300" s="6">
        <f t="shared" si="89"/>
        <v>0</v>
      </c>
      <c r="J300" s="6">
        <f t="shared" si="90"/>
        <v>0</v>
      </c>
      <c r="K300" s="6">
        <f t="shared" si="91"/>
        <v>0</v>
      </c>
      <c r="L300" s="6">
        <f t="shared" si="92"/>
        <v>0</v>
      </c>
      <c r="M300" s="6">
        <f t="shared" si="93"/>
        <v>0</v>
      </c>
      <c r="N300" s="6">
        <f t="shared" si="94"/>
        <v>0</v>
      </c>
      <c r="O300" s="6">
        <f t="shared" si="95"/>
        <v>0</v>
      </c>
      <c r="P300" s="6">
        <f t="shared" si="96"/>
        <v>0</v>
      </c>
      <c r="Q300" s="6">
        <f t="shared" si="97"/>
        <v>0</v>
      </c>
      <c r="R300" s="6">
        <f t="shared" si="98"/>
        <v>0</v>
      </c>
      <c r="S300" s="6">
        <f t="shared" si="99"/>
        <v>0</v>
      </c>
      <c r="T300" s="6">
        <f t="shared" si="100"/>
        <v>0</v>
      </c>
      <c r="U300" s="6">
        <f t="shared" si="101"/>
        <v>0</v>
      </c>
      <c r="V300" s="6">
        <f t="shared" si="102"/>
        <v>0</v>
      </c>
      <c r="W300" s="6">
        <f t="shared" si="103"/>
        <v>0</v>
      </c>
      <c r="X300" s="6">
        <f t="shared" si="104"/>
        <v>0</v>
      </c>
      <c r="Y300" s="6">
        <f t="shared" si="105"/>
        <v>0</v>
      </c>
      <c r="AA300" s="6" t="str">
        <f>IF(最佳化斷筋點!C300="","",最佳化斷筋點!C300)</f>
        <v/>
      </c>
      <c r="AB300" s="6" t="str">
        <f>IF(最佳化斷筋點!D300="","",最佳化斷筋點!D300)</f>
        <v/>
      </c>
      <c r="AC300" s="6" t="str">
        <f>IF(最佳化斷筋點!E300="","",最佳化斷筋點!E300)</f>
        <v/>
      </c>
      <c r="AD300" s="6" t="str">
        <f>IF(最佳化斷筋點!F300="","",最佳化斷筋點!F300)</f>
        <v/>
      </c>
      <c r="AE300" s="6" t="str">
        <f>IF(最佳化斷筋點!G300="","",最佳化斷筋點!G300)</f>
        <v/>
      </c>
      <c r="AF300" s="6" t="str">
        <f>IF(最佳化斷筋點!H300="","",最佳化斷筋點!H300)</f>
        <v/>
      </c>
      <c r="AG300" s="6" t="str">
        <f>IF(最佳化斷筋點!I300="","",最佳化斷筋點!I300)</f>
        <v/>
      </c>
      <c r="AH300" s="6" t="str">
        <f>IF(最佳化斷筋點!J300="","",最佳化斷筋點!J300)</f>
        <v/>
      </c>
      <c r="AI300" s="6" t="str">
        <f>IF(最佳化斷筋點!K300="","",最佳化斷筋點!K300)</f>
        <v/>
      </c>
      <c r="AJ300" s="6" t="str">
        <f>IF(最佳化斷筋點!L300="","",最佳化斷筋點!L300)</f>
        <v/>
      </c>
      <c r="AK300" s="6" t="str">
        <f>IF(最佳化斷筋點!M300="","",最佳化斷筋點!M300)</f>
        <v/>
      </c>
      <c r="AL300" s="6" t="str">
        <f>IF(最佳化斷筋點!N300="","",最佳化斷筋點!N300)</f>
        <v/>
      </c>
      <c r="AM300" s="6" t="str">
        <f>IF(最佳化斷筋點!O300="","",最佳化斷筋點!O300)</f>
        <v/>
      </c>
      <c r="AN300" s="6" t="str">
        <f>IF(最佳化斷筋點!P300="","",最佳化斷筋點!P300)</f>
        <v/>
      </c>
      <c r="AO300" s="6" t="str">
        <f>IF(最佳化斷筋點!Q300="","",最佳化斷筋點!Q300)</f>
        <v/>
      </c>
      <c r="AP300" s="6" t="str">
        <f>IF(最佳化斷筋點!R300="","",最佳化斷筋點!R300)</f>
        <v/>
      </c>
      <c r="AQ300" s="6" t="str">
        <f>IF(最佳化斷筋點!S300="","",最佳化斷筋點!S300)</f>
        <v/>
      </c>
      <c r="AR300" s="6" t="str">
        <f>IF(最佳化斷筋點!T300="","",最佳化斷筋點!T300)</f>
        <v/>
      </c>
      <c r="AS300" s="6" t="str">
        <f>IF(最佳化斷筋點!U300="","",最佳化斷筋點!U300)</f>
        <v/>
      </c>
      <c r="AT300" s="6" t="str">
        <f>IF(最佳化斷筋點!V300="","",最佳化斷筋點!V300)</f>
        <v/>
      </c>
      <c r="AU300" s="6" t="str">
        <f>IF(最佳化斷筋點!W300="","",最佳化斷筋點!W300)</f>
        <v/>
      </c>
      <c r="AV300" s="6" t="str">
        <f>IF(最佳化斷筋點!X300="","",最佳化斷筋點!X300)</f>
        <v/>
      </c>
    </row>
    <row r="301" spans="4:71" x14ac:dyDescent="0.25">
      <c r="D301" s="6" t="s">
        <v>51</v>
      </c>
      <c r="E301" s="6">
        <f t="shared" si="85"/>
        <v>0</v>
      </c>
      <c r="F301" s="6">
        <f t="shared" si="86"/>
        <v>0</v>
      </c>
      <c r="G301" s="6">
        <f t="shared" si="87"/>
        <v>0</v>
      </c>
      <c r="H301" s="6">
        <f t="shared" si="88"/>
        <v>0</v>
      </c>
      <c r="I301" s="6">
        <f t="shared" si="89"/>
        <v>0</v>
      </c>
      <c r="J301" s="6">
        <f t="shared" si="90"/>
        <v>0</v>
      </c>
      <c r="K301" s="6">
        <f t="shared" si="91"/>
        <v>0</v>
      </c>
      <c r="L301" s="6">
        <f t="shared" si="92"/>
        <v>0</v>
      </c>
      <c r="M301" s="6">
        <f t="shared" si="93"/>
        <v>0</v>
      </c>
      <c r="N301" s="6">
        <f t="shared" si="94"/>
        <v>0</v>
      </c>
      <c r="O301" s="6">
        <f t="shared" si="95"/>
        <v>0</v>
      </c>
      <c r="P301" s="6">
        <f t="shared" si="96"/>
        <v>0</v>
      </c>
      <c r="Q301" s="6">
        <f t="shared" si="97"/>
        <v>0</v>
      </c>
      <c r="R301" s="6">
        <f t="shared" si="98"/>
        <v>0</v>
      </c>
      <c r="S301" s="6">
        <f t="shared" si="99"/>
        <v>0</v>
      </c>
      <c r="T301" s="6">
        <f t="shared" si="100"/>
        <v>0</v>
      </c>
      <c r="U301" s="6">
        <f t="shared" si="101"/>
        <v>0</v>
      </c>
      <c r="V301" s="6">
        <f t="shared" si="102"/>
        <v>0</v>
      </c>
      <c r="W301" s="6">
        <f t="shared" si="103"/>
        <v>0</v>
      </c>
      <c r="X301" s="6">
        <f t="shared" si="104"/>
        <v>0</v>
      </c>
      <c r="Y301" s="6">
        <f t="shared" si="105"/>
        <v>0</v>
      </c>
      <c r="AA301" s="6" t="str">
        <f>IF(最佳化斷筋點!C301="","",最佳化斷筋點!C301)</f>
        <v>下層</v>
      </c>
      <c r="AB301" s="6">
        <f>IF(最佳化斷筋點!D301="","",最佳化斷筋點!D301)</f>
        <v>7</v>
      </c>
      <c r="AC301" s="6">
        <f>IF(最佳化斷筋點!E301="","",最佳化斷筋點!E301)</f>
        <v>7</v>
      </c>
      <c r="AD301" s="6">
        <f>IF(最佳化斷筋點!F301="","",最佳化斷筋點!F301)</f>
        <v>6</v>
      </c>
      <c r="AE301" s="6">
        <f>IF(最佳化斷筋點!G301="","",最佳化斷筋點!G301)</f>
        <v>5</v>
      </c>
      <c r="AF301" s="6">
        <f>IF(最佳化斷筋點!H301="","",最佳化斷筋點!H301)</f>
        <v>6</v>
      </c>
      <c r="AG301" s="6">
        <f>IF(最佳化斷筋點!I301="","",最佳化斷筋點!I301)</f>
        <v>7</v>
      </c>
      <c r="AH301" s="6">
        <f>IF(最佳化斷筋點!J301="","",最佳化斷筋點!J301)</f>
        <v>8</v>
      </c>
      <c r="AI301" s="6">
        <f>IF(最佳化斷筋點!K301="","",最佳化斷筋點!K301)</f>
        <v>9</v>
      </c>
      <c r="AJ301" s="6">
        <f>IF(最佳化斷筋點!L301="","",最佳化斷筋點!L301)</f>
        <v>9</v>
      </c>
      <c r="AK301" s="6">
        <f>IF(最佳化斷筋點!M301="","",最佳化斷筋點!M301)</f>
        <v>9</v>
      </c>
      <c r="AL301" s="6">
        <f>IF(最佳化斷筋點!N301="","",最佳化斷筋點!N301)</f>
        <v>9</v>
      </c>
      <c r="AM301" s="6">
        <f>IF(最佳化斷筋點!O301="","",最佳化斷筋點!O301)</f>
        <v>9</v>
      </c>
      <c r="AN301" s="6">
        <f>IF(最佳化斷筋點!P301="","",最佳化斷筋點!P301)</f>
        <v>9</v>
      </c>
      <c r="AO301" s="6">
        <f>IF(最佳化斷筋點!Q301="","",最佳化斷筋點!Q301)</f>
        <v>9</v>
      </c>
      <c r="AP301" s="6">
        <f>IF(最佳化斷筋點!R301="","",最佳化斷筋點!R301)</f>
        <v>8</v>
      </c>
      <c r="AQ301" s="6">
        <f>IF(最佳化斷筋點!S301="","",最佳化斷筋點!S301)</f>
        <v>7</v>
      </c>
      <c r="AR301" s="6">
        <f>IF(最佳化斷筋點!T301="","",最佳化斷筋點!T301)</f>
        <v>6</v>
      </c>
      <c r="AS301" s="6">
        <f>IF(最佳化斷筋點!U301="","",最佳化斷筋點!U301)</f>
        <v>7</v>
      </c>
      <c r="AT301" s="6">
        <f>IF(最佳化斷筋點!V301="","",最佳化斷筋點!V301)</f>
        <v>8</v>
      </c>
      <c r="AU301" s="6">
        <f>IF(最佳化斷筋點!W301="","",最佳化斷筋點!W301)</f>
        <v>9</v>
      </c>
      <c r="AV301" s="6">
        <f>IF(最佳化斷筋點!X301="","",最佳化斷筋點!X301)</f>
        <v>9</v>
      </c>
      <c r="AX301" s="6" t="s">
        <v>51</v>
      </c>
      <c r="AY301" s="6">
        <v>7</v>
      </c>
      <c r="AZ301" s="6">
        <v>7</v>
      </c>
      <c r="BA301" s="6">
        <v>6</v>
      </c>
      <c r="BB301" s="6">
        <v>5</v>
      </c>
      <c r="BC301" s="6">
        <v>6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8</v>
      </c>
      <c r="BN301" s="6">
        <v>7</v>
      </c>
      <c r="BO301" s="6">
        <v>6</v>
      </c>
      <c r="BP301" s="6">
        <v>7</v>
      </c>
      <c r="BQ301" s="6">
        <v>8</v>
      </c>
      <c r="BR301" s="6">
        <v>9</v>
      </c>
      <c r="BS301" s="6">
        <v>9</v>
      </c>
    </row>
    <row r="302" spans="4:71" x14ac:dyDescent="0.25">
      <c r="E302" s="6">
        <f t="shared" si="85"/>
        <v>0</v>
      </c>
      <c r="F302" s="6">
        <f t="shared" si="86"/>
        <v>0</v>
      </c>
      <c r="G302" s="6">
        <f t="shared" si="87"/>
        <v>0</v>
      </c>
      <c r="H302" s="6">
        <f t="shared" si="88"/>
        <v>0</v>
      </c>
      <c r="I302" s="6">
        <f t="shared" si="89"/>
        <v>0</v>
      </c>
      <c r="J302" s="6">
        <f t="shared" si="90"/>
        <v>0</v>
      </c>
      <c r="K302" s="6">
        <f t="shared" si="91"/>
        <v>0</v>
      </c>
      <c r="L302" s="6">
        <f t="shared" si="92"/>
        <v>0</v>
      </c>
      <c r="M302" s="6">
        <f t="shared" si="93"/>
        <v>0</v>
      </c>
      <c r="N302" s="6">
        <f t="shared" si="94"/>
        <v>0</v>
      </c>
      <c r="O302" s="6">
        <f t="shared" si="95"/>
        <v>0</v>
      </c>
      <c r="P302" s="6">
        <f t="shared" si="96"/>
        <v>0</v>
      </c>
      <c r="Q302" s="6">
        <f t="shared" si="97"/>
        <v>0</v>
      </c>
      <c r="R302" s="6">
        <f t="shared" si="98"/>
        <v>0</v>
      </c>
      <c r="S302" s="6">
        <f t="shared" si="99"/>
        <v>0</v>
      </c>
      <c r="T302" s="6">
        <f t="shared" si="100"/>
        <v>0</v>
      </c>
      <c r="U302" s="6">
        <f t="shared" si="101"/>
        <v>0</v>
      </c>
      <c r="V302" s="6">
        <f t="shared" si="102"/>
        <v>0</v>
      </c>
      <c r="W302" s="6">
        <f t="shared" si="103"/>
        <v>0</v>
      </c>
      <c r="X302" s="6">
        <f t="shared" si="104"/>
        <v>0</v>
      </c>
      <c r="Y302" s="6">
        <f t="shared" si="105"/>
        <v>0</v>
      </c>
      <c r="AA302" s="6" t="str">
        <f>IF(最佳化斷筋點!C302="","",最佳化斷筋點!C302)</f>
        <v/>
      </c>
      <c r="AB302" s="6" t="str">
        <f>IF(最佳化斷筋點!D302="","",最佳化斷筋點!D302)</f>
        <v/>
      </c>
      <c r="AC302" s="6" t="str">
        <f>IF(最佳化斷筋點!E302="","",最佳化斷筋點!E302)</f>
        <v/>
      </c>
      <c r="AD302" s="6" t="str">
        <f>IF(最佳化斷筋點!F302="","",最佳化斷筋點!F302)</f>
        <v/>
      </c>
      <c r="AE302" s="6" t="str">
        <f>IF(最佳化斷筋點!G302="","",最佳化斷筋點!G302)</f>
        <v/>
      </c>
      <c r="AF302" s="6" t="str">
        <f>IF(最佳化斷筋點!H302="","",最佳化斷筋點!H302)</f>
        <v/>
      </c>
      <c r="AG302" s="6" t="str">
        <f>IF(最佳化斷筋點!I302="","",最佳化斷筋點!I302)</f>
        <v/>
      </c>
      <c r="AH302" s="6" t="str">
        <f>IF(最佳化斷筋點!J302="","",最佳化斷筋點!J302)</f>
        <v/>
      </c>
      <c r="AI302" s="6" t="str">
        <f>IF(最佳化斷筋點!K302="","",最佳化斷筋點!K302)</f>
        <v/>
      </c>
      <c r="AJ302" s="6" t="str">
        <f>IF(最佳化斷筋點!L302="","",最佳化斷筋點!L302)</f>
        <v/>
      </c>
      <c r="AK302" s="6" t="str">
        <f>IF(最佳化斷筋點!M302="","",最佳化斷筋點!M302)</f>
        <v/>
      </c>
      <c r="AL302" s="6" t="str">
        <f>IF(最佳化斷筋點!N302="","",最佳化斷筋點!N302)</f>
        <v/>
      </c>
      <c r="AM302" s="6" t="str">
        <f>IF(最佳化斷筋點!O302="","",最佳化斷筋點!O302)</f>
        <v/>
      </c>
      <c r="AN302" s="6" t="str">
        <f>IF(最佳化斷筋點!P302="","",最佳化斷筋點!P302)</f>
        <v/>
      </c>
      <c r="AO302" s="6" t="str">
        <f>IF(最佳化斷筋點!Q302="","",最佳化斷筋點!Q302)</f>
        <v/>
      </c>
      <c r="AP302" s="6" t="str">
        <f>IF(最佳化斷筋點!R302="","",最佳化斷筋點!R302)</f>
        <v/>
      </c>
      <c r="AQ302" s="6" t="str">
        <f>IF(最佳化斷筋點!S302="","",最佳化斷筋點!S302)</f>
        <v/>
      </c>
      <c r="AR302" s="6" t="str">
        <f>IF(最佳化斷筋點!T302="","",最佳化斷筋點!T302)</f>
        <v/>
      </c>
      <c r="AS302" s="6" t="str">
        <f>IF(最佳化斷筋點!U302="","",最佳化斷筋點!U302)</f>
        <v/>
      </c>
      <c r="AT302" s="6" t="str">
        <f>IF(最佳化斷筋點!V302="","",最佳化斷筋點!V302)</f>
        <v/>
      </c>
      <c r="AU302" s="6" t="str">
        <f>IF(最佳化斷筋點!W302="","",最佳化斷筋點!W302)</f>
        <v/>
      </c>
      <c r="AV302" s="6" t="str">
        <f>IF(最佳化斷筋點!X302="","",最佳化斷筋點!X302)</f>
        <v/>
      </c>
    </row>
    <row r="303" spans="4:71" x14ac:dyDescent="0.25">
      <c r="D303" s="6" t="s">
        <v>50</v>
      </c>
      <c r="E303" s="6">
        <f t="shared" si="85"/>
        <v>0</v>
      </c>
      <c r="F303" s="6">
        <f t="shared" si="86"/>
        <v>0</v>
      </c>
      <c r="G303" s="6">
        <f t="shared" si="87"/>
        <v>0</v>
      </c>
      <c r="H303" s="6">
        <f t="shared" si="88"/>
        <v>0</v>
      </c>
      <c r="I303" s="6">
        <f t="shared" si="89"/>
        <v>0</v>
      </c>
      <c r="J303" s="6">
        <f t="shared" si="90"/>
        <v>0</v>
      </c>
      <c r="K303" s="6">
        <f t="shared" si="91"/>
        <v>0</v>
      </c>
      <c r="L303" s="6">
        <f t="shared" si="92"/>
        <v>0</v>
      </c>
      <c r="M303" s="6">
        <f t="shared" si="93"/>
        <v>0</v>
      </c>
      <c r="N303" s="6">
        <f t="shared" si="94"/>
        <v>0</v>
      </c>
      <c r="O303" s="6">
        <f t="shared" si="95"/>
        <v>0</v>
      </c>
      <c r="P303" s="6">
        <f t="shared" si="96"/>
        <v>0</v>
      </c>
      <c r="Q303" s="6">
        <f t="shared" si="97"/>
        <v>0</v>
      </c>
      <c r="R303" s="6">
        <f t="shared" si="98"/>
        <v>0</v>
      </c>
      <c r="S303" s="6">
        <f t="shared" si="99"/>
        <v>0</v>
      </c>
      <c r="T303" s="6">
        <f t="shared" si="100"/>
        <v>0</v>
      </c>
      <c r="U303" s="6">
        <f t="shared" si="101"/>
        <v>0</v>
      </c>
      <c r="V303" s="6">
        <f t="shared" si="102"/>
        <v>0</v>
      </c>
      <c r="W303" s="6">
        <f t="shared" si="103"/>
        <v>0</v>
      </c>
      <c r="X303" s="6">
        <f t="shared" si="104"/>
        <v>0</v>
      </c>
      <c r="Y303" s="6">
        <f t="shared" si="105"/>
        <v>0</v>
      </c>
      <c r="AA303" s="6" t="str">
        <f>IF(最佳化斷筋點!C303="","",最佳化斷筋點!C303)</f>
        <v>上層</v>
      </c>
      <c r="AB303" s="6">
        <f>IF(最佳化斷筋點!D303="","",最佳化斷筋點!D303)</f>
        <v>12</v>
      </c>
      <c r="AC303" s="6">
        <f>IF(最佳化斷筋點!E303="","",最佳化斷筋點!E303)</f>
        <v>11</v>
      </c>
      <c r="AD303" s="6">
        <f>IF(最佳化斷筋點!F303="","",最佳化斷筋點!F303)</f>
        <v>10</v>
      </c>
      <c r="AE303" s="6">
        <f>IF(最佳化斷筋點!G303="","",最佳化斷筋點!G303)</f>
        <v>9</v>
      </c>
      <c r="AF303" s="6">
        <f>IF(最佳化斷筋點!H303="","",最佳化斷筋點!H303)</f>
        <v>8</v>
      </c>
      <c r="AG303" s="6">
        <f>IF(最佳化斷筋點!I303="","",最佳化斷筋點!I303)</f>
        <v>7</v>
      </c>
      <c r="AH303" s="6">
        <f>IF(最佳化斷筋點!J303="","",最佳化斷筋點!J303)</f>
        <v>5</v>
      </c>
      <c r="AI303" s="6">
        <f>IF(最佳化斷筋點!K303="","",最佳化斷筋點!K303)</f>
        <v>4</v>
      </c>
      <c r="AJ303" s="6">
        <f>IF(最佳化斷筋點!L303="","",最佳化斷筋點!L303)</f>
        <v>3</v>
      </c>
      <c r="AK303" s="6">
        <f>IF(最佳化斷筋點!M303="","",最佳化斷筋點!M303)</f>
        <v>2</v>
      </c>
      <c r="AL303" s="6">
        <f>IF(最佳化斷筋點!N303="","",最佳化斷筋點!N303)</f>
        <v>2</v>
      </c>
      <c r="AM303" s="6">
        <f>IF(最佳化斷筋點!O303="","",最佳化斷筋點!O303)</f>
        <v>2</v>
      </c>
      <c r="AN303" s="6">
        <f>IF(最佳化斷筋點!P303="","",最佳化斷筋點!P303)</f>
        <v>2</v>
      </c>
      <c r="AO303" s="6">
        <f>IF(最佳化斷筋點!Q303="","",最佳化斷筋點!Q303)</f>
        <v>2</v>
      </c>
      <c r="AP303" s="6">
        <f>IF(最佳化斷筋點!R303="","",最佳化斷筋點!R303)</f>
        <v>2</v>
      </c>
      <c r="AQ303" s="6">
        <f>IF(最佳化斷筋點!S303="","",最佳化斷筋點!S303)</f>
        <v>2</v>
      </c>
      <c r="AR303" s="6">
        <f>IF(最佳化斷筋點!T303="","",最佳化斷筋點!T303)</f>
        <v>2</v>
      </c>
      <c r="AS303" s="6">
        <f>IF(最佳化斷筋點!U303="","",最佳化斷筋點!U303)</f>
        <v>2</v>
      </c>
      <c r="AT303" s="6">
        <f>IF(最佳化斷筋點!V303="","",最佳化斷筋點!V303)</f>
        <v>2</v>
      </c>
      <c r="AU303" s="6">
        <f>IF(最佳化斷筋點!W303="","",最佳化斷筋點!W303)</f>
        <v>2</v>
      </c>
      <c r="AV303" s="6">
        <f>IF(最佳化斷筋點!X303="","",最佳化斷筋點!X303)</f>
        <v>2</v>
      </c>
      <c r="AX303" s="6" t="s">
        <v>50</v>
      </c>
      <c r="AY303" s="6">
        <v>12</v>
      </c>
      <c r="AZ303" s="6">
        <v>11</v>
      </c>
      <c r="BA303" s="6">
        <v>10</v>
      </c>
      <c r="BB303" s="6">
        <v>9</v>
      </c>
      <c r="BC303" s="6">
        <v>8</v>
      </c>
      <c r="BD303" s="6">
        <v>7</v>
      </c>
      <c r="BE303" s="6">
        <v>5</v>
      </c>
      <c r="BF303" s="6">
        <v>4</v>
      </c>
      <c r="BG303" s="6">
        <v>3</v>
      </c>
      <c r="BH303" s="6">
        <v>2</v>
      </c>
      <c r="BI303" s="6">
        <v>2</v>
      </c>
      <c r="BJ303" s="6">
        <v>2</v>
      </c>
      <c r="BK303" s="6">
        <v>2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</row>
    <row r="304" spans="4:71" x14ac:dyDescent="0.25">
      <c r="E304" s="6">
        <f t="shared" si="85"/>
        <v>0</v>
      </c>
      <c r="F304" s="6">
        <f t="shared" si="86"/>
        <v>0</v>
      </c>
      <c r="G304" s="6">
        <f t="shared" si="87"/>
        <v>0</v>
      </c>
      <c r="H304" s="6">
        <f t="shared" si="88"/>
        <v>0</v>
      </c>
      <c r="I304" s="6">
        <f t="shared" si="89"/>
        <v>0</v>
      </c>
      <c r="J304" s="6">
        <f t="shared" si="90"/>
        <v>0</v>
      </c>
      <c r="K304" s="6">
        <f t="shared" si="91"/>
        <v>0</v>
      </c>
      <c r="L304" s="6">
        <f t="shared" si="92"/>
        <v>0</v>
      </c>
      <c r="M304" s="6">
        <f t="shared" si="93"/>
        <v>0</v>
      </c>
      <c r="N304" s="6">
        <f t="shared" si="94"/>
        <v>0</v>
      </c>
      <c r="O304" s="6">
        <f t="shared" si="95"/>
        <v>0</v>
      </c>
      <c r="P304" s="6">
        <f t="shared" si="96"/>
        <v>0</v>
      </c>
      <c r="Q304" s="6">
        <f t="shared" si="97"/>
        <v>0</v>
      </c>
      <c r="R304" s="6">
        <f t="shared" si="98"/>
        <v>0</v>
      </c>
      <c r="S304" s="6">
        <f t="shared" si="99"/>
        <v>0</v>
      </c>
      <c r="T304" s="6">
        <f t="shared" si="100"/>
        <v>0</v>
      </c>
      <c r="U304" s="6">
        <f t="shared" si="101"/>
        <v>0</v>
      </c>
      <c r="V304" s="6">
        <f t="shared" si="102"/>
        <v>0</v>
      </c>
      <c r="W304" s="6">
        <f t="shared" si="103"/>
        <v>0</v>
      </c>
      <c r="X304" s="6">
        <f t="shared" si="104"/>
        <v>0</v>
      </c>
      <c r="Y304" s="6">
        <f t="shared" si="105"/>
        <v>0</v>
      </c>
      <c r="AA304" s="6" t="str">
        <f>IF(最佳化斷筋點!C304="","",最佳化斷筋點!C304)</f>
        <v/>
      </c>
      <c r="AB304" s="6" t="str">
        <f>IF(最佳化斷筋點!D304="","",最佳化斷筋點!D304)</f>
        <v/>
      </c>
      <c r="AC304" s="6" t="str">
        <f>IF(最佳化斷筋點!E304="","",最佳化斷筋點!E304)</f>
        <v/>
      </c>
      <c r="AD304" s="6" t="str">
        <f>IF(最佳化斷筋點!F304="","",最佳化斷筋點!F304)</f>
        <v/>
      </c>
      <c r="AE304" s="6" t="str">
        <f>IF(最佳化斷筋點!G304="","",最佳化斷筋點!G304)</f>
        <v/>
      </c>
      <c r="AF304" s="6" t="str">
        <f>IF(最佳化斷筋點!H304="","",最佳化斷筋點!H304)</f>
        <v/>
      </c>
      <c r="AG304" s="6" t="str">
        <f>IF(最佳化斷筋點!I304="","",最佳化斷筋點!I304)</f>
        <v/>
      </c>
      <c r="AH304" s="6" t="str">
        <f>IF(最佳化斷筋點!J304="","",最佳化斷筋點!J304)</f>
        <v/>
      </c>
      <c r="AI304" s="6" t="str">
        <f>IF(最佳化斷筋點!K304="","",最佳化斷筋點!K304)</f>
        <v/>
      </c>
      <c r="AJ304" s="6" t="str">
        <f>IF(最佳化斷筋點!L304="","",最佳化斷筋點!L304)</f>
        <v/>
      </c>
      <c r="AK304" s="6" t="str">
        <f>IF(最佳化斷筋點!M304="","",最佳化斷筋點!M304)</f>
        <v/>
      </c>
      <c r="AL304" s="6" t="str">
        <f>IF(最佳化斷筋點!N304="","",最佳化斷筋點!N304)</f>
        <v/>
      </c>
      <c r="AM304" s="6" t="str">
        <f>IF(最佳化斷筋點!O304="","",最佳化斷筋點!O304)</f>
        <v/>
      </c>
      <c r="AN304" s="6" t="str">
        <f>IF(最佳化斷筋點!P304="","",最佳化斷筋點!P304)</f>
        <v/>
      </c>
      <c r="AO304" s="6" t="str">
        <f>IF(最佳化斷筋點!Q304="","",最佳化斷筋點!Q304)</f>
        <v/>
      </c>
      <c r="AP304" s="6" t="str">
        <f>IF(最佳化斷筋點!R304="","",最佳化斷筋點!R304)</f>
        <v/>
      </c>
      <c r="AQ304" s="6" t="str">
        <f>IF(最佳化斷筋點!S304="","",最佳化斷筋點!S304)</f>
        <v/>
      </c>
      <c r="AR304" s="6" t="str">
        <f>IF(最佳化斷筋點!T304="","",最佳化斷筋點!T304)</f>
        <v/>
      </c>
      <c r="AS304" s="6" t="str">
        <f>IF(最佳化斷筋點!U304="","",最佳化斷筋點!U304)</f>
        <v/>
      </c>
      <c r="AT304" s="6" t="str">
        <f>IF(最佳化斷筋點!V304="","",最佳化斷筋點!V304)</f>
        <v/>
      </c>
      <c r="AU304" s="6" t="str">
        <f>IF(最佳化斷筋點!W304="","",最佳化斷筋點!W304)</f>
        <v/>
      </c>
      <c r="AV304" s="6" t="str">
        <f>IF(最佳化斷筋點!X304="","",最佳化斷筋點!X304)</f>
        <v/>
      </c>
    </row>
    <row r="305" spans="4:71" x14ac:dyDescent="0.25">
      <c r="D305" s="6" t="s">
        <v>51</v>
      </c>
      <c r="E305" s="6">
        <f t="shared" si="85"/>
        <v>0</v>
      </c>
      <c r="F305" s="6">
        <f t="shared" si="86"/>
        <v>0</v>
      </c>
      <c r="G305" s="6">
        <f t="shared" si="87"/>
        <v>0</v>
      </c>
      <c r="H305" s="6">
        <f t="shared" si="88"/>
        <v>0</v>
      </c>
      <c r="I305" s="6">
        <f t="shared" si="89"/>
        <v>0</v>
      </c>
      <c r="J305" s="6">
        <f t="shared" si="90"/>
        <v>0</v>
      </c>
      <c r="K305" s="6">
        <f t="shared" si="91"/>
        <v>0</v>
      </c>
      <c r="L305" s="6">
        <f t="shared" si="92"/>
        <v>0</v>
      </c>
      <c r="M305" s="6">
        <f t="shared" si="93"/>
        <v>0</v>
      </c>
      <c r="N305" s="6">
        <f t="shared" si="94"/>
        <v>0</v>
      </c>
      <c r="O305" s="6">
        <f t="shared" si="95"/>
        <v>0</v>
      </c>
      <c r="P305" s="6">
        <f t="shared" si="96"/>
        <v>0</v>
      </c>
      <c r="Q305" s="6">
        <f t="shared" si="97"/>
        <v>0</v>
      </c>
      <c r="R305" s="6">
        <f t="shared" si="98"/>
        <v>0</v>
      </c>
      <c r="S305" s="6">
        <f t="shared" si="99"/>
        <v>0</v>
      </c>
      <c r="T305" s="6">
        <f t="shared" si="100"/>
        <v>0</v>
      </c>
      <c r="U305" s="6">
        <f t="shared" si="101"/>
        <v>0</v>
      </c>
      <c r="V305" s="6">
        <f t="shared" si="102"/>
        <v>0</v>
      </c>
      <c r="W305" s="6">
        <f t="shared" si="103"/>
        <v>0</v>
      </c>
      <c r="X305" s="6">
        <f t="shared" si="104"/>
        <v>0</v>
      </c>
      <c r="Y305" s="6">
        <f t="shared" si="105"/>
        <v>0</v>
      </c>
      <c r="AA305" s="6" t="str">
        <f>IF(最佳化斷筋點!C305="","",最佳化斷筋點!C305)</f>
        <v>下層</v>
      </c>
      <c r="AB305" s="6">
        <f>IF(最佳化斷筋點!D305="","",最佳化斷筋點!D305)</f>
        <v>7</v>
      </c>
      <c r="AC305" s="6">
        <f>IF(最佳化斷筋點!E305="","",最佳化斷筋點!E305)</f>
        <v>7</v>
      </c>
      <c r="AD305" s="6">
        <f>IF(最佳化斷筋點!F305="","",最佳化斷筋點!F305)</f>
        <v>6</v>
      </c>
      <c r="AE305" s="6">
        <f>IF(最佳化斷筋點!G305="","",最佳化斷筋點!G305)</f>
        <v>5</v>
      </c>
      <c r="AF305" s="6">
        <f>IF(最佳化斷筋點!H305="","",最佳化斷筋點!H305)</f>
        <v>6</v>
      </c>
      <c r="AG305" s="6">
        <f>IF(最佳化斷筋點!I305="","",最佳化斷筋點!I305)</f>
        <v>7</v>
      </c>
      <c r="AH305" s="6">
        <f>IF(最佳化斷筋點!J305="","",最佳化斷筋點!J305)</f>
        <v>8</v>
      </c>
      <c r="AI305" s="6">
        <f>IF(最佳化斷筋點!K305="","",最佳化斷筋點!K305)</f>
        <v>9</v>
      </c>
      <c r="AJ305" s="6">
        <f>IF(最佳化斷筋點!L305="","",最佳化斷筋點!L305)</f>
        <v>9</v>
      </c>
      <c r="AK305" s="6">
        <f>IF(最佳化斷筋點!M305="","",最佳化斷筋點!M305)</f>
        <v>9</v>
      </c>
      <c r="AL305" s="6">
        <f>IF(最佳化斷筋點!N305="","",最佳化斷筋點!N305)</f>
        <v>9</v>
      </c>
      <c r="AM305" s="6">
        <f>IF(最佳化斷筋點!O305="","",最佳化斷筋點!O305)</f>
        <v>9</v>
      </c>
      <c r="AN305" s="6">
        <f>IF(最佳化斷筋點!P305="","",最佳化斷筋點!P305)</f>
        <v>9</v>
      </c>
      <c r="AO305" s="6">
        <f>IF(最佳化斷筋點!Q305="","",最佳化斷筋點!Q305)</f>
        <v>9</v>
      </c>
      <c r="AP305" s="6">
        <f>IF(最佳化斷筋點!R305="","",最佳化斷筋點!R305)</f>
        <v>8</v>
      </c>
      <c r="AQ305" s="6">
        <f>IF(最佳化斷筋點!S305="","",最佳化斷筋點!S305)</f>
        <v>7</v>
      </c>
      <c r="AR305" s="6">
        <f>IF(最佳化斷筋點!T305="","",最佳化斷筋點!T305)</f>
        <v>6</v>
      </c>
      <c r="AS305" s="6">
        <f>IF(最佳化斷筋點!U305="","",最佳化斷筋點!U305)</f>
        <v>7</v>
      </c>
      <c r="AT305" s="6">
        <f>IF(最佳化斷筋點!V305="","",最佳化斷筋點!V305)</f>
        <v>8</v>
      </c>
      <c r="AU305" s="6">
        <f>IF(最佳化斷筋點!W305="","",最佳化斷筋點!W305)</f>
        <v>9</v>
      </c>
      <c r="AV305" s="6">
        <f>IF(最佳化斷筋點!X305="","",最佳化斷筋點!X305)</f>
        <v>9</v>
      </c>
      <c r="AX305" s="6" t="s">
        <v>51</v>
      </c>
      <c r="AY305" s="6">
        <v>7</v>
      </c>
      <c r="AZ305" s="6">
        <v>7</v>
      </c>
      <c r="BA305" s="6">
        <v>6</v>
      </c>
      <c r="BB305" s="6">
        <v>5</v>
      </c>
      <c r="BC305" s="6">
        <v>6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8</v>
      </c>
      <c r="BN305" s="6">
        <v>7</v>
      </c>
      <c r="BO305" s="6">
        <v>6</v>
      </c>
      <c r="BP305" s="6">
        <v>7</v>
      </c>
      <c r="BQ305" s="6">
        <v>8</v>
      </c>
      <c r="BR305" s="6">
        <v>9</v>
      </c>
      <c r="BS305" s="6">
        <v>9</v>
      </c>
    </row>
    <row r="306" spans="4:71" x14ac:dyDescent="0.25">
      <c r="E306" s="6">
        <f t="shared" si="85"/>
        <v>0</v>
      </c>
      <c r="F306" s="6">
        <f t="shared" si="86"/>
        <v>0</v>
      </c>
      <c r="G306" s="6">
        <f t="shared" si="87"/>
        <v>0</v>
      </c>
      <c r="H306" s="6">
        <f t="shared" si="88"/>
        <v>0</v>
      </c>
      <c r="I306" s="6">
        <f t="shared" si="89"/>
        <v>0</v>
      </c>
      <c r="J306" s="6">
        <f t="shared" si="90"/>
        <v>0</v>
      </c>
      <c r="K306" s="6">
        <f t="shared" si="91"/>
        <v>0</v>
      </c>
      <c r="L306" s="6">
        <f t="shared" si="92"/>
        <v>0</v>
      </c>
      <c r="M306" s="6">
        <f t="shared" si="93"/>
        <v>0</v>
      </c>
      <c r="N306" s="6">
        <f t="shared" si="94"/>
        <v>0</v>
      </c>
      <c r="O306" s="6">
        <f t="shared" si="95"/>
        <v>0</v>
      </c>
      <c r="P306" s="6">
        <f t="shared" si="96"/>
        <v>0</v>
      </c>
      <c r="Q306" s="6">
        <f t="shared" si="97"/>
        <v>0</v>
      </c>
      <c r="R306" s="6">
        <f t="shared" si="98"/>
        <v>0</v>
      </c>
      <c r="S306" s="6">
        <f t="shared" si="99"/>
        <v>0</v>
      </c>
      <c r="T306" s="6">
        <f t="shared" si="100"/>
        <v>0</v>
      </c>
      <c r="U306" s="6">
        <f t="shared" si="101"/>
        <v>0</v>
      </c>
      <c r="V306" s="6">
        <f t="shared" si="102"/>
        <v>0</v>
      </c>
      <c r="W306" s="6">
        <f t="shared" si="103"/>
        <v>0</v>
      </c>
      <c r="X306" s="6">
        <f t="shared" si="104"/>
        <v>0</v>
      </c>
      <c r="Y306" s="6">
        <f t="shared" si="105"/>
        <v>0</v>
      </c>
      <c r="AA306" s="6" t="str">
        <f>IF(最佳化斷筋點!C306="","",最佳化斷筋點!C306)</f>
        <v/>
      </c>
      <c r="AB306" s="6" t="str">
        <f>IF(最佳化斷筋點!D306="","",最佳化斷筋點!D306)</f>
        <v/>
      </c>
      <c r="AC306" s="6" t="str">
        <f>IF(最佳化斷筋點!E306="","",最佳化斷筋點!E306)</f>
        <v/>
      </c>
      <c r="AD306" s="6" t="str">
        <f>IF(最佳化斷筋點!F306="","",最佳化斷筋點!F306)</f>
        <v/>
      </c>
      <c r="AE306" s="6" t="str">
        <f>IF(最佳化斷筋點!G306="","",最佳化斷筋點!G306)</f>
        <v/>
      </c>
      <c r="AF306" s="6" t="str">
        <f>IF(最佳化斷筋點!H306="","",最佳化斷筋點!H306)</f>
        <v/>
      </c>
      <c r="AG306" s="6" t="str">
        <f>IF(最佳化斷筋點!I306="","",最佳化斷筋點!I306)</f>
        <v/>
      </c>
      <c r="AH306" s="6" t="str">
        <f>IF(最佳化斷筋點!J306="","",最佳化斷筋點!J306)</f>
        <v/>
      </c>
      <c r="AI306" s="6" t="str">
        <f>IF(最佳化斷筋點!K306="","",最佳化斷筋點!K306)</f>
        <v/>
      </c>
      <c r="AJ306" s="6" t="str">
        <f>IF(最佳化斷筋點!L306="","",最佳化斷筋點!L306)</f>
        <v/>
      </c>
      <c r="AK306" s="6" t="str">
        <f>IF(最佳化斷筋點!M306="","",最佳化斷筋點!M306)</f>
        <v/>
      </c>
      <c r="AL306" s="6" t="str">
        <f>IF(最佳化斷筋點!N306="","",最佳化斷筋點!N306)</f>
        <v/>
      </c>
      <c r="AM306" s="6" t="str">
        <f>IF(最佳化斷筋點!O306="","",最佳化斷筋點!O306)</f>
        <v/>
      </c>
      <c r="AN306" s="6" t="str">
        <f>IF(最佳化斷筋點!P306="","",最佳化斷筋點!P306)</f>
        <v/>
      </c>
      <c r="AO306" s="6" t="str">
        <f>IF(最佳化斷筋點!Q306="","",最佳化斷筋點!Q306)</f>
        <v/>
      </c>
      <c r="AP306" s="6" t="str">
        <f>IF(最佳化斷筋點!R306="","",最佳化斷筋點!R306)</f>
        <v/>
      </c>
      <c r="AQ306" s="6" t="str">
        <f>IF(最佳化斷筋點!S306="","",最佳化斷筋點!S306)</f>
        <v/>
      </c>
      <c r="AR306" s="6" t="str">
        <f>IF(最佳化斷筋點!T306="","",最佳化斷筋點!T306)</f>
        <v/>
      </c>
      <c r="AS306" s="6" t="str">
        <f>IF(最佳化斷筋點!U306="","",最佳化斷筋點!U306)</f>
        <v/>
      </c>
      <c r="AT306" s="6" t="str">
        <f>IF(最佳化斷筋點!V306="","",最佳化斷筋點!V306)</f>
        <v/>
      </c>
      <c r="AU306" s="6" t="str">
        <f>IF(最佳化斷筋點!W306="","",最佳化斷筋點!W306)</f>
        <v/>
      </c>
      <c r="AV306" s="6" t="str">
        <f>IF(最佳化斷筋點!X306="","",最佳化斷筋點!X306)</f>
        <v/>
      </c>
    </row>
    <row r="307" spans="4:71" x14ac:dyDescent="0.25">
      <c r="D307" s="6" t="s">
        <v>50</v>
      </c>
      <c r="E307" s="6">
        <f t="shared" si="85"/>
        <v>0</v>
      </c>
      <c r="F307" s="6">
        <f t="shared" si="86"/>
        <v>0</v>
      </c>
      <c r="G307" s="6">
        <f t="shared" si="87"/>
        <v>0</v>
      </c>
      <c r="H307" s="6">
        <f t="shared" si="88"/>
        <v>0</v>
      </c>
      <c r="I307" s="6">
        <f t="shared" si="89"/>
        <v>0</v>
      </c>
      <c r="J307" s="6">
        <f t="shared" si="90"/>
        <v>0</v>
      </c>
      <c r="K307" s="6">
        <f t="shared" si="91"/>
        <v>0</v>
      </c>
      <c r="L307" s="6">
        <f t="shared" si="92"/>
        <v>0</v>
      </c>
      <c r="M307" s="6">
        <f t="shared" si="93"/>
        <v>0</v>
      </c>
      <c r="N307" s="6">
        <f t="shared" si="94"/>
        <v>0</v>
      </c>
      <c r="O307" s="6">
        <f t="shared" si="95"/>
        <v>0</v>
      </c>
      <c r="P307" s="6">
        <f t="shared" si="96"/>
        <v>0</v>
      </c>
      <c r="Q307" s="6">
        <f t="shared" si="97"/>
        <v>0</v>
      </c>
      <c r="R307" s="6">
        <f t="shared" si="98"/>
        <v>0</v>
      </c>
      <c r="S307" s="6">
        <f t="shared" si="99"/>
        <v>0</v>
      </c>
      <c r="T307" s="6">
        <f t="shared" si="100"/>
        <v>0</v>
      </c>
      <c r="U307" s="6">
        <f t="shared" si="101"/>
        <v>0</v>
      </c>
      <c r="V307" s="6">
        <f t="shared" si="102"/>
        <v>0</v>
      </c>
      <c r="W307" s="6">
        <f t="shared" si="103"/>
        <v>0</v>
      </c>
      <c r="X307" s="6">
        <f t="shared" si="104"/>
        <v>0</v>
      </c>
      <c r="Y307" s="6">
        <f t="shared" si="105"/>
        <v>0</v>
      </c>
      <c r="AA307" s="6" t="str">
        <f>IF(最佳化斷筋點!C307="","",最佳化斷筋點!C307)</f>
        <v>上層</v>
      </c>
      <c r="AB307" s="6">
        <f>IF(最佳化斷筋點!D307="","",最佳化斷筋點!D307)</f>
        <v>2</v>
      </c>
      <c r="AC307" s="6">
        <f>IF(最佳化斷筋點!E307="","",最佳化斷筋點!E307)</f>
        <v>2</v>
      </c>
      <c r="AD307" s="6">
        <f>IF(最佳化斷筋點!F307="","",最佳化斷筋點!F307)</f>
        <v>2</v>
      </c>
      <c r="AE307" s="6">
        <f>IF(最佳化斷筋點!G307="","",最佳化斷筋點!G307)</f>
        <v>2</v>
      </c>
      <c r="AF307" s="6">
        <f>IF(最佳化斷筋點!H307="","",最佳化斷筋點!H307)</f>
        <v>2</v>
      </c>
      <c r="AG307" s="6">
        <f>IF(最佳化斷筋點!I307="","",最佳化斷筋點!I307)</f>
        <v>2</v>
      </c>
      <c r="AH307" s="6">
        <f>IF(最佳化斷筋點!J307="","",最佳化斷筋點!J307)</f>
        <v>2</v>
      </c>
      <c r="AI307" s="6">
        <f>IF(最佳化斷筋點!K307="","",最佳化斷筋點!K307)</f>
        <v>2</v>
      </c>
      <c r="AJ307" s="6">
        <f>IF(最佳化斷筋點!L307="","",最佳化斷筋點!L307)</f>
        <v>2</v>
      </c>
      <c r="AK307" s="6">
        <f>IF(最佳化斷筋點!M307="","",最佳化斷筋點!M307)</f>
        <v>2</v>
      </c>
      <c r="AL307" s="6">
        <f>IF(最佳化斷筋點!N307="","",最佳化斷筋點!N307)</f>
        <v>2</v>
      </c>
      <c r="AM307" s="6">
        <f>IF(最佳化斷筋點!O307="","",最佳化斷筋點!O307)</f>
        <v>2</v>
      </c>
      <c r="AN307" s="6">
        <f>IF(最佳化斷筋點!P307="","",最佳化斷筋點!P307)</f>
        <v>2</v>
      </c>
      <c r="AO307" s="6">
        <f>IF(最佳化斷筋點!Q307="","",最佳化斷筋點!Q307)</f>
        <v>3</v>
      </c>
      <c r="AP307" s="6">
        <f>IF(最佳化斷筋點!R307="","",最佳化斷筋點!R307)</f>
        <v>4</v>
      </c>
      <c r="AQ307" s="6">
        <f>IF(最佳化斷筋點!S307="","",最佳化斷筋點!S307)</f>
        <v>5</v>
      </c>
      <c r="AR307" s="6">
        <f>IF(最佳化斷筋點!T307="","",最佳化斷筋點!T307)</f>
        <v>6</v>
      </c>
      <c r="AS307" s="6">
        <f>IF(最佳化斷筋點!U307="","",最佳化斷筋點!U307)</f>
        <v>7</v>
      </c>
      <c r="AT307" s="6">
        <f>IF(最佳化斷筋點!V307="","",最佳化斷筋點!V307)</f>
        <v>8</v>
      </c>
      <c r="AU307" s="6">
        <f>IF(最佳化斷筋點!W307="","",最佳化斷筋點!W307)</f>
        <v>9</v>
      </c>
      <c r="AV307" s="6">
        <f>IF(最佳化斷筋點!X307="","",最佳化斷筋點!X307)</f>
        <v>9</v>
      </c>
      <c r="AX307" s="6" t="s">
        <v>50</v>
      </c>
      <c r="AY307" s="6">
        <v>2</v>
      </c>
      <c r="AZ307" s="6">
        <v>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3</v>
      </c>
      <c r="BM307" s="6">
        <v>4</v>
      </c>
      <c r="BN307" s="6">
        <v>5</v>
      </c>
      <c r="BO307" s="6">
        <v>6</v>
      </c>
      <c r="BP307" s="6">
        <v>7</v>
      </c>
      <c r="BQ307" s="6">
        <v>8</v>
      </c>
      <c r="BR307" s="6">
        <v>9</v>
      </c>
      <c r="BS307" s="6">
        <v>9</v>
      </c>
    </row>
    <row r="308" spans="4:71" x14ac:dyDescent="0.25">
      <c r="E308" s="6">
        <f t="shared" si="85"/>
        <v>0</v>
      </c>
      <c r="F308" s="6">
        <f t="shared" si="86"/>
        <v>0</v>
      </c>
      <c r="G308" s="6">
        <f t="shared" si="87"/>
        <v>0</v>
      </c>
      <c r="H308" s="6">
        <f t="shared" si="88"/>
        <v>0</v>
      </c>
      <c r="I308" s="6">
        <f t="shared" si="89"/>
        <v>0</v>
      </c>
      <c r="J308" s="6">
        <f t="shared" si="90"/>
        <v>0</v>
      </c>
      <c r="K308" s="6">
        <f t="shared" si="91"/>
        <v>0</v>
      </c>
      <c r="L308" s="6">
        <f t="shared" si="92"/>
        <v>0</v>
      </c>
      <c r="M308" s="6">
        <f t="shared" si="93"/>
        <v>0</v>
      </c>
      <c r="N308" s="6">
        <f t="shared" si="94"/>
        <v>0</v>
      </c>
      <c r="O308" s="6">
        <f t="shared" si="95"/>
        <v>0</v>
      </c>
      <c r="P308" s="6">
        <f t="shared" si="96"/>
        <v>0</v>
      </c>
      <c r="Q308" s="6">
        <f t="shared" si="97"/>
        <v>0</v>
      </c>
      <c r="R308" s="6">
        <f t="shared" si="98"/>
        <v>0</v>
      </c>
      <c r="S308" s="6">
        <f t="shared" si="99"/>
        <v>0</v>
      </c>
      <c r="T308" s="6">
        <f t="shared" si="100"/>
        <v>0</v>
      </c>
      <c r="U308" s="6">
        <f t="shared" si="101"/>
        <v>0</v>
      </c>
      <c r="V308" s="6">
        <f t="shared" si="102"/>
        <v>0</v>
      </c>
      <c r="W308" s="6">
        <f t="shared" si="103"/>
        <v>0</v>
      </c>
      <c r="X308" s="6">
        <f t="shared" si="104"/>
        <v>0</v>
      </c>
      <c r="Y308" s="6">
        <f t="shared" si="105"/>
        <v>0</v>
      </c>
      <c r="AA308" s="6" t="str">
        <f>IF(最佳化斷筋點!C308="","",最佳化斷筋點!C308)</f>
        <v/>
      </c>
      <c r="AB308" s="6" t="str">
        <f>IF(最佳化斷筋點!D308="","",最佳化斷筋點!D308)</f>
        <v/>
      </c>
      <c r="AC308" s="6" t="str">
        <f>IF(最佳化斷筋點!E308="","",最佳化斷筋點!E308)</f>
        <v/>
      </c>
      <c r="AD308" s="6" t="str">
        <f>IF(最佳化斷筋點!F308="","",最佳化斷筋點!F308)</f>
        <v/>
      </c>
      <c r="AE308" s="6" t="str">
        <f>IF(最佳化斷筋點!G308="","",最佳化斷筋點!G308)</f>
        <v/>
      </c>
      <c r="AF308" s="6" t="str">
        <f>IF(最佳化斷筋點!H308="","",最佳化斷筋點!H308)</f>
        <v/>
      </c>
      <c r="AG308" s="6" t="str">
        <f>IF(最佳化斷筋點!I308="","",最佳化斷筋點!I308)</f>
        <v/>
      </c>
      <c r="AH308" s="6" t="str">
        <f>IF(最佳化斷筋點!J308="","",最佳化斷筋點!J308)</f>
        <v/>
      </c>
      <c r="AI308" s="6" t="str">
        <f>IF(最佳化斷筋點!K308="","",最佳化斷筋點!K308)</f>
        <v/>
      </c>
      <c r="AJ308" s="6" t="str">
        <f>IF(最佳化斷筋點!L308="","",最佳化斷筋點!L308)</f>
        <v/>
      </c>
      <c r="AK308" s="6" t="str">
        <f>IF(最佳化斷筋點!M308="","",最佳化斷筋點!M308)</f>
        <v/>
      </c>
      <c r="AL308" s="6" t="str">
        <f>IF(最佳化斷筋點!N308="","",最佳化斷筋點!N308)</f>
        <v/>
      </c>
      <c r="AM308" s="6" t="str">
        <f>IF(最佳化斷筋點!O308="","",最佳化斷筋點!O308)</f>
        <v/>
      </c>
      <c r="AN308" s="6" t="str">
        <f>IF(最佳化斷筋點!P308="","",最佳化斷筋點!P308)</f>
        <v/>
      </c>
      <c r="AO308" s="6" t="str">
        <f>IF(最佳化斷筋點!Q308="","",最佳化斷筋點!Q308)</f>
        <v/>
      </c>
      <c r="AP308" s="6" t="str">
        <f>IF(最佳化斷筋點!R308="","",最佳化斷筋點!R308)</f>
        <v/>
      </c>
      <c r="AQ308" s="6" t="str">
        <f>IF(最佳化斷筋點!S308="","",最佳化斷筋點!S308)</f>
        <v/>
      </c>
      <c r="AR308" s="6" t="str">
        <f>IF(最佳化斷筋點!T308="","",最佳化斷筋點!T308)</f>
        <v/>
      </c>
      <c r="AS308" s="6" t="str">
        <f>IF(最佳化斷筋點!U308="","",最佳化斷筋點!U308)</f>
        <v/>
      </c>
      <c r="AT308" s="6" t="str">
        <f>IF(最佳化斷筋點!V308="","",最佳化斷筋點!V308)</f>
        <v/>
      </c>
      <c r="AU308" s="6" t="str">
        <f>IF(最佳化斷筋點!W308="","",最佳化斷筋點!W308)</f>
        <v/>
      </c>
      <c r="AV308" s="6" t="str">
        <f>IF(最佳化斷筋點!X308="","",最佳化斷筋點!X308)</f>
        <v/>
      </c>
    </row>
    <row r="309" spans="4:71" x14ac:dyDescent="0.25">
      <c r="D309" s="6" t="s">
        <v>51</v>
      </c>
      <c r="E309" s="6">
        <f t="shared" si="85"/>
        <v>0</v>
      </c>
      <c r="F309" s="6">
        <f t="shared" si="86"/>
        <v>0</v>
      </c>
      <c r="G309" s="6">
        <f t="shared" si="87"/>
        <v>0</v>
      </c>
      <c r="H309" s="6">
        <f t="shared" si="88"/>
        <v>0</v>
      </c>
      <c r="I309" s="6">
        <f t="shared" si="89"/>
        <v>0</v>
      </c>
      <c r="J309" s="6">
        <f t="shared" si="90"/>
        <v>0</v>
      </c>
      <c r="K309" s="6">
        <f t="shared" si="91"/>
        <v>0</v>
      </c>
      <c r="L309" s="6">
        <f t="shared" si="92"/>
        <v>0</v>
      </c>
      <c r="M309" s="6">
        <f t="shared" si="93"/>
        <v>0</v>
      </c>
      <c r="N309" s="6">
        <f t="shared" si="94"/>
        <v>0</v>
      </c>
      <c r="O309" s="6">
        <f t="shared" si="95"/>
        <v>0</v>
      </c>
      <c r="P309" s="6">
        <f t="shared" si="96"/>
        <v>0</v>
      </c>
      <c r="Q309" s="6">
        <f t="shared" si="97"/>
        <v>0</v>
      </c>
      <c r="R309" s="6">
        <f t="shared" si="98"/>
        <v>0</v>
      </c>
      <c r="S309" s="6">
        <f t="shared" si="99"/>
        <v>0</v>
      </c>
      <c r="T309" s="6">
        <f t="shared" si="100"/>
        <v>0</v>
      </c>
      <c r="U309" s="6">
        <f t="shared" si="101"/>
        <v>0</v>
      </c>
      <c r="V309" s="6">
        <f t="shared" si="102"/>
        <v>0</v>
      </c>
      <c r="W309" s="6">
        <f t="shared" si="103"/>
        <v>0</v>
      </c>
      <c r="X309" s="6">
        <f t="shared" si="104"/>
        <v>0</v>
      </c>
      <c r="Y309" s="6">
        <f t="shared" si="105"/>
        <v>0</v>
      </c>
      <c r="AA309" s="6" t="str">
        <f>IF(最佳化斷筋點!C309="","",最佳化斷筋點!C309)</f>
        <v>下層</v>
      </c>
      <c r="AB309" s="6">
        <f>IF(最佳化斷筋點!D309="","",最佳化斷筋點!D309)</f>
        <v>7</v>
      </c>
      <c r="AC309" s="6">
        <f>IF(最佳化斷筋點!E309="","",最佳化斷筋點!E309)</f>
        <v>7</v>
      </c>
      <c r="AD309" s="6">
        <f>IF(最佳化斷筋點!F309="","",最佳化斷筋點!F309)</f>
        <v>6</v>
      </c>
      <c r="AE309" s="6">
        <f>IF(最佳化斷筋點!G309="","",最佳化斷筋點!G309)</f>
        <v>5</v>
      </c>
      <c r="AF309" s="6">
        <f>IF(最佳化斷筋點!H309="","",最佳化斷筋點!H309)</f>
        <v>6</v>
      </c>
      <c r="AG309" s="6">
        <f>IF(最佳化斷筋點!I309="","",最佳化斷筋點!I309)</f>
        <v>7</v>
      </c>
      <c r="AH309" s="6">
        <f>IF(最佳化斷筋點!J309="","",最佳化斷筋點!J309)</f>
        <v>8</v>
      </c>
      <c r="AI309" s="6">
        <f>IF(最佳化斷筋點!K309="","",最佳化斷筋點!K309)</f>
        <v>9</v>
      </c>
      <c r="AJ309" s="6">
        <f>IF(最佳化斷筋點!L309="","",最佳化斷筋點!L309)</f>
        <v>9</v>
      </c>
      <c r="AK309" s="6">
        <f>IF(最佳化斷筋點!M309="","",最佳化斷筋點!M309)</f>
        <v>9</v>
      </c>
      <c r="AL309" s="6">
        <f>IF(最佳化斷筋點!N309="","",最佳化斷筋點!N309)</f>
        <v>9</v>
      </c>
      <c r="AM309" s="6">
        <f>IF(最佳化斷筋點!O309="","",最佳化斷筋點!O309)</f>
        <v>9</v>
      </c>
      <c r="AN309" s="6">
        <f>IF(最佳化斷筋點!P309="","",最佳化斷筋點!P309)</f>
        <v>9</v>
      </c>
      <c r="AO309" s="6">
        <f>IF(最佳化斷筋點!Q309="","",最佳化斷筋點!Q309)</f>
        <v>9</v>
      </c>
      <c r="AP309" s="6">
        <f>IF(最佳化斷筋點!R309="","",最佳化斷筋點!R309)</f>
        <v>8</v>
      </c>
      <c r="AQ309" s="6">
        <f>IF(最佳化斷筋點!S309="","",最佳化斷筋點!S309)</f>
        <v>7</v>
      </c>
      <c r="AR309" s="6">
        <f>IF(最佳化斷筋點!T309="","",最佳化斷筋點!T309)</f>
        <v>6</v>
      </c>
      <c r="AS309" s="6">
        <f>IF(最佳化斷筋點!U309="","",最佳化斷筋點!U309)</f>
        <v>5</v>
      </c>
      <c r="AT309" s="6">
        <f>IF(最佳化斷筋點!V309="","",最佳化斷筋點!V309)</f>
        <v>5</v>
      </c>
      <c r="AU309" s="6">
        <f>IF(最佳化斷筋點!W309="","",最佳化斷筋點!W309)</f>
        <v>6</v>
      </c>
      <c r="AV309" s="6">
        <f>IF(最佳化斷筋點!X309="","",最佳化斷筋點!X309)</f>
        <v>6</v>
      </c>
      <c r="AX309" s="6" t="s">
        <v>51</v>
      </c>
      <c r="AY309" s="6">
        <v>7</v>
      </c>
      <c r="AZ309" s="6">
        <v>7</v>
      </c>
      <c r="BA309" s="6">
        <v>6</v>
      </c>
      <c r="BB309" s="6">
        <v>5</v>
      </c>
      <c r="BC309" s="6">
        <v>6</v>
      </c>
      <c r="BD309" s="6">
        <v>7</v>
      </c>
      <c r="BE309" s="6">
        <v>8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8</v>
      </c>
      <c r="BN309" s="6">
        <v>7</v>
      </c>
      <c r="BO309" s="6">
        <v>6</v>
      </c>
      <c r="BP309" s="6">
        <v>5</v>
      </c>
      <c r="BQ309" s="6">
        <v>5</v>
      </c>
      <c r="BR309" s="6">
        <v>6</v>
      </c>
      <c r="BS309" s="6">
        <v>6</v>
      </c>
    </row>
    <row r="310" spans="4:71" x14ac:dyDescent="0.25">
      <c r="E310" s="6">
        <f t="shared" si="85"/>
        <v>0</v>
      </c>
      <c r="F310" s="6">
        <f t="shared" si="86"/>
        <v>0</v>
      </c>
      <c r="G310" s="6">
        <f t="shared" si="87"/>
        <v>0</v>
      </c>
      <c r="H310" s="6">
        <f t="shared" si="88"/>
        <v>0</v>
      </c>
      <c r="I310" s="6">
        <f t="shared" si="89"/>
        <v>0</v>
      </c>
      <c r="J310" s="6">
        <f t="shared" si="90"/>
        <v>0</v>
      </c>
      <c r="K310" s="6">
        <f t="shared" si="91"/>
        <v>0</v>
      </c>
      <c r="L310" s="6">
        <f t="shared" si="92"/>
        <v>0</v>
      </c>
      <c r="M310" s="6">
        <f t="shared" si="93"/>
        <v>0</v>
      </c>
      <c r="N310" s="6">
        <f t="shared" si="94"/>
        <v>0</v>
      </c>
      <c r="O310" s="6">
        <f t="shared" si="95"/>
        <v>0</v>
      </c>
      <c r="P310" s="6">
        <f t="shared" si="96"/>
        <v>0</v>
      </c>
      <c r="Q310" s="6">
        <f t="shared" si="97"/>
        <v>0</v>
      </c>
      <c r="R310" s="6">
        <f t="shared" si="98"/>
        <v>0</v>
      </c>
      <c r="S310" s="6">
        <f t="shared" si="99"/>
        <v>0</v>
      </c>
      <c r="T310" s="6">
        <f t="shared" si="100"/>
        <v>0</v>
      </c>
      <c r="U310" s="6">
        <f t="shared" si="101"/>
        <v>0</v>
      </c>
      <c r="V310" s="6">
        <f t="shared" si="102"/>
        <v>0</v>
      </c>
      <c r="W310" s="6">
        <f t="shared" si="103"/>
        <v>0</v>
      </c>
      <c r="X310" s="6">
        <f t="shared" si="104"/>
        <v>0</v>
      </c>
      <c r="Y310" s="6">
        <f t="shared" si="105"/>
        <v>0</v>
      </c>
      <c r="AA310" s="6" t="str">
        <f>IF(最佳化斷筋點!C310="","",最佳化斷筋點!C310)</f>
        <v/>
      </c>
      <c r="AB310" s="6" t="str">
        <f>IF(最佳化斷筋點!D310="","",最佳化斷筋點!D310)</f>
        <v/>
      </c>
      <c r="AC310" s="6" t="str">
        <f>IF(最佳化斷筋點!E310="","",最佳化斷筋點!E310)</f>
        <v/>
      </c>
      <c r="AD310" s="6" t="str">
        <f>IF(最佳化斷筋點!F310="","",最佳化斷筋點!F310)</f>
        <v/>
      </c>
      <c r="AE310" s="6" t="str">
        <f>IF(最佳化斷筋點!G310="","",最佳化斷筋點!G310)</f>
        <v/>
      </c>
      <c r="AF310" s="6" t="str">
        <f>IF(最佳化斷筋點!H310="","",最佳化斷筋點!H310)</f>
        <v/>
      </c>
      <c r="AG310" s="6" t="str">
        <f>IF(最佳化斷筋點!I310="","",最佳化斷筋點!I310)</f>
        <v/>
      </c>
      <c r="AH310" s="6" t="str">
        <f>IF(最佳化斷筋點!J310="","",最佳化斷筋點!J310)</f>
        <v/>
      </c>
      <c r="AI310" s="6" t="str">
        <f>IF(最佳化斷筋點!K310="","",最佳化斷筋點!K310)</f>
        <v/>
      </c>
      <c r="AJ310" s="6" t="str">
        <f>IF(最佳化斷筋點!L310="","",最佳化斷筋點!L310)</f>
        <v/>
      </c>
      <c r="AK310" s="6" t="str">
        <f>IF(最佳化斷筋點!M310="","",最佳化斷筋點!M310)</f>
        <v/>
      </c>
      <c r="AL310" s="6" t="str">
        <f>IF(最佳化斷筋點!N310="","",最佳化斷筋點!N310)</f>
        <v/>
      </c>
      <c r="AM310" s="6" t="str">
        <f>IF(最佳化斷筋點!O310="","",最佳化斷筋點!O310)</f>
        <v/>
      </c>
      <c r="AN310" s="6" t="str">
        <f>IF(最佳化斷筋點!P310="","",最佳化斷筋點!P310)</f>
        <v/>
      </c>
      <c r="AO310" s="6" t="str">
        <f>IF(最佳化斷筋點!Q310="","",最佳化斷筋點!Q310)</f>
        <v/>
      </c>
      <c r="AP310" s="6" t="str">
        <f>IF(最佳化斷筋點!R310="","",最佳化斷筋點!R310)</f>
        <v/>
      </c>
      <c r="AQ310" s="6" t="str">
        <f>IF(最佳化斷筋點!S310="","",最佳化斷筋點!S310)</f>
        <v/>
      </c>
      <c r="AR310" s="6" t="str">
        <f>IF(最佳化斷筋點!T310="","",最佳化斷筋點!T310)</f>
        <v/>
      </c>
      <c r="AS310" s="6" t="str">
        <f>IF(最佳化斷筋點!U310="","",最佳化斷筋點!U310)</f>
        <v/>
      </c>
      <c r="AT310" s="6" t="str">
        <f>IF(最佳化斷筋點!V310="","",最佳化斷筋點!V310)</f>
        <v/>
      </c>
      <c r="AU310" s="6" t="str">
        <f>IF(最佳化斷筋點!W310="","",最佳化斷筋點!W310)</f>
        <v/>
      </c>
      <c r="AV310" s="6" t="str">
        <f>IF(最佳化斷筋點!X310="","",最佳化斷筋點!X310)</f>
        <v/>
      </c>
    </row>
    <row r="311" spans="4:71" x14ac:dyDescent="0.25">
      <c r="D311" s="6" t="s">
        <v>50</v>
      </c>
      <c r="E311" s="6">
        <f t="shared" si="85"/>
        <v>0</v>
      </c>
      <c r="F311" s="6">
        <f t="shared" si="86"/>
        <v>0</v>
      </c>
      <c r="G311" s="6">
        <f t="shared" si="87"/>
        <v>0</v>
      </c>
      <c r="H311" s="6">
        <f t="shared" si="88"/>
        <v>0</v>
      </c>
      <c r="I311" s="6">
        <f t="shared" si="89"/>
        <v>0</v>
      </c>
      <c r="J311" s="6">
        <f t="shared" si="90"/>
        <v>0</v>
      </c>
      <c r="K311" s="6">
        <f t="shared" si="91"/>
        <v>0</v>
      </c>
      <c r="L311" s="6">
        <f t="shared" si="92"/>
        <v>0</v>
      </c>
      <c r="M311" s="6">
        <f t="shared" si="93"/>
        <v>0</v>
      </c>
      <c r="N311" s="6">
        <f t="shared" si="94"/>
        <v>0</v>
      </c>
      <c r="O311" s="6">
        <f t="shared" si="95"/>
        <v>0</v>
      </c>
      <c r="P311" s="6">
        <f t="shared" si="96"/>
        <v>0</v>
      </c>
      <c r="Q311" s="6">
        <f t="shared" si="97"/>
        <v>0</v>
      </c>
      <c r="R311" s="6">
        <f t="shared" si="98"/>
        <v>0</v>
      </c>
      <c r="S311" s="6">
        <f t="shared" si="99"/>
        <v>0</v>
      </c>
      <c r="T311" s="6">
        <f t="shared" si="100"/>
        <v>0</v>
      </c>
      <c r="U311" s="6">
        <f t="shared" si="101"/>
        <v>0</v>
      </c>
      <c r="V311" s="6">
        <f t="shared" si="102"/>
        <v>0</v>
      </c>
      <c r="W311" s="6">
        <f t="shared" si="103"/>
        <v>0</v>
      </c>
      <c r="X311" s="6">
        <f t="shared" si="104"/>
        <v>0</v>
      </c>
      <c r="Y311" s="6">
        <f t="shared" si="105"/>
        <v>0</v>
      </c>
      <c r="AA311" s="6" t="str">
        <f>IF(最佳化斷筋點!C311="","",最佳化斷筋點!C311)</f>
        <v>上層</v>
      </c>
      <c r="AB311" s="6">
        <f>IF(最佳化斷筋點!D311="","",最佳化斷筋點!D311)</f>
        <v>9</v>
      </c>
      <c r="AC311" s="6">
        <f>IF(最佳化斷筋點!E311="","",最佳化斷筋點!E311)</f>
        <v>9</v>
      </c>
      <c r="AD311" s="6">
        <f>IF(最佳化斷筋點!F311="","",最佳化斷筋點!F311)</f>
        <v>8</v>
      </c>
      <c r="AE311" s="6">
        <f>IF(最佳化斷筋點!G311="","",最佳化斷筋點!G311)</f>
        <v>7</v>
      </c>
      <c r="AF311" s="6">
        <f>IF(最佳化斷筋點!H311="","",最佳化斷筋點!H311)</f>
        <v>6</v>
      </c>
      <c r="AG311" s="6">
        <f>IF(最佳化斷筋點!I311="","",最佳化斷筋點!I311)</f>
        <v>5</v>
      </c>
      <c r="AH311" s="6">
        <f>IF(最佳化斷筋點!J311="","",最佳化斷筋點!J311)</f>
        <v>4</v>
      </c>
      <c r="AI311" s="6">
        <f>IF(最佳化斷筋點!K311="","",最佳化斷筋點!K311)</f>
        <v>3</v>
      </c>
      <c r="AJ311" s="6">
        <f>IF(最佳化斷筋點!L311="","",最佳化斷筋點!L311)</f>
        <v>2</v>
      </c>
      <c r="AK311" s="6">
        <f>IF(最佳化斷筋點!M311="","",最佳化斷筋點!M311)</f>
        <v>2</v>
      </c>
      <c r="AL311" s="6">
        <f>IF(最佳化斷筋點!N311="","",最佳化斷筋點!N311)</f>
        <v>2</v>
      </c>
      <c r="AM311" s="6">
        <f>IF(最佳化斷筋點!O311="","",最佳化斷筋點!O311)</f>
        <v>2</v>
      </c>
      <c r="AN311" s="6">
        <f>IF(最佳化斷筋點!P311="","",最佳化斷筋點!P311)</f>
        <v>2</v>
      </c>
      <c r="AO311" s="6">
        <f>IF(最佳化斷筋點!Q311="","",最佳化斷筋點!Q311)</f>
        <v>3</v>
      </c>
      <c r="AP311" s="6">
        <f>IF(最佳化斷筋點!R311="","",最佳化斷筋點!R311)</f>
        <v>4</v>
      </c>
      <c r="AQ311" s="6">
        <f>IF(最佳化斷筋點!S311="","",最佳化斷筋點!S311)</f>
        <v>5</v>
      </c>
      <c r="AR311" s="6">
        <f>IF(最佳化斷筋點!T311="","",最佳化斷筋點!T311)</f>
        <v>6</v>
      </c>
      <c r="AS311" s="6">
        <f>IF(最佳化斷筋點!U311="","",最佳化斷筋點!U311)</f>
        <v>7</v>
      </c>
      <c r="AT311" s="6">
        <f>IF(最佳化斷筋點!V311="","",最佳化斷筋點!V311)</f>
        <v>8</v>
      </c>
      <c r="AU311" s="6">
        <f>IF(最佳化斷筋點!W311="","",最佳化斷筋點!W311)</f>
        <v>9</v>
      </c>
      <c r="AV311" s="6">
        <f>IF(最佳化斷筋點!X311="","",最佳化斷筋點!X311)</f>
        <v>9</v>
      </c>
      <c r="AX311" s="6" t="s">
        <v>50</v>
      </c>
      <c r="AY311" s="6">
        <v>9</v>
      </c>
      <c r="AZ311" s="6">
        <v>9</v>
      </c>
      <c r="BA311" s="6">
        <v>8</v>
      </c>
      <c r="BB311" s="6">
        <v>7</v>
      </c>
      <c r="BC311" s="6">
        <v>6</v>
      </c>
      <c r="BD311" s="6">
        <v>5</v>
      </c>
      <c r="BE311" s="6">
        <v>4</v>
      </c>
      <c r="BF311" s="6">
        <v>3</v>
      </c>
      <c r="BG311" s="6">
        <v>2</v>
      </c>
      <c r="BH311" s="6">
        <v>2</v>
      </c>
      <c r="BI311" s="6">
        <v>2</v>
      </c>
      <c r="BJ311" s="6">
        <v>2</v>
      </c>
      <c r="BK311" s="6">
        <v>2</v>
      </c>
      <c r="BL311" s="6">
        <v>3</v>
      </c>
      <c r="BM311" s="6">
        <v>4</v>
      </c>
      <c r="BN311" s="6">
        <v>5</v>
      </c>
      <c r="BO311" s="6">
        <v>6</v>
      </c>
      <c r="BP311" s="6">
        <v>7</v>
      </c>
      <c r="BQ311" s="6">
        <v>8</v>
      </c>
      <c r="BR311" s="6">
        <v>9</v>
      </c>
      <c r="BS311" s="6">
        <v>9</v>
      </c>
    </row>
    <row r="312" spans="4:71" x14ac:dyDescent="0.25">
      <c r="E312" s="6">
        <f t="shared" si="85"/>
        <v>0</v>
      </c>
      <c r="F312" s="6">
        <f t="shared" si="86"/>
        <v>0</v>
      </c>
      <c r="G312" s="6">
        <f t="shared" si="87"/>
        <v>0</v>
      </c>
      <c r="H312" s="6">
        <f t="shared" si="88"/>
        <v>0</v>
      </c>
      <c r="I312" s="6">
        <f t="shared" si="89"/>
        <v>0</v>
      </c>
      <c r="J312" s="6">
        <f t="shared" si="90"/>
        <v>0</v>
      </c>
      <c r="K312" s="6">
        <f t="shared" si="91"/>
        <v>0</v>
      </c>
      <c r="L312" s="6">
        <f t="shared" si="92"/>
        <v>0</v>
      </c>
      <c r="M312" s="6">
        <f t="shared" si="93"/>
        <v>0</v>
      </c>
      <c r="N312" s="6">
        <f t="shared" si="94"/>
        <v>0</v>
      </c>
      <c r="O312" s="6">
        <f t="shared" si="95"/>
        <v>0</v>
      </c>
      <c r="P312" s="6">
        <f t="shared" si="96"/>
        <v>0</v>
      </c>
      <c r="Q312" s="6">
        <f t="shared" si="97"/>
        <v>0</v>
      </c>
      <c r="R312" s="6">
        <f t="shared" si="98"/>
        <v>0</v>
      </c>
      <c r="S312" s="6">
        <f t="shared" si="99"/>
        <v>0</v>
      </c>
      <c r="T312" s="6">
        <f t="shared" si="100"/>
        <v>0</v>
      </c>
      <c r="U312" s="6">
        <f t="shared" si="101"/>
        <v>0</v>
      </c>
      <c r="V312" s="6">
        <f t="shared" si="102"/>
        <v>0</v>
      </c>
      <c r="W312" s="6">
        <f t="shared" si="103"/>
        <v>0</v>
      </c>
      <c r="X312" s="6">
        <f t="shared" si="104"/>
        <v>0</v>
      </c>
      <c r="Y312" s="6">
        <f t="shared" si="105"/>
        <v>0</v>
      </c>
      <c r="AA312" s="6" t="str">
        <f>IF(最佳化斷筋點!C312="","",最佳化斷筋點!C312)</f>
        <v/>
      </c>
      <c r="AB312" s="6" t="str">
        <f>IF(最佳化斷筋點!D312="","",最佳化斷筋點!D312)</f>
        <v/>
      </c>
      <c r="AC312" s="6" t="str">
        <f>IF(最佳化斷筋點!E312="","",最佳化斷筋點!E312)</f>
        <v/>
      </c>
      <c r="AD312" s="6" t="str">
        <f>IF(最佳化斷筋點!F312="","",最佳化斷筋點!F312)</f>
        <v/>
      </c>
      <c r="AE312" s="6" t="str">
        <f>IF(最佳化斷筋點!G312="","",最佳化斷筋點!G312)</f>
        <v/>
      </c>
      <c r="AF312" s="6" t="str">
        <f>IF(最佳化斷筋點!H312="","",最佳化斷筋點!H312)</f>
        <v/>
      </c>
      <c r="AG312" s="6" t="str">
        <f>IF(最佳化斷筋點!I312="","",最佳化斷筋點!I312)</f>
        <v/>
      </c>
      <c r="AH312" s="6" t="str">
        <f>IF(最佳化斷筋點!J312="","",最佳化斷筋點!J312)</f>
        <v/>
      </c>
      <c r="AI312" s="6" t="str">
        <f>IF(最佳化斷筋點!K312="","",最佳化斷筋點!K312)</f>
        <v/>
      </c>
      <c r="AJ312" s="6" t="str">
        <f>IF(最佳化斷筋點!L312="","",最佳化斷筋點!L312)</f>
        <v/>
      </c>
      <c r="AK312" s="6" t="str">
        <f>IF(最佳化斷筋點!M312="","",最佳化斷筋點!M312)</f>
        <v/>
      </c>
      <c r="AL312" s="6" t="str">
        <f>IF(最佳化斷筋點!N312="","",最佳化斷筋點!N312)</f>
        <v/>
      </c>
      <c r="AM312" s="6" t="str">
        <f>IF(最佳化斷筋點!O312="","",最佳化斷筋點!O312)</f>
        <v/>
      </c>
      <c r="AN312" s="6" t="str">
        <f>IF(最佳化斷筋點!P312="","",最佳化斷筋點!P312)</f>
        <v/>
      </c>
      <c r="AO312" s="6" t="str">
        <f>IF(最佳化斷筋點!Q312="","",最佳化斷筋點!Q312)</f>
        <v/>
      </c>
      <c r="AP312" s="6" t="str">
        <f>IF(最佳化斷筋點!R312="","",最佳化斷筋點!R312)</f>
        <v/>
      </c>
      <c r="AQ312" s="6" t="str">
        <f>IF(最佳化斷筋點!S312="","",最佳化斷筋點!S312)</f>
        <v/>
      </c>
      <c r="AR312" s="6" t="str">
        <f>IF(最佳化斷筋點!T312="","",最佳化斷筋點!T312)</f>
        <v/>
      </c>
      <c r="AS312" s="6" t="str">
        <f>IF(最佳化斷筋點!U312="","",最佳化斷筋點!U312)</f>
        <v/>
      </c>
      <c r="AT312" s="6" t="str">
        <f>IF(最佳化斷筋點!V312="","",最佳化斷筋點!V312)</f>
        <v/>
      </c>
      <c r="AU312" s="6" t="str">
        <f>IF(最佳化斷筋點!W312="","",最佳化斷筋點!W312)</f>
        <v/>
      </c>
      <c r="AV312" s="6" t="str">
        <f>IF(最佳化斷筋點!X312="","",最佳化斷筋點!X312)</f>
        <v/>
      </c>
    </row>
    <row r="313" spans="4:71" x14ac:dyDescent="0.25">
      <c r="D313" s="6" t="s">
        <v>51</v>
      </c>
      <c r="E313" s="6">
        <f t="shared" si="85"/>
        <v>0</v>
      </c>
      <c r="F313" s="6">
        <f t="shared" si="86"/>
        <v>0</v>
      </c>
      <c r="G313" s="6">
        <f t="shared" si="87"/>
        <v>0</v>
      </c>
      <c r="H313" s="6">
        <f t="shared" si="88"/>
        <v>0</v>
      </c>
      <c r="I313" s="6">
        <f t="shared" si="89"/>
        <v>0</v>
      </c>
      <c r="J313" s="6">
        <f t="shared" si="90"/>
        <v>0</v>
      </c>
      <c r="K313" s="6">
        <f t="shared" si="91"/>
        <v>0</v>
      </c>
      <c r="L313" s="6">
        <f t="shared" si="92"/>
        <v>0</v>
      </c>
      <c r="M313" s="6">
        <f t="shared" si="93"/>
        <v>0</v>
      </c>
      <c r="N313" s="6">
        <f t="shared" si="94"/>
        <v>0</v>
      </c>
      <c r="O313" s="6">
        <f t="shared" si="95"/>
        <v>0</v>
      </c>
      <c r="P313" s="6">
        <f t="shared" si="96"/>
        <v>0</v>
      </c>
      <c r="Q313" s="6">
        <f t="shared" si="97"/>
        <v>0</v>
      </c>
      <c r="R313" s="6">
        <f t="shared" si="98"/>
        <v>0</v>
      </c>
      <c r="S313" s="6">
        <f t="shared" si="99"/>
        <v>0</v>
      </c>
      <c r="T313" s="6">
        <f t="shared" si="100"/>
        <v>0</v>
      </c>
      <c r="U313" s="6">
        <f t="shared" si="101"/>
        <v>0</v>
      </c>
      <c r="V313" s="6">
        <f t="shared" si="102"/>
        <v>0</v>
      </c>
      <c r="W313" s="6">
        <f t="shared" si="103"/>
        <v>0</v>
      </c>
      <c r="X313" s="6">
        <f t="shared" si="104"/>
        <v>0</v>
      </c>
      <c r="Y313" s="6">
        <f t="shared" si="105"/>
        <v>0</v>
      </c>
      <c r="AA313" s="6" t="str">
        <f>IF(最佳化斷筋點!C313="","",最佳化斷筋點!C313)</f>
        <v>下層</v>
      </c>
      <c r="AB313" s="6">
        <f>IF(最佳化斷筋點!D313="","",最佳化斷筋點!D313)</f>
        <v>5</v>
      </c>
      <c r="AC313" s="6">
        <f>IF(最佳化斷筋點!E313="","",最佳化斷筋點!E313)</f>
        <v>5</v>
      </c>
      <c r="AD313" s="6">
        <f>IF(最佳化斷筋點!F313="","",最佳化斷筋點!F313)</f>
        <v>4</v>
      </c>
      <c r="AE313" s="6">
        <f>IF(最佳化斷筋點!G313="","",最佳化斷筋點!G313)</f>
        <v>5</v>
      </c>
      <c r="AF313" s="6">
        <f>IF(最佳化斷筋點!H313="","",最佳化斷筋點!H313)</f>
        <v>6</v>
      </c>
      <c r="AG313" s="6">
        <f>IF(最佳化斷筋點!I313="","",最佳化斷筋點!I313)</f>
        <v>6</v>
      </c>
      <c r="AH313" s="6">
        <f>IF(最佳化斷筋點!J313="","",最佳化斷筋點!J313)</f>
        <v>7</v>
      </c>
      <c r="AI313" s="6">
        <f>IF(最佳化斷筋點!K313="","",最佳化斷筋點!K313)</f>
        <v>8</v>
      </c>
      <c r="AJ313" s="6">
        <f>IF(最佳化斷筋點!L313="","",最佳化斷筋點!L313)</f>
        <v>8</v>
      </c>
      <c r="AK313" s="6">
        <f>IF(最佳化斷筋點!M313="","",最佳化斷筋點!M313)</f>
        <v>8</v>
      </c>
      <c r="AL313" s="6">
        <f>IF(最佳化斷筋點!N313="","",最佳化斷筋點!N313)</f>
        <v>8</v>
      </c>
      <c r="AM313" s="6">
        <f>IF(最佳化斷筋點!O313="","",最佳化斷筋點!O313)</f>
        <v>8</v>
      </c>
      <c r="AN313" s="6">
        <f>IF(最佳化斷筋點!P313="","",最佳化斷筋點!P313)</f>
        <v>8</v>
      </c>
      <c r="AO313" s="6">
        <f>IF(最佳化斷筋點!Q313="","",最佳化斷筋點!Q313)</f>
        <v>8</v>
      </c>
      <c r="AP313" s="6">
        <f>IF(最佳化斷筋點!R313="","",最佳化斷筋點!R313)</f>
        <v>7</v>
      </c>
      <c r="AQ313" s="6">
        <f>IF(最佳化斷筋點!S313="","",最佳化斷筋點!S313)</f>
        <v>6</v>
      </c>
      <c r="AR313" s="6">
        <f>IF(最佳化斷筋點!T313="","",最佳化斷筋點!T313)</f>
        <v>6</v>
      </c>
      <c r="AS313" s="6">
        <f>IF(最佳化斷筋點!U313="","",最佳化斷筋點!U313)</f>
        <v>5</v>
      </c>
      <c r="AT313" s="6">
        <f>IF(最佳化斷筋點!V313="","",最佳化斷筋點!V313)</f>
        <v>4</v>
      </c>
      <c r="AU313" s="6">
        <f>IF(最佳化斷筋點!W313="","",最佳化斷筋點!W313)</f>
        <v>5</v>
      </c>
      <c r="AV313" s="6">
        <f>IF(最佳化斷筋點!X313="","",最佳化斷筋點!X313)</f>
        <v>5</v>
      </c>
      <c r="AX313" s="6" t="s">
        <v>51</v>
      </c>
      <c r="AY313" s="6">
        <v>5</v>
      </c>
      <c r="AZ313" s="6">
        <v>5</v>
      </c>
      <c r="BA313" s="6">
        <v>4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7</v>
      </c>
      <c r="BN313" s="6">
        <v>6</v>
      </c>
      <c r="BO313" s="6">
        <v>6</v>
      </c>
      <c r="BP313" s="6">
        <v>5</v>
      </c>
      <c r="BQ313" s="6">
        <v>4</v>
      </c>
      <c r="BR313" s="6">
        <v>5</v>
      </c>
      <c r="BS313" s="6">
        <v>5</v>
      </c>
    </row>
    <row r="314" spans="4:71" x14ac:dyDescent="0.25">
      <c r="E314" s="6">
        <f t="shared" si="85"/>
        <v>0</v>
      </c>
      <c r="F314" s="6">
        <f t="shared" si="86"/>
        <v>0</v>
      </c>
      <c r="G314" s="6">
        <f t="shared" si="87"/>
        <v>0</v>
      </c>
      <c r="H314" s="6">
        <f t="shared" si="88"/>
        <v>0</v>
      </c>
      <c r="I314" s="6">
        <f t="shared" si="89"/>
        <v>0</v>
      </c>
      <c r="J314" s="6">
        <f t="shared" si="90"/>
        <v>0</v>
      </c>
      <c r="K314" s="6">
        <f t="shared" si="91"/>
        <v>0</v>
      </c>
      <c r="L314" s="6">
        <f t="shared" si="92"/>
        <v>0</v>
      </c>
      <c r="M314" s="6">
        <f t="shared" si="93"/>
        <v>0</v>
      </c>
      <c r="N314" s="6">
        <f t="shared" si="94"/>
        <v>0</v>
      </c>
      <c r="O314" s="6">
        <f t="shared" si="95"/>
        <v>0</v>
      </c>
      <c r="P314" s="6">
        <f t="shared" si="96"/>
        <v>0</v>
      </c>
      <c r="Q314" s="6">
        <f t="shared" si="97"/>
        <v>0</v>
      </c>
      <c r="R314" s="6">
        <f t="shared" si="98"/>
        <v>0</v>
      </c>
      <c r="S314" s="6">
        <f t="shared" si="99"/>
        <v>0</v>
      </c>
      <c r="T314" s="6">
        <f t="shared" si="100"/>
        <v>0</v>
      </c>
      <c r="U314" s="6">
        <f t="shared" si="101"/>
        <v>0</v>
      </c>
      <c r="V314" s="6">
        <f t="shared" si="102"/>
        <v>0</v>
      </c>
      <c r="W314" s="6">
        <f t="shared" si="103"/>
        <v>0</v>
      </c>
      <c r="X314" s="6">
        <f t="shared" si="104"/>
        <v>0</v>
      </c>
      <c r="Y314" s="6">
        <f t="shared" si="105"/>
        <v>0</v>
      </c>
      <c r="AA314" s="6" t="str">
        <f>IF(最佳化斷筋點!C314="","",最佳化斷筋點!C314)</f>
        <v/>
      </c>
      <c r="AB314" s="6" t="str">
        <f>IF(最佳化斷筋點!D314="","",最佳化斷筋點!D314)</f>
        <v/>
      </c>
      <c r="AC314" s="6" t="str">
        <f>IF(最佳化斷筋點!E314="","",最佳化斷筋點!E314)</f>
        <v/>
      </c>
      <c r="AD314" s="6" t="str">
        <f>IF(最佳化斷筋點!F314="","",最佳化斷筋點!F314)</f>
        <v/>
      </c>
      <c r="AE314" s="6" t="str">
        <f>IF(最佳化斷筋點!G314="","",最佳化斷筋點!G314)</f>
        <v/>
      </c>
      <c r="AF314" s="6" t="str">
        <f>IF(最佳化斷筋點!H314="","",最佳化斷筋點!H314)</f>
        <v/>
      </c>
      <c r="AG314" s="6" t="str">
        <f>IF(最佳化斷筋點!I314="","",最佳化斷筋點!I314)</f>
        <v/>
      </c>
      <c r="AH314" s="6" t="str">
        <f>IF(最佳化斷筋點!J314="","",最佳化斷筋點!J314)</f>
        <v/>
      </c>
      <c r="AI314" s="6" t="str">
        <f>IF(最佳化斷筋點!K314="","",最佳化斷筋點!K314)</f>
        <v/>
      </c>
      <c r="AJ314" s="6" t="str">
        <f>IF(最佳化斷筋點!L314="","",最佳化斷筋點!L314)</f>
        <v/>
      </c>
      <c r="AK314" s="6" t="str">
        <f>IF(最佳化斷筋點!M314="","",最佳化斷筋點!M314)</f>
        <v/>
      </c>
      <c r="AL314" s="6" t="str">
        <f>IF(最佳化斷筋點!N314="","",最佳化斷筋點!N314)</f>
        <v/>
      </c>
      <c r="AM314" s="6" t="str">
        <f>IF(最佳化斷筋點!O314="","",最佳化斷筋點!O314)</f>
        <v/>
      </c>
      <c r="AN314" s="6" t="str">
        <f>IF(最佳化斷筋點!P314="","",最佳化斷筋點!P314)</f>
        <v/>
      </c>
      <c r="AO314" s="6" t="str">
        <f>IF(最佳化斷筋點!Q314="","",最佳化斷筋點!Q314)</f>
        <v/>
      </c>
      <c r="AP314" s="6" t="str">
        <f>IF(最佳化斷筋點!R314="","",最佳化斷筋點!R314)</f>
        <v/>
      </c>
      <c r="AQ314" s="6" t="str">
        <f>IF(最佳化斷筋點!S314="","",最佳化斷筋點!S314)</f>
        <v/>
      </c>
      <c r="AR314" s="6" t="str">
        <f>IF(最佳化斷筋點!T314="","",最佳化斷筋點!T314)</f>
        <v/>
      </c>
      <c r="AS314" s="6" t="str">
        <f>IF(最佳化斷筋點!U314="","",最佳化斷筋點!U314)</f>
        <v/>
      </c>
      <c r="AT314" s="6" t="str">
        <f>IF(最佳化斷筋點!V314="","",最佳化斷筋點!V314)</f>
        <v/>
      </c>
      <c r="AU314" s="6" t="str">
        <f>IF(最佳化斷筋點!W314="","",最佳化斷筋點!W314)</f>
        <v/>
      </c>
      <c r="AV314" s="6" t="str">
        <f>IF(最佳化斷筋點!X314="","",最佳化斷筋點!X314)</f>
        <v/>
      </c>
    </row>
    <row r="315" spans="4:71" x14ac:dyDescent="0.25">
      <c r="D315" s="6" t="s">
        <v>50</v>
      </c>
      <c r="E315" s="6">
        <f t="shared" si="85"/>
        <v>0</v>
      </c>
      <c r="F315" s="6">
        <f t="shared" si="86"/>
        <v>0</v>
      </c>
      <c r="G315" s="6">
        <f t="shared" si="87"/>
        <v>0</v>
      </c>
      <c r="H315" s="6">
        <f t="shared" si="88"/>
        <v>0</v>
      </c>
      <c r="I315" s="6">
        <f t="shared" si="89"/>
        <v>0</v>
      </c>
      <c r="J315" s="6">
        <f t="shared" si="90"/>
        <v>0</v>
      </c>
      <c r="K315" s="6">
        <f t="shared" si="91"/>
        <v>0</v>
      </c>
      <c r="L315" s="6">
        <f t="shared" si="92"/>
        <v>0</v>
      </c>
      <c r="M315" s="6">
        <f t="shared" si="93"/>
        <v>0</v>
      </c>
      <c r="N315" s="6">
        <f t="shared" si="94"/>
        <v>0</v>
      </c>
      <c r="O315" s="6">
        <f t="shared" si="95"/>
        <v>0</v>
      </c>
      <c r="P315" s="6">
        <f t="shared" si="96"/>
        <v>0</v>
      </c>
      <c r="Q315" s="6">
        <f t="shared" si="97"/>
        <v>0</v>
      </c>
      <c r="R315" s="6">
        <f t="shared" si="98"/>
        <v>0</v>
      </c>
      <c r="S315" s="6">
        <f t="shared" si="99"/>
        <v>0</v>
      </c>
      <c r="T315" s="6">
        <f t="shared" si="100"/>
        <v>0</v>
      </c>
      <c r="U315" s="6">
        <f t="shared" si="101"/>
        <v>0</v>
      </c>
      <c r="V315" s="6">
        <f t="shared" si="102"/>
        <v>0</v>
      </c>
      <c r="W315" s="6">
        <f t="shared" si="103"/>
        <v>0</v>
      </c>
      <c r="X315" s="6">
        <f t="shared" si="104"/>
        <v>0</v>
      </c>
      <c r="Y315" s="6">
        <f t="shared" si="105"/>
        <v>0</v>
      </c>
      <c r="AA315" s="6" t="str">
        <f>IF(最佳化斷筋點!C315="","",最佳化斷筋點!C315)</f>
        <v>上層</v>
      </c>
      <c r="AB315" s="6">
        <f>IF(最佳化斷筋點!D315="","",最佳化斷筋點!D315)</f>
        <v>9</v>
      </c>
      <c r="AC315" s="6">
        <f>IF(最佳化斷筋點!E315="","",最佳化斷筋點!E315)</f>
        <v>9</v>
      </c>
      <c r="AD315" s="6">
        <f>IF(最佳化斷筋點!F315="","",最佳化斷筋點!F315)</f>
        <v>8</v>
      </c>
      <c r="AE315" s="6">
        <f>IF(最佳化斷筋點!G315="","",最佳化斷筋點!G315)</f>
        <v>7</v>
      </c>
      <c r="AF315" s="6">
        <f>IF(最佳化斷筋點!H315="","",最佳化斷筋點!H315)</f>
        <v>6</v>
      </c>
      <c r="AG315" s="6">
        <f>IF(最佳化斷筋點!I315="","",最佳化斷筋點!I315)</f>
        <v>5</v>
      </c>
      <c r="AH315" s="6">
        <f>IF(最佳化斷筋點!J315="","",最佳化斷筋點!J315)</f>
        <v>4</v>
      </c>
      <c r="AI315" s="6">
        <f>IF(最佳化斷筋點!K315="","",最佳化斷筋點!K315)</f>
        <v>3</v>
      </c>
      <c r="AJ315" s="6">
        <f>IF(最佳化斷筋點!L315="","",最佳化斷筋點!L315)</f>
        <v>2</v>
      </c>
      <c r="AK315" s="6">
        <f>IF(最佳化斷筋點!M315="","",最佳化斷筋點!M315)</f>
        <v>2</v>
      </c>
      <c r="AL315" s="6">
        <f>IF(最佳化斷筋點!N315="","",最佳化斷筋點!N315)</f>
        <v>2</v>
      </c>
      <c r="AM315" s="6">
        <f>IF(最佳化斷筋點!O315="","",最佳化斷筋點!O315)</f>
        <v>2</v>
      </c>
      <c r="AN315" s="6">
        <f>IF(最佳化斷筋點!P315="","",最佳化斷筋點!P315)</f>
        <v>2</v>
      </c>
      <c r="AO315" s="6">
        <f>IF(最佳化斷筋點!Q315="","",最佳化斷筋點!Q315)</f>
        <v>3</v>
      </c>
      <c r="AP315" s="6">
        <f>IF(最佳化斷筋點!R315="","",最佳化斷筋點!R315)</f>
        <v>4</v>
      </c>
      <c r="AQ315" s="6">
        <f>IF(最佳化斷筋點!S315="","",最佳化斷筋點!S315)</f>
        <v>5</v>
      </c>
      <c r="AR315" s="6">
        <f>IF(最佳化斷筋點!T315="","",最佳化斷筋點!T315)</f>
        <v>6</v>
      </c>
      <c r="AS315" s="6">
        <f>IF(最佳化斷筋點!U315="","",最佳化斷筋點!U315)</f>
        <v>7</v>
      </c>
      <c r="AT315" s="6">
        <f>IF(最佳化斷筋點!V315="","",最佳化斷筋點!V315)</f>
        <v>8</v>
      </c>
      <c r="AU315" s="6">
        <f>IF(最佳化斷筋點!W315="","",最佳化斷筋點!W315)</f>
        <v>9</v>
      </c>
      <c r="AV315" s="6">
        <f>IF(最佳化斷筋點!X315="","",最佳化斷筋點!X315)</f>
        <v>9</v>
      </c>
      <c r="AX315" s="6" t="s">
        <v>50</v>
      </c>
      <c r="AY315" s="6">
        <v>9</v>
      </c>
      <c r="AZ315" s="6">
        <v>9</v>
      </c>
      <c r="BA315" s="6">
        <v>8</v>
      </c>
      <c r="BB315" s="6">
        <v>7</v>
      </c>
      <c r="BC315" s="6">
        <v>6</v>
      </c>
      <c r="BD315" s="6">
        <v>5</v>
      </c>
      <c r="BE315" s="6">
        <v>4</v>
      </c>
      <c r="BF315" s="6">
        <v>3</v>
      </c>
      <c r="BG315" s="6">
        <v>2</v>
      </c>
      <c r="BH315" s="6">
        <v>2</v>
      </c>
      <c r="BI315" s="6">
        <v>2</v>
      </c>
      <c r="BJ315" s="6">
        <v>2</v>
      </c>
      <c r="BK315" s="6">
        <v>2</v>
      </c>
      <c r="BL315" s="6">
        <v>3</v>
      </c>
      <c r="BM315" s="6">
        <v>4</v>
      </c>
      <c r="BN315" s="6">
        <v>5</v>
      </c>
      <c r="BO315" s="6">
        <v>6</v>
      </c>
      <c r="BP315" s="6">
        <v>7</v>
      </c>
      <c r="BQ315" s="6">
        <v>8</v>
      </c>
      <c r="BR315" s="6">
        <v>9</v>
      </c>
      <c r="BS315" s="6">
        <v>9</v>
      </c>
    </row>
    <row r="316" spans="4:71" x14ac:dyDescent="0.25">
      <c r="E316" s="6">
        <f t="shared" si="85"/>
        <v>0</v>
      </c>
      <c r="F316" s="6">
        <f t="shared" si="86"/>
        <v>0</v>
      </c>
      <c r="G316" s="6">
        <f t="shared" si="87"/>
        <v>0</v>
      </c>
      <c r="H316" s="6">
        <f t="shared" si="88"/>
        <v>0</v>
      </c>
      <c r="I316" s="6">
        <f t="shared" si="89"/>
        <v>0</v>
      </c>
      <c r="J316" s="6">
        <f t="shared" si="90"/>
        <v>0</v>
      </c>
      <c r="K316" s="6">
        <f t="shared" si="91"/>
        <v>0</v>
      </c>
      <c r="L316" s="6">
        <f t="shared" si="92"/>
        <v>0</v>
      </c>
      <c r="M316" s="6">
        <f t="shared" si="93"/>
        <v>0</v>
      </c>
      <c r="N316" s="6">
        <f t="shared" si="94"/>
        <v>0</v>
      </c>
      <c r="O316" s="6">
        <f t="shared" si="95"/>
        <v>0</v>
      </c>
      <c r="P316" s="6">
        <f t="shared" si="96"/>
        <v>0</v>
      </c>
      <c r="Q316" s="6">
        <f t="shared" si="97"/>
        <v>0</v>
      </c>
      <c r="R316" s="6">
        <f t="shared" si="98"/>
        <v>0</v>
      </c>
      <c r="S316" s="6">
        <f t="shared" si="99"/>
        <v>0</v>
      </c>
      <c r="T316" s="6">
        <f t="shared" si="100"/>
        <v>0</v>
      </c>
      <c r="U316" s="6">
        <f t="shared" si="101"/>
        <v>0</v>
      </c>
      <c r="V316" s="6">
        <f t="shared" si="102"/>
        <v>0</v>
      </c>
      <c r="W316" s="6">
        <f t="shared" si="103"/>
        <v>0</v>
      </c>
      <c r="X316" s="6">
        <f t="shared" si="104"/>
        <v>0</v>
      </c>
      <c r="Y316" s="6">
        <f t="shared" si="105"/>
        <v>0</v>
      </c>
      <c r="AA316" s="6" t="str">
        <f>IF(最佳化斷筋點!C316="","",最佳化斷筋點!C316)</f>
        <v/>
      </c>
      <c r="AB316" s="6" t="str">
        <f>IF(最佳化斷筋點!D316="","",最佳化斷筋點!D316)</f>
        <v/>
      </c>
      <c r="AC316" s="6" t="str">
        <f>IF(最佳化斷筋點!E316="","",最佳化斷筋點!E316)</f>
        <v/>
      </c>
      <c r="AD316" s="6" t="str">
        <f>IF(最佳化斷筋點!F316="","",最佳化斷筋點!F316)</f>
        <v/>
      </c>
      <c r="AE316" s="6" t="str">
        <f>IF(最佳化斷筋點!G316="","",最佳化斷筋點!G316)</f>
        <v/>
      </c>
      <c r="AF316" s="6" t="str">
        <f>IF(最佳化斷筋點!H316="","",最佳化斷筋點!H316)</f>
        <v/>
      </c>
      <c r="AG316" s="6" t="str">
        <f>IF(最佳化斷筋點!I316="","",最佳化斷筋點!I316)</f>
        <v/>
      </c>
      <c r="AH316" s="6" t="str">
        <f>IF(最佳化斷筋點!J316="","",最佳化斷筋點!J316)</f>
        <v/>
      </c>
      <c r="AI316" s="6" t="str">
        <f>IF(最佳化斷筋點!K316="","",最佳化斷筋點!K316)</f>
        <v/>
      </c>
      <c r="AJ316" s="6" t="str">
        <f>IF(最佳化斷筋點!L316="","",最佳化斷筋點!L316)</f>
        <v/>
      </c>
      <c r="AK316" s="6" t="str">
        <f>IF(最佳化斷筋點!M316="","",最佳化斷筋點!M316)</f>
        <v/>
      </c>
      <c r="AL316" s="6" t="str">
        <f>IF(最佳化斷筋點!N316="","",最佳化斷筋點!N316)</f>
        <v/>
      </c>
      <c r="AM316" s="6" t="str">
        <f>IF(最佳化斷筋點!O316="","",最佳化斷筋點!O316)</f>
        <v/>
      </c>
      <c r="AN316" s="6" t="str">
        <f>IF(最佳化斷筋點!P316="","",最佳化斷筋點!P316)</f>
        <v/>
      </c>
      <c r="AO316" s="6" t="str">
        <f>IF(最佳化斷筋點!Q316="","",最佳化斷筋點!Q316)</f>
        <v/>
      </c>
      <c r="AP316" s="6" t="str">
        <f>IF(最佳化斷筋點!R316="","",最佳化斷筋點!R316)</f>
        <v/>
      </c>
      <c r="AQ316" s="6" t="str">
        <f>IF(最佳化斷筋點!S316="","",最佳化斷筋點!S316)</f>
        <v/>
      </c>
      <c r="AR316" s="6" t="str">
        <f>IF(最佳化斷筋點!T316="","",最佳化斷筋點!T316)</f>
        <v/>
      </c>
      <c r="AS316" s="6" t="str">
        <f>IF(最佳化斷筋點!U316="","",最佳化斷筋點!U316)</f>
        <v/>
      </c>
      <c r="AT316" s="6" t="str">
        <f>IF(最佳化斷筋點!V316="","",最佳化斷筋點!V316)</f>
        <v/>
      </c>
      <c r="AU316" s="6" t="str">
        <f>IF(最佳化斷筋點!W316="","",最佳化斷筋點!W316)</f>
        <v/>
      </c>
      <c r="AV316" s="6" t="str">
        <f>IF(最佳化斷筋點!X316="","",最佳化斷筋點!X316)</f>
        <v/>
      </c>
    </row>
    <row r="317" spans="4:71" x14ac:dyDescent="0.25">
      <c r="D317" s="6" t="s">
        <v>51</v>
      </c>
      <c r="E317" s="6">
        <f t="shared" si="85"/>
        <v>0</v>
      </c>
      <c r="F317" s="6">
        <f t="shared" si="86"/>
        <v>0</v>
      </c>
      <c r="G317" s="6">
        <f t="shared" si="87"/>
        <v>0</v>
      </c>
      <c r="H317" s="6">
        <f t="shared" si="88"/>
        <v>0</v>
      </c>
      <c r="I317" s="6">
        <f t="shared" si="89"/>
        <v>0</v>
      </c>
      <c r="J317" s="6">
        <f t="shared" si="90"/>
        <v>0</v>
      </c>
      <c r="K317" s="6">
        <f t="shared" si="91"/>
        <v>0</v>
      </c>
      <c r="L317" s="6">
        <f t="shared" si="92"/>
        <v>0</v>
      </c>
      <c r="M317" s="6">
        <f t="shared" si="93"/>
        <v>0</v>
      </c>
      <c r="N317" s="6">
        <f t="shared" si="94"/>
        <v>0</v>
      </c>
      <c r="O317" s="6">
        <f t="shared" si="95"/>
        <v>0</v>
      </c>
      <c r="P317" s="6">
        <f t="shared" si="96"/>
        <v>0</v>
      </c>
      <c r="Q317" s="6">
        <f t="shared" si="97"/>
        <v>0</v>
      </c>
      <c r="R317" s="6">
        <f t="shared" si="98"/>
        <v>0</v>
      </c>
      <c r="S317" s="6">
        <f t="shared" si="99"/>
        <v>0</v>
      </c>
      <c r="T317" s="6">
        <f t="shared" si="100"/>
        <v>0</v>
      </c>
      <c r="U317" s="6">
        <f t="shared" si="101"/>
        <v>0</v>
      </c>
      <c r="V317" s="6">
        <f t="shared" si="102"/>
        <v>0</v>
      </c>
      <c r="W317" s="6">
        <f t="shared" si="103"/>
        <v>0</v>
      </c>
      <c r="X317" s="6">
        <f t="shared" si="104"/>
        <v>0</v>
      </c>
      <c r="Y317" s="6">
        <f t="shared" si="105"/>
        <v>0</v>
      </c>
      <c r="AA317" s="6" t="str">
        <f>IF(最佳化斷筋點!C317="","",最佳化斷筋點!C317)</f>
        <v>下層</v>
      </c>
      <c r="AB317" s="6">
        <f>IF(最佳化斷筋點!D317="","",最佳化斷筋點!D317)</f>
        <v>5</v>
      </c>
      <c r="AC317" s="6">
        <f>IF(最佳化斷筋點!E317="","",最佳化斷筋點!E317)</f>
        <v>5</v>
      </c>
      <c r="AD317" s="6">
        <f>IF(最佳化斷筋點!F317="","",最佳化斷筋點!F317)</f>
        <v>4</v>
      </c>
      <c r="AE317" s="6">
        <f>IF(最佳化斷筋點!G317="","",最佳化斷筋點!G317)</f>
        <v>5</v>
      </c>
      <c r="AF317" s="6">
        <f>IF(最佳化斷筋點!H317="","",最佳化斷筋點!H317)</f>
        <v>6</v>
      </c>
      <c r="AG317" s="6">
        <f>IF(最佳化斷筋點!I317="","",最佳化斷筋點!I317)</f>
        <v>6</v>
      </c>
      <c r="AH317" s="6">
        <f>IF(最佳化斷筋點!J317="","",最佳化斷筋點!J317)</f>
        <v>7</v>
      </c>
      <c r="AI317" s="6">
        <f>IF(最佳化斷筋點!K317="","",最佳化斷筋點!K317)</f>
        <v>8</v>
      </c>
      <c r="AJ317" s="6">
        <f>IF(最佳化斷筋點!L317="","",最佳化斷筋點!L317)</f>
        <v>8</v>
      </c>
      <c r="AK317" s="6">
        <f>IF(最佳化斷筋點!M317="","",最佳化斷筋點!M317)</f>
        <v>8</v>
      </c>
      <c r="AL317" s="6">
        <f>IF(最佳化斷筋點!N317="","",最佳化斷筋點!N317)</f>
        <v>8</v>
      </c>
      <c r="AM317" s="6">
        <f>IF(最佳化斷筋點!O317="","",最佳化斷筋點!O317)</f>
        <v>8</v>
      </c>
      <c r="AN317" s="6">
        <f>IF(最佳化斷筋點!P317="","",最佳化斷筋點!P317)</f>
        <v>8</v>
      </c>
      <c r="AO317" s="6">
        <f>IF(最佳化斷筋點!Q317="","",最佳化斷筋點!Q317)</f>
        <v>8</v>
      </c>
      <c r="AP317" s="6">
        <f>IF(最佳化斷筋點!R317="","",最佳化斷筋點!R317)</f>
        <v>7</v>
      </c>
      <c r="AQ317" s="6">
        <f>IF(最佳化斷筋點!S317="","",最佳化斷筋點!S317)</f>
        <v>6</v>
      </c>
      <c r="AR317" s="6">
        <f>IF(最佳化斷筋點!T317="","",最佳化斷筋點!T317)</f>
        <v>6</v>
      </c>
      <c r="AS317" s="6">
        <f>IF(最佳化斷筋點!U317="","",最佳化斷筋點!U317)</f>
        <v>5</v>
      </c>
      <c r="AT317" s="6">
        <f>IF(最佳化斷筋點!V317="","",最佳化斷筋點!V317)</f>
        <v>4</v>
      </c>
      <c r="AU317" s="6">
        <f>IF(最佳化斷筋點!W317="","",最佳化斷筋點!W317)</f>
        <v>5</v>
      </c>
      <c r="AV317" s="6">
        <f>IF(最佳化斷筋點!X317="","",最佳化斷筋點!X317)</f>
        <v>5</v>
      </c>
      <c r="AX317" s="6" t="s">
        <v>51</v>
      </c>
      <c r="AY317" s="6">
        <v>5</v>
      </c>
      <c r="AZ317" s="6">
        <v>5</v>
      </c>
      <c r="BA317" s="6">
        <v>4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7</v>
      </c>
      <c r="BN317" s="6">
        <v>6</v>
      </c>
      <c r="BO317" s="6">
        <v>6</v>
      </c>
      <c r="BP317" s="6">
        <v>5</v>
      </c>
      <c r="BQ317" s="6">
        <v>4</v>
      </c>
      <c r="BR317" s="6">
        <v>5</v>
      </c>
      <c r="BS317" s="6">
        <v>5</v>
      </c>
    </row>
    <row r="318" spans="4:71" x14ac:dyDescent="0.25">
      <c r="E318" s="6">
        <f t="shared" si="85"/>
        <v>0</v>
      </c>
      <c r="F318" s="6">
        <f t="shared" si="86"/>
        <v>0</v>
      </c>
      <c r="G318" s="6">
        <f t="shared" si="87"/>
        <v>0</v>
      </c>
      <c r="H318" s="6">
        <f t="shared" si="88"/>
        <v>0</v>
      </c>
      <c r="I318" s="6">
        <f t="shared" si="89"/>
        <v>0</v>
      </c>
      <c r="J318" s="6">
        <f t="shared" si="90"/>
        <v>0</v>
      </c>
      <c r="K318" s="6">
        <f t="shared" si="91"/>
        <v>0</v>
      </c>
      <c r="L318" s="6">
        <f t="shared" si="92"/>
        <v>0</v>
      </c>
      <c r="M318" s="6">
        <f t="shared" si="93"/>
        <v>0</v>
      </c>
      <c r="N318" s="6">
        <f t="shared" si="94"/>
        <v>0</v>
      </c>
      <c r="O318" s="6">
        <f t="shared" si="95"/>
        <v>0</v>
      </c>
      <c r="P318" s="6">
        <f t="shared" si="96"/>
        <v>0</v>
      </c>
      <c r="Q318" s="6">
        <f t="shared" si="97"/>
        <v>0</v>
      </c>
      <c r="R318" s="6">
        <f t="shared" si="98"/>
        <v>0</v>
      </c>
      <c r="S318" s="6">
        <f t="shared" si="99"/>
        <v>0</v>
      </c>
      <c r="T318" s="6">
        <f t="shared" si="100"/>
        <v>0</v>
      </c>
      <c r="U318" s="6">
        <f t="shared" si="101"/>
        <v>0</v>
      </c>
      <c r="V318" s="6">
        <f t="shared" si="102"/>
        <v>0</v>
      </c>
      <c r="W318" s="6">
        <f t="shared" si="103"/>
        <v>0</v>
      </c>
      <c r="X318" s="6">
        <f t="shared" si="104"/>
        <v>0</v>
      </c>
      <c r="Y318" s="6">
        <f t="shared" si="105"/>
        <v>0</v>
      </c>
      <c r="AA318" s="6" t="str">
        <f>IF(最佳化斷筋點!C318="","",最佳化斷筋點!C318)</f>
        <v/>
      </c>
      <c r="AB318" s="6" t="str">
        <f>IF(最佳化斷筋點!D318="","",最佳化斷筋點!D318)</f>
        <v/>
      </c>
      <c r="AC318" s="6" t="str">
        <f>IF(最佳化斷筋點!E318="","",最佳化斷筋點!E318)</f>
        <v/>
      </c>
      <c r="AD318" s="6" t="str">
        <f>IF(最佳化斷筋點!F318="","",最佳化斷筋點!F318)</f>
        <v/>
      </c>
      <c r="AE318" s="6" t="str">
        <f>IF(最佳化斷筋點!G318="","",最佳化斷筋點!G318)</f>
        <v/>
      </c>
      <c r="AF318" s="6" t="str">
        <f>IF(最佳化斷筋點!H318="","",最佳化斷筋點!H318)</f>
        <v/>
      </c>
      <c r="AG318" s="6" t="str">
        <f>IF(最佳化斷筋點!I318="","",最佳化斷筋點!I318)</f>
        <v/>
      </c>
      <c r="AH318" s="6" t="str">
        <f>IF(最佳化斷筋點!J318="","",最佳化斷筋點!J318)</f>
        <v/>
      </c>
      <c r="AI318" s="6" t="str">
        <f>IF(最佳化斷筋點!K318="","",最佳化斷筋點!K318)</f>
        <v/>
      </c>
      <c r="AJ318" s="6" t="str">
        <f>IF(最佳化斷筋點!L318="","",最佳化斷筋點!L318)</f>
        <v/>
      </c>
      <c r="AK318" s="6" t="str">
        <f>IF(最佳化斷筋點!M318="","",最佳化斷筋點!M318)</f>
        <v/>
      </c>
      <c r="AL318" s="6" t="str">
        <f>IF(最佳化斷筋點!N318="","",最佳化斷筋點!N318)</f>
        <v/>
      </c>
      <c r="AM318" s="6" t="str">
        <f>IF(最佳化斷筋點!O318="","",最佳化斷筋點!O318)</f>
        <v/>
      </c>
      <c r="AN318" s="6" t="str">
        <f>IF(最佳化斷筋點!P318="","",最佳化斷筋點!P318)</f>
        <v/>
      </c>
      <c r="AO318" s="6" t="str">
        <f>IF(最佳化斷筋點!Q318="","",最佳化斷筋點!Q318)</f>
        <v/>
      </c>
      <c r="AP318" s="6" t="str">
        <f>IF(最佳化斷筋點!R318="","",最佳化斷筋點!R318)</f>
        <v/>
      </c>
      <c r="AQ318" s="6" t="str">
        <f>IF(最佳化斷筋點!S318="","",最佳化斷筋點!S318)</f>
        <v/>
      </c>
      <c r="AR318" s="6" t="str">
        <f>IF(最佳化斷筋點!T318="","",最佳化斷筋點!T318)</f>
        <v/>
      </c>
      <c r="AS318" s="6" t="str">
        <f>IF(最佳化斷筋點!U318="","",最佳化斷筋點!U318)</f>
        <v/>
      </c>
      <c r="AT318" s="6" t="str">
        <f>IF(最佳化斷筋點!V318="","",最佳化斷筋點!V318)</f>
        <v/>
      </c>
      <c r="AU318" s="6" t="str">
        <f>IF(最佳化斷筋點!W318="","",最佳化斷筋點!W318)</f>
        <v/>
      </c>
      <c r="AV318" s="6" t="str">
        <f>IF(最佳化斷筋點!X318="","",最佳化斷筋點!X318)</f>
        <v/>
      </c>
    </row>
    <row r="319" spans="4:71" x14ac:dyDescent="0.25">
      <c r="D319" s="6" t="s">
        <v>50</v>
      </c>
      <c r="E319" s="6">
        <f t="shared" si="85"/>
        <v>0</v>
      </c>
      <c r="F319" s="6">
        <f t="shared" si="86"/>
        <v>0</v>
      </c>
      <c r="G319" s="6">
        <f t="shared" si="87"/>
        <v>0</v>
      </c>
      <c r="H319" s="6">
        <f t="shared" si="88"/>
        <v>0</v>
      </c>
      <c r="I319" s="6">
        <f t="shared" si="89"/>
        <v>0</v>
      </c>
      <c r="J319" s="6">
        <f t="shared" si="90"/>
        <v>0</v>
      </c>
      <c r="K319" s="6">
        <f t="shared" si="91"/>
        <v>0</v>
      </c>
      <c r="L319" s="6">
        <f t="shared" si="92"/>
        <v>0</v>
      </c>
      <c r="M319" s="6">
        <f t="shared" si="93"/>
        <v>0</v>
      </c>
      <c r="N319" s="6">
        <f t="shared" si="94"/>
        <v>0</v>
      </c>
      <c r="O319" s="6">
        <f t="shared" si="95"/>
        <v>0</v>
      </c>
      <c r="P319" s="6">
        <f t="shared" si="96"/>
        <v>0</v>
      </c>
      <c r="Q319" s="6">
        <f t="shared" si="97"/>
        <v>0</v>
      </c>
      <c r="R319" s="6">
        <f t="shared" si="98"/>
        <v>0</v>
      </c>
      <c r="S319" s="6">
        <f t="shared" si="99"/>
        <v>0</v>
      </c>
      <c r="T319" s="6">
        <f t="shared" si="100"/>
        <v>0</v>
      </c>
      <c r="U319" s="6">
        <f t="shared" si="101"/>
        <v>0</v>
      </c>
      <c r="V319" s="6">
        <f t="shared" si="102"/>
        <v>0</v>
      </c>
      <c r="W319" s="6">
        <f t="shared" si="103"/>
        <v>0</v>
      </c>
      <c r="X319" s="6">
        <f t="shared" si="104"/>
        <v>0</v>
      </c>
      <c r="Y319" s="6">
        <f t="shared" si="105"/>
        <v>0</v>
      </c>
      <c r="AA319" s="6" t="str">
        <f>IF(最佳化斷筋點!C319="","",最佳化斷筋點!C319)</f>
        <v>上層</v>
      </c>
      <c r="AB319" s="6">
        <f>IF(最佳化斷筋點!D319="","",最佳化斷筋點!D319)</f>
        <v>9</v>
      </c>
      <c r="AC319" s="6">
        <f>IF(最佳化斷筋點!E319="","",最佳化斷筋點!E319)</f>
        <v>9</v>
      </c>
      <c r="AD319" s="6">
        <f>IF(最佳化斷筋點!F319="","",最佳化斷筋點!F319)</f>
        <v>8</v>
      </c>
      <c r="AE319" s="6">
        <f>IF(最佳化斷筋點!G319="","",最佳化斷筋點!G319)</f>
        <v>7</v>
      </c>
      <c r="AF319" s="6">
        <f>IF(最佳化斷筋點!H319="","",最佳化斷筋點!H319)</f>
        <v>6</v>
      </c>
      <c r="AG319" s="6">
        <f>IF(最佳化斷筋點!I319="","",最佳化斷筋點!I319)</f>
        <v>5</v>
      </c>
      <c r="AH319" s="6">
        <f>IF(最佳化斷筋點!J319="","",最佳化斷筋點!J319)</f>
        <v>4</v>
      </c>
      <c r="AI319" s="6">
        <f>IF(最佳化斷筋點!K319="","",最佳化斷筋點!K319)</f>
        <v>3</v>
      </c>
      <c r="AJ319" s="6">
        <f>IF(最佳化斷筋點!L319="","",最佳化斷筋點!L319)</f>
        <v>2</v>
      </c>
      <c r="AK319" s="6">
        <f>IF(最佳化斷筋點!M319="","",最佳化斷筋點!M319)</f>
        <v>2</v>
      </c>
      <c r="AL319" s="6">
        <f>IF(最佳化斷筋點!N319="","",最佳化斷筋點!N319)</f>
        <v>2</v>
      </c>
      <c r="AM319" s="6">
        <f>IF(最佳化斷筋點!O319="","",最佳化斷筋點!O319)</f>
        <v>2</v>
      </c>
      <c r="AN319" s="6">
        <f>IF(最佳化斷筋點!P319="","",最佳化斷筋點!P319)</f>
        <v>2</v>
      </c>
      <c r="AO319" s="6">
        <f>IF(最佳化斷筋點!Q319="","",最佳化斷筋點!Q319)</f>
        <v>4</v>
      </c>
      <c r="AP319" s="6">
        <f>IF(最佳化斷筋點!R319="","",最佳化斷筋點!R319)</f>
        <v>4</v>
      </c>
      <c r="AQ319" s="6">
        <f>IF(最佳化斷筋點!S319="","",最佳化斷筋點!S319)</f>
        <v>5</v>
      </c>
      <c r="AR319" s="6">
        <f>IF(最佳化斷筋點!T319="","",最佳化斷筋點!T319)</f>
        <v>6</v>
      </c>
      <c r="AS319" s="6">
        <f>IF(最佳化斷筋點!U319="","",最佳化斷筋點!U319)</f>
        <v>7</v>
      </c>
      <c r="AT319" s="6">
        <f>IF(最佳化斷筋點!V319="","",最佳化斷筋點!V319)</f>
        <v>8</v>
      </c>
      <c r="AU319" s="6">
        <f>IF(最佳化斷筋點!W319="","",最佳化斷筋點!W319)</f>
        <v>9</v>
      </c>
      <c r="AV319" s="6">
        <f>IF(最佳化斷筋點!X319="","",最佳化斷筋點!X319)</f>
        <v>10</v>
      </c>
      <c r="AX319" s="6" t="s">
        <v>50</v>
      </c>
      <c r="AY319" s="6">
        <v>9</v>
      </c>
      <c r="AZ319" s="6">
        <v>9</v>
      </c>
      <c r="BA319" s="6">
        <v>8</v>
      </c>
      <c r="BB319" s="6">
        <v>7</v>
      </c>
      <c r="BC319" s="6">
        <v>6</v>
      </c>
      <c r="BD319" s="6">
        <v>5</v>
      </c>
      <c r="BE319" s="6">
        <v>4</v>
      </c>
      <c r="BF319" s="6">
        <v>3</v>
      </c>
      <c r="BG319" s="6">
        <v>2</v>
      </c>
      <c r="BH319" s="6">
        <v>2</v>
      </c>
      <c r="BI319" s="6">
        <v>2</v>
      </c>
      <c r="BJ319" s="6">
        <v>2</v>
      </c>
      <c r="BK319" s="6">
        <v>2</v>
      </c>
      <c r="BL319" s="6">
        <v>4</v>
      </c>
      <c r="BM319" s="6">
        <v>4</v>
      </c>
      <c r="BN319" s="6">
        <v>5</v>
      </c>
      <c r="BO319" s="6">
        <v>6</v>
      </c>
      <c r="BP319" s="6">
        <v>7</v>
      </c>
      <c r="BQ319" s="6">
        <v>8</v>
      </c>
      <c r="BR319" s="6">
        <v>9</v>
      </c>
      <c r="BS319" s="6">
        <v>10</v>
      </c>
    </row>
    <row r="320" spans="4:71" x14ac:dyDescent="0.25">
      <c r="E320" s="6">
        <f t="shared" si="85"/>
        <v>0</v>
      </c>
      <c r="F320" s="6">
        <f t="shared" si="86"/>
        <v>0</v>
      </c>
      <c r="G320" s="6">
        <f t="shared" si="87"/>
        <v>0</v>
      </c>
      <c r="H320" s="6">
        <f t="shared" si="88"/>
        <v>0</v>
      </c>
      <c r="I320" s="6">
        <f t="shared" si="89"/>
        <v>0</v>
      </c>
      <c r="J320" s="6">
        <f t="shared" si="90"/>
        <v>0</v>
      </c>
      <c r="K320" s="6">
        <f t="shared" si="91"/>
        <v>0</v>
      </c>
      <c r="L320" s="6">
        <f t="shared" si="92"/>
        <v>0</v>
      </c>
      <c r="M320" s="6">
        <f t="shared" si="93"/>
        <v>0</v>
      </c>
      <c r="N320" s="6">
        <f t="shared" si="94"/>
        <v>0</v>
      </c>
      <c r="O320" s="6">
        <f t="shared" si="95"/>
        <v>0</v>
      </c>
      <c r="P320" s="6">
        <f t="shared" si="96"/>
        <v>0</v>
      </c>
      <c r="Q320" s="6">
        <f t="shared" si="97"/>
        <v>0</v>
      </c>
      <c r="R320" s="6">
        <f t="shared" si="98"/>
        <v>0</v>
      </c>
      <c r="S320" s="6">
        <f t="shared" si="99"/>
        <v>0</v>
      </c>
      <c r="T320" s="6">
        <f t="shared" si="100"/>
        <v>0</v>
      </c>
      <c r="U320" s="6">
        <f t="shared" si="101"/>
        <v>0</v>
      </c>
      <c r="V320" s="6">
        <f t="shared" si="102"/>
        <v>0</v>
      </c>
      <c r="W320" s="6">
        <f t="shared" si="103"/>
        <v>0</v>
      </c>
      <c r="X320" s="6">
        <f t="shared" si="104"/>
        <v>0</v>
      </c>
      <c r="Y320" s="6">
        <f t="shared" si="105"/>
        <v>0</v>
      </c>
      <c r="AA320" s="6" t="str">
        <f>IF(最佳化斷筋點!C320="","",最佳化斷筋點!C320)</f>
        <v/>
      </c>
      <c r="AB320" s="6" t="str">
        <f>IF(最佳化斷筋點!D320="","",最佳化斷筋點!D320)</f>
        <v/>
      </c>
      <c r="AC320" s="6" t="str">
        <f>IF(最佳化斷筋點!E320="","",最佳化斷筋點!E320)</f>
        <v/>
      </c>
      <c r="AD320" s="6" t="str">
        <f>IF(最佳化斷筋點!F320="","",最佳化斷筋點!F320)</f>
        <v/>
      </c>
      <c r="AE320" s="6" t="str">
        <f>IF(最佳化斷筋點!G320="","",最佳化斷筋點!G320)</f>
        <v/>
      </c>
      <c r="AF320" s="6" t="str">
        <f>IF(最佳化斷筋點!H320="","",最佳化斷筋點!H320)</f>
        <v/>
      </c>
      <c r="AG320" s="6" t="str">
        <f>IF(最佳化斷筋點!I320="","",最佳化斷筋點!I320)</f>
        <v/>
      </c>
      <c r="AH320" s="6" t="str">
        <f>IF(最佳化斷筋點!J320="","",最佳化斷筋點!J320)</f>
        <v/>
      </c>
      <c r="AI320" s="6" t="str">
        <f>IF(最佳化斷筋點!K320="","",最佳化斷筋點!K320)</f>
        <v/>
      </c>
      <c r="AJ320" s="6" t="str">
        <f>IF(最佳化斷筋點!L320="","",最佳化斷筋點!L320)</f>
        <v/>
      </c>
      <c r="AK320" s="6" t="str">
        <f>IF(最佳化斷筋點!M320="","",最佳化斷筋點!M320)</f>
        <v/>
      </c>
      <c r="AL320" s="6" t="str">
        <f>IF(最佳化斷筋點!N320="","",最佳化斷筋點!N320)</f>
        <v/>
      </c>
      <c r="AM320" s="6" t="str">
        <f>IF(最佳化斷筋點!O320="","",最佳化斷筋點!O320)</f>
        <v/>
      </c>
      <c r="AN320" s="6" t="str">
        <f>IF(最佳化斷筋點!P320="","",最佳化斷筋點!P320)</f>
        <v/>
      </c>
      <c r="AO320" s="6" t="str">
        <f>IF(最佳化斷筋點!Q320="","",最佳化斷筋點!Q320)</f>
        <v/>
      </c>
      <c r="AP320" s="6" t="str">
        <f>IF(最佳化斷筋點!R320="","",最佳化斷筋點!R320)</f>
        <v/>
      </c>
      <c r="AQ320" s="6" t="str">
        <f>IF(最佳化斷筋點!S320="","",最佳化斷筋點!S320)</f>
        <v/>
      </c>
      <c r="AR320" s="6" t="str">
        <f>IF(最佳化斷筋點!T320="","",最佳化斷筋點!T320)</f>
        <v/>
      </c>
      <c r="AS320" s="6" t="str">
        <f>IF(最佳化斷筋點!U320="","",最佳化斷筋點!U320)</f>
        <v/>
      </c>
      <c r="AT320" s="6" t="str">
        <f>IF(最佳化斷筋點!V320="","",最佳化斷筋點!V320)</f>
        <v/>
      </c>
      <c r="AU320" s="6" t="str">
        <f>IF(最佳化斷筋點!W320="","",最佳化斷筋點!W320)</f>
        <v/>
      </c>
      <c r="AV320" s="6" t="str">
        <f>IF(最佳化斷筋點!X320="","",最佳化斷筋點!X320)</f>
        <v/>
      </c>
    </row>
    <row r="321" spans="4:71" x14ac:dyDescent="0.25">
      <c r="D321" s="6" t="s">
        <v>51</v>
      </c>
      <c r="E321" s="6">
        <f t="shared" si="85"/>
        <v>0</v>
      </c>
      <c r="F321" s="6">
        <f t="shared" si="86"/>
        <v>0</v>
      </c>
      <c r="G321" s="6">
        <f t="shared" si="87"/>
        <v>0</v>
      </c>
      <c r="H321" s="6">
        <f t="shared" si="88"/>
        <v>0</v>
      </c>
      <c r="I321" s="6">
        <f t="shared" si="89"/>
        <v>0</v>
      </c>
      <c r="J321" s="6">
        <f t="shared" si="90"/>
        <v>0</v>
      </c>
      <c r="K321" s="6">
        <f t="shared" si="91"/>
        <v>0</v>
      </c>
      <c r="L321" s="6">
        <f t="shared" si="92"/>
        <v>0</v>
      </c>
      <c r="M321" s="6">
        <f t="shared" si="93"/>
        <v>0</v>
      </c>
      <c r="N321" s="6">
        <f t="shared" si="94"/>
        <v>0</v>
      </c>
      <c r="O321" s="6">
        <f t="shared" si="95"/>
        <v>0</v>
      </c>
      <c r="P321" s="6">
        <f t="shared" si="96"/>
        <v>0</v>
      </c>
      <c r="Q321" s="6">
        <f t="shared" si="97"/>
        <v>0</v>
      </c>
      <c r="R321" s="6">
        <f t="shared" si="98"/>
        <v>0</v>
      </c>
      <c r="S321" s="6">
        <f t="shared" si="99"/>
        <v>0</v>
      </c>
      <c r="T321" s="6">
        <f t="shared" si="100"/>
        <v>0</v>
      </c>
      <c r="U321" s="6">
        <f t="shared" si="101"/>
        <v>0</v>
      </c>
      <c r="V321" s="6">
        <f t="shared" si="102"/>
        <v>0</v>
      </c>
      <c r="W321" s="6">
        <f t="shared" si="103"/>
        <v>0</v>
      </c>
      <c r="X321" s="6">
        <f t="shared" si="104"/>
        <v>0</v>
      </c>
      <c r="Y321" s="6">
        <f t="shared" si="105"/>
        <v>0</v>
      </c>
      <c r="AA321" s="6" t="str">
        <f>IF(最佳化斷筋點!C321="","",最佳化斷筋點!C321)</f>
        <v>下層</v>
      </c>
      <c r="AB321" s="6">
        <f>IF(最佳化斷筋點!D321="","",最佳化斷筋點!D321)</f>
        <v>5</v>
      </c>
      <c r="AC321" s="6">
        <f>IF(最佳化斷筋點!E321="","",最佳化斷筋點!E321)</f>
        <v>5</v>
      </c>
      <c r="AD321" s="6">
        <f>IF(最佳化斷筋點!F321="","",最佳化斷筋點!F321)</f>
        <v>4</v>
      </c>
      <c r="AE321" s="6">
        <f>IF(最佳化斷筋點!G321="","",最佳化斷筋點!G321)</f>
        <v>5</v>
      </c>
      <c r="AF321" s="6">
        <f>IF(最佳化斷筋點!H321="","",最佳化斷筋點!H321)</f>
        <v>6</v>
      </c>
      <c r="AG321" s="6">
        <f>IF(最佳化斷筋點!I321="","",最佳化斷筋點!I321)</f>
        <v>6</v>
      </c>
      <c r="AH321" s="6">
        <f>IF(最佳化斷筋點!J321="","",最佳化斷筋點!J321)</f>
        <v>7</v>
      </c>
      <c r="AI321" s="6">
        <f>IF(最佳化斷筋點!K321="","",最佳化斷筋點!K321)</f>
        <v>8</v>
      </c>
      <c r="AJ321" s="6">
        <f>IF(最佳化斷筋點!L321="","",最佳化斷筋點!L321)</f>
        <v>8</v>
      </c>
      <c r="AK321" s="6">
        <f>IF(最佳化斷筋點!M321="","",最佳化斷筋點!M321)</f>
        <v>8</v>
      </c>
      <c r="AL321" s="6">
        <f>IF(最佳化斷筋點!N321="","",最佳化斷筋點!N321)</f>
        <v>8</v>
      </c>
      <c r="AM321" s="6">
        <f>IF(最佳化斷筋點!O321="","",最佳化斷筋點!O321)</f>
        <v>8</v>
      </c>
      <c r="AN321" s="6">
        <f>IF(最佳化斷筋點!P321="","",最佳化斷筋點!P321)</f>
        <v>8</v>
      </c>
      <c r="AO321" s="6">
        <f>IF(最佳化斷筋點!Q321="","",最佳化斷筋點!Q321)</f>
        <v>8</v>
      </c>
      <c r="AP321" s="6">
        <f>IF(最佳化斷筋點!R321="","",最佳化斷筋點!R321)</f>
        <v>7</v>
      </c>
      <c r="AQ321" s="6">
        <f>IF(最佳化斷筋點!S321="","",最佳化斷筋點!S321)</f>
        <v>6</v>
      </c>
      <c r="AR321" s="6">
        <f>IF(最佳化斷筋點!T321="","",最佳化斷筋點!T321)</f>
        <v>6</v>
      </c>
      <c r="AS321" s="6">
        <f>IF(最佳化斷筋點!U321="","",最佳化斷筋點!U321)</f>
        <v>5</v>
      </c>
      <c r="AT321" s="6">
        <f>IF(最佳化斷筋點!V321="","",最佳化斷筋點!V321)</f>
        <v>4</v>
      </c>
      <c r="AU321" s="6">
        <f>IF(最佳化斷筋點!W321="","",最佳化斷筋點!W321)</f>
        <v>5</v>
      </c>
      <c r="AV321" s="6">
        <f>IF(最佳化斷筋點!X321="","",最佳化斷筋點!X321)</f>
        <v>5</v>
      </c>
      <c r="AX321" s="6" t="s">
        <v>51</v>
      </c>
      <c r="AY321" s="6">
        <v>5</v>
      </c>
      <c r="AZ321" s="6">
        <v>5</v>
      </c>
      <c r="BA321" s="6">
        <v>4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7</v>
      </c>
      <c r="BN321" s="6">
        <v>6</v>
      </c>
      <c r="BO321" s="6">
        <v>6</v>
      </c>
      <c r="BP321" s="6">
        <v>5</v>
      </c>
      <c r="BQ321" s="6">
        <v>4</v>
      </c>
      <c r="BR321" s="6">
        <v>5</v>
      </c>
      <c r="BS321" s="6">
        <v>5</v>
      </c>
    </row>
    <row r="322" spans="4:71" x14ac:dyDescent="0.25">
      <c r="E322" s="6">
        <f t="shared" si="85"/>
        <v>0</v>
      </c>
      <c r="F322" s="6">
        <f t="shared" si="86"/>
        <v>0</v>
      </c>
      <c r="G322" s="6">
        <f t="shared" si="87"/>
        <v>0</v>
      </c>
      <c r="H322" s="6">
        <f t="shared" si="88"/>
        <v>0</v>
      </c>
      <c r="I322" s="6">
        <f t="shared" si="89"/>
        <v>0</v>
      </c>
      <c r="J322" s="6">
        <f t="shared" si="90"/>
        <v>0</v>
      </c>
      <c r="K322" s="6">
        <f t="shared" si="91"/>
        <v>0</v>
      </c>
      <c r="L322" s="6">
        <f t="shared" si="92"/>
        <v>0</v>
      </c>
      <c r="M322" s="6">
        <f t="shared" si="93"/>
        <v>0</v>
      </c>
      <c r="N322" s="6">
        <f t="shared" si="94"/>
        <v>0</v>
      </c>
      <c r="O322" s="6">
        <f t="shared" si="95"/>
        <v>0</v>
      </c>
      <c r="P322" s="6">
        <f t="shared" si="96"/>
        <v>0</v>
      </c>
      <c r="Q322" s="6">
        <f t="shared" si="97"/>
        <v>0</v>
      </c>
      <c r="R322" s="6">
        <f t="shared" si="98"/>
        <v>0</v>
      </c>
      <c r="S322" s="6">
        <f t="shared" si="99"/>
        <v>0</v>
      </c>
      <c r="T322" s="6">
        <f t="shared" si="100"/>
        <v>0</v>
      </c>
      <c r="U322" s="6">
        <f t="shared" si="101"/>
        <v>0</v>
      </c>
      <c r="V322" s="6">
        <f t="shared" si="102"/>
        <v>0</v>
      </c>
      <c r="W322" s="6">
        <f t="shared" si="103"/>
        <v>0</v>
      </c>
      <c r="X322" s="6">
        <f t="shared" si="104"/>
        <v>0</v>
      </c>
      <c r="Y322" s="6">
        <f t="shared" si="105"/>
        <v>0</v>
      </c>
      <c r="AA322" s="6" t="str">
        <f>IF(最佳化斷筋點!C322="","",最佳化斷筋點!C322)</f>
        <v/>
      </c>
      <c r="AB322" s="6" t="str">
        <f>IF(最佳化斷筋點!D322="","",最佳化斷筋點!D322)</f>
        <v/>
      </c>
      <c r="AC322" s="6" t="str">
        <f>IF(最佳化斷筋點!E322="","",最佳化斷筋點!E322)</f>
        <v/>
      </c>
      <c r="AD322" s="6" t="str">
        <f>IF(最佳化斷筋點!F322="","",最佳化斷筋點!F322)</f>
        <v/>
      </c>
      <c r="AE322" s="6" t="str">
        <f>IF(最佳化斷筋點!G322="","",最佳化斷筋點!G322)</f>
        <v/>
      </c>
      <c r="AF322" s="6" t="str">
        <f>IF(最佳化斷筋點!H322="","",最佳化斷筋點!H322)</f>
        <v/>
      </c>
      <c r="AG322" s="6" t="str">
        <f>IF(最佳化斷筋點!I322="","",最佳化斷筋點!I322)</f>
        <v/>
      </c>
      <c r="AH322" s="6" t="str">
        <f>IF(最佳化斷筋點!J322="","",最佳化斷筋點!J322)</f>
        <v/>
      </c>
      <c r="AI322" s="6" t="str">
        <f>IF(最佳化斷筋點!K322="","",最佳化斷筋點!K322)</f>
        <v/>
      </c>
      <c r="AJ322" s="6" t="str">
        <f>IF(最佳化斷筋點!L322="","",最佳化斷筋點!L322)</f>
        <v/>
      </c>
      <c r="AK322" s="6" t="str">
        <f>IF(最佳化斷筋點!M322="","",最佳化斷筋點!M322)</f>
        <v/>
      </c>
      <c r="AL322" s="6" t="str">
        <f>IF(最佳化斷筋點!N322="","",最佳化斷筋點!N322)</f>
        <v/>
      </c>
      <c r="AM322" s="6" t="str">
        <f>IF(最佳化斷筋點!O322="","",最佳化斷筋點!O322)</f>
        <v/>
      </c>
      <c r="AN322" s="6" t="str">
        <f>IF(最佳化斷筋點!P322="","",最佳化斷筋點!P322)</f>
        <v/>
      </c>
      <c r="AO322" s="6" t="str">
        <f>IF(最佳化斷筋點!Q322="","",最佳化斷筋點!Q322)</f>
        <v/>
      </c>
      <c r="AP322" s="6" t="str">
        <f>IF(最佳化斷筋點!R322="","",最佳化斷筋點!R322)</f>
        <v/>
      </c>
      <c r="AQ322" s="6" t="str">
        <f>IF(最佳化斷筋點!S322="","",最佳化斷筋點!S322)</f>
        <v/>
      </c>
      <c r="AR322" s="6" t="str">
        <f>IF(最佳化斷筋點!T322="","",最佳化斷筋點!T322)</f>
        <v/>
      </c>
      <c r="AS322" s="6" t="str">
        <f>IF(最佳化斷筋點!U322="","",最佳化斷筋點!U322)</f>
        <v/>
      </c>
      <c r="AT322" s="6" t="str">
        <f>IF(最佳化斷筋點!V322="","",最佳化斷筋點!V322)</f>
        <v/>
      </c>
      <c r="AU322" s="6" t="str">
        <f>IF(最佳化斷筋點!W322="","",最佳化斷筋點!W322)</f>
        <v/>
      </c>
      <c r="AV322" s="6" t="str">
        <f>IF(最佳化斷筋點!X322="","",最佳化斷筋點!X322)</f>
        <v/>
      </c>
    </row>
    <row r="323" spans="4:71" x14ac:dyDescent="0.25">
      <c r="D323" s="6" t="s">
        <v>50</v>
      </c>
      <c r="E323" s="6">
        <f t="shared" si="85"/>
        <v>0</v>
      </c>
      <c r="F323" s="6">
        <f t="shared" si="86"/>
        <v>0</v>
      </c>
      <c r="G323" s="6">
        <f t="shared" si="87"/>
        <v>0</v>
      </c>
      <c r="H323" s="6">
        <f t="shared" si="88"/>
        <v>0</v>
      </c>
      <c r="I323" s="6">
        <f t="shared" si="89"/>
        <v>0</v>
      </c>
      <c r="J323" s="6">
        <f t="shared" si="90"/>
        <v>0</v>
      </c>
      <c r="K323" s="6">
        <f t="shared" si="91"/>
        <v>0</v>
      </c>
      <c r="L323" s="6">
        <f t="shared" si="92"/>
        <v>0</v>
      </c>
      <c r="M323" s="6">
        <f t="shared" si="93"/>
        <v>0</v>
      </c>
      <c r="N323" s="6">
        <f t="shared" si="94"/>
        <v>0</v>
      </c>
      <c r="O323" s="6">
        <f t="shared" si="95"/>
        <v>0</v>
      </c>
      <c r="P323" s="6">
        <f t="shared" si="96"/>
        <v>0</v>
      </c>
      <c r="Q323" s="6">
        <f t="shared" si="97"/>
        <v>0</v>
      </c>
      <c r="R323" s="6">
        <f t="shared" si="98"/>
        <v>0</v>
      </c>
      <c r="S323" s="6">
        <f t="shared" si="99"/>
        <v>0</v>
      </c>
      <c r="T323" s="6">
        <f t="shared" si="100"/>
        <v>0</v>
      </c>
      <c r="U323" s="6">
        <f t="shared" si="101"/>
        <v>0</v>
      </c>
      <c r="V323" s="6">
        <f t="shared" si="102"/>
        <v>0</v>
      </c>
      <c r="W323" s="6">
        <f t="shared" si="103"/>
        <v>0</v>
      </c>
      <c r="X323" s="6">
        <f t="shared" si="104"/>
        <v>0</v>
      </c>
      <c r="Y323" s="6">
        <f t="shared" si="105"/>
        <v>0</v>
      </c>
      <c r="AA323" s="6" t="str">
        <f>IF(最佳化斷筋點!C323="","",最佳化斷筋點!C323)</f>
        <v>上層</v>
      </c>
      <c r="AB323" s="6">
        <f>IF(最佳化斷筋點!D323="","",最佳化斷筋點!D323)</f>
        <v>10</v>
      </c>
      <c r="AC323" s="6">
        <f>IF(最佳化斷筋點!E323="","",最佳化斷筋點!E323)</f>
        <v>9</v>
      </c>
      <c r="AD323" s="6">
        <f>IF(最佳化斷筋點!F323="","",最佳化斷筋點!F323)</f>
        <v>8</v>
      </c>
      <c r="AE323" s="6">
        <f>IF(最佳化斷筋點!G323="","",最佳化斷筋點!G323)</f>
        <v>8</v>
      </c>
      <c r="AF323" s="6">
        <f>IF(最佳化斷筋點!H323="","",最佳化斷筋點!H323)</f>
        <v>7</v>
      </c>
      <c r="AG323" s="6">
        <f>IF(最佳化斷筋點!I323="","",最佳化斷筋點!I323)</f>
        <v>6</v>
      </c>
      <c r="AH323" s="6">
        <f>IF(最佳化斷筋點!J323="","",最佳化斷筋點!J323)</f>
        <v>5</v>
      </c>
      <c r="AI323" s="6">
        <f>IF(最佳化斷筋點!K323="","",最佳化斷筋點!K323)</f>
        <v>4</v>
      </c>
      <c r="AJ323" s="6">
        <f>IF(最佳化斷筋點!L323="","",最佳化斷筋點!L323)</f>
        <v>3</v>
      </c>
      <c r="AK323" s="6">
        <f>IF(最佳化斷筋點!M323="","",最佳化斷筋點!M323)</f>
        <v>2</v>
      </c>
      <c r="AL323" s="6">
        <f>IF(最佳化斷筋點!N323="","",最佳化斷筋點!N323)</f>
        <v>2</v>
      </c>
      <c r="AM323" s="6">
        <f>IF(最佳化斷筋點!O323="","",最佳化斷筋點!O323)</f>
        <v>2</v>
      </c>
      <c r="AN323" s="6">
        <f>IF(最佳化斷筋點!P323="","",最佳化斷筋點!P323)</f>
        <v>2</v>
      </c>
      <c r="AO323" s="6">
        <f>IF(最佳化斷筋點!Q323="","",最佳化斷筋點!Q323)</f>
        <v>2</v>
      </c>
      <c r="AP323" s="6">
        <f>IF(最佳化斷筋點!R323="","",最佳化斷筋點!R323)</f>
        <v>2</v>
      </c>
      <c r="AQ323" s="6">
        <f>IF(最佳化斷筋點!S323="","",最佳化斷筋點!S323)</f>
        <v>2</v>
      </c>
      <c r="AR323" s="6">
        <f>IF(最佳化斷筋點!T323="","",最佳化斷筋點!T323)</f>
        <v>2</v>
      </c>
      <c r="AS323" s="6">
        <f>IF(最佳化斷筋點!U323="","",最佳化斷筋點!U323)</f>
        <v>2</v>
      </c>
      <c r="AT323" s="6">
        <f>IF(最佳化斷筋點!V323="","",最佳化斷筋點!V323)</f>
        <v>2</v>
      </c>
      <c r="AU323" s="6">
        <f>IF(最佳化斷筋點!W323="","",最佳化斷筋點!W323)</f>
        <v>2</v>
      </c>
      <c r="AV323" s="6">
        <f>IF(最佳化斷筋點!X323="","",最佳化斷筋點!X323)</f>
        <v>2</v>
      </c>
      <c r="AX323" s="6" t="s">
        <v>50</v>
      </c>
      <c r="AY323" s="6">
        <v>10</v>
      </c>
      <c r="AZ323" s="6">
        <v>9</v>
      </c>
      <c r="BA323" s="6">
        <v>8</v>
      </c>
      <c r="BB323" s="6">
        <v>8</v>
      </c>
      <c r="BC323" s="6">
        <v>7</v>
      </c>
      <c r="BD323" s="6">
        <v>6</v>
      </c>
      <c r="BE323" s="6">
        <v>5</v>
      </c>
      <c r="BF323" s="6">
        <v>4</v>
      </c>
      <c r="BG323" s="6">
        <v>3</v>
      </c>
      <c r="BH323" s="6">
        <v>2</v>
      </c>
      <c r="BI323" s="6">
        <v>2</v>
      </c>
      <c r="BJ323" s="6">
        <v>2</v>
      </c>
      <c r="BK323" s="6">
        <v>2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</row>
    <row r="324" spans="4:71" x14ac:dyDescent="0.25">
      <c r="E324" s="6">
        <f t="shared" ref="E324:E387" si="106">IF(AB324=AY324,0,1)</f>
        <v>0</v>
      </c>
      <c r="F324" s="6">
        <f t="shared" ref="F324:F387" si="107">IF(AC324=AZ324,0,1)</f>
        <v>0</v>
      </c>
      <c r="G324" s="6">
        <f t="shared" ref="G324:G387" si="108">IF(AD324=BA324,0,1)</f>
        <v>0</v>
      </c>
      <c r="H324" s="6">
        <f t="shared" ref="H324:H387" si="109">IF(AE324=BB324,0,1)</f>
        <v>0</v>
      </c>
      <c r="I324" s="6">
        <f t="shared" ref="I324:I387" si="110">IF(AF324=BC324,0,1)</f>
        <v>0</v>
      </c>
      <c r="J324" s="6">
        <f t="shared" ref="J324:J387" si="111">IF(AG324=BD324,0,1)</f>
        <v>0</v>
      </c>
      <c r="K324" s="6">
        <f t="shared" ref="K324:K387" si="112">IF(AH324=BE324,0,1)</f>
        <v>0</v>
      </c>
      <c r="L324" s="6">
        <f t="shared" ref="L324:L387" si="113">IF(AI324=BF324,0,1)</f>
        <v>0</v>
      </c>
      <c r="M324" s="6">
        <f t="shared" ref="M324:M387" si="114">IF(AJ324=BG324,0,1)</f>
        <v>0</v>
      </c>
      <c r="N324" s="6">
        <f t="shared" ref="N324:N387" si="115">IF(AK324=BH324,0,1)</f>
        <v>0</v>
      </c>
      <c r="O324" s="6">
        <f t="shared" ref="O324:O387" si="116">IF(AL324=BI324,0,1)</f>
        <v>0</v>
      </c>
      <c r="P324" s="6">
        <f t="shared" ref="P324:P387" si="117">IF(AM324=BJ324,0,1)</f>
        <v>0</v>
      </c>
      <c r="Q324" s="6">
        <f t="shared" ref="Q324:Q387" si="118">IF(AN324=BK324,0,1)</f>
        <v>0</v>
      </c>
      <c r="R324" s="6">
        <f t="shared" ref="R324:R387" si="119">IF(AO324=BL324,0,1)</f>
        <v>0</v>
      </c>
      <c r="S324" s="6">
        <f t="shared" ref="S324:S387" si="120">IF(AP324=BM324,0,1)</f>
        <v>0</v>
      </c>
      <c r="T324" s="6">
        <f t="shared" ref="T324:T387" si="121">IF(AQ324=BN324,0,1)</f>
        <v>0</v>
      </c>
      <c r="U324" s="6">
        <f t="shared" ref="U324:U387" si="122">IF(AR324=BO324,0,1)</f>
        <v>0</v>
      </c>
      <c r="V324" s="6">
        <f t="shared" ref="V324:V387" si="123">IF(AS324=BP324,0,1)</f>
        <v>0</v>
      </c>
      <c r="W324" s="6">
        <f t="shared" ref="W324:W387" si="124">IF(AT324=BQ324,0,1)</f>
        <v>0</v>
      </c>
      <c r="X324" s="6">
        <f t="shared" ref="X324:X387" si="125">IF(AU324=BR324,0,1)</f>
        <v>0</v>
      </c>
      <c r="Y324" s="6">
        <f t="shared" ref="Y324:Y387" si="126">IF(AV324=BS324,0,1)</f>
        <v>0</v>
      </c>
      <c r="AA324" s="6" t="str">
        <f>IF(最佳化斷筋點!C324="","",最佳化斷筋點!C324)</f>
        <v/>
      </c>
      <c r="AB324" s="6" t="str">
        <f>IF(最佳化斷筋點!D324="","",最佳化斷筋點!D324)</f>
        <v/>
      </c>
      <c r="AC324" s="6" t="str">
        <f>IF(最佳化斷筋點!E324="","",最佳化斷筋點!E324)</f>
        <v/>
      </c>
      <c r="AD324" s="6" t="str">
        <f>IF(最佳化斷筋點!F324="","",最佳化斷筋點!F324)</f>
        <v/>
      </c>
      <c r="AE324" s="6" t="str">
        <f>IF(最佳化斷筋點!G324="","",最佳化斷筋點!G324)</f>
        <v/>
      </c>
      <c r="AF324" s="6" t="str">
        <f>IF(最佳化斷筋點!H324="","",最佳化斷筋點!H324)</f>
        <v/>
      </c>
      <c r="AG324" s="6" t="str">
        <f>IF(最佳化斷筋點!I324="","",最佳化斷筋點!I324)</f>
        <v/>
      </c>
      <c r="AH324" s="6" t="str">
        <f>IF(最佳化斷筋點!J324="","",最佳化斷筋點!J324)</f>
        <v/>
      </c>
      <c r="AI324" s="6" t="str">
        <f>IF(最佳化斷筋點!K324="","",最佳化斷筋點!K324)</f>
        <v/>
      </c>
      <c r="AJ324" s="6" t="str">
        <f>IF(最佳化斷筋點!L324="","",最佳化斷筋點!L324)</f>
        <v/>
      </c>
      <c r="AK324" s="6" t="str">
        <f>IF(最佳化斷筋點!M324="","",最佳化斷筋點!M324)</f>
        <v/>
      </c>
      <c r="AL324" s="6" t="str">
        <f>IF(最佳化斷筋點!N324="","",最佳化斷筋點!N324)</f>
        <v/>
      </c>
      <c r="AM324" s="6" t="str">
        <f>IF(最佳化斷筋點!O324="","",最佳化斷筋點!O324)</f>
        <v/>
      </c>
      <c r="AN324" s="6" t="str">
        <f>IF(最佳化斷筋點!P324="","",最佳化斷筋點!P324)</f>
        <v/>
      </c>
      <c r="AO324" s="6" t="str">
        <f>IF(最佳化斷筋點!Q324="","",最佳化斷筋點!Q324)</f>
        <v/>
      </c>
      <c r="AP324" s="6" t="str">
        <f>IF(最佳化斷筋點!R324="","",最佳化斷筋點!R324)</f>
        <v/>
      </c>
      <c r="AQ324" s="6" t="str">
        <f>IF(最佳化斷筋點!S324="","",最佳化斷筋點!S324)</f>
        <v/>
      </c>
      <c r="AR324" s="6" t="str">
        <f>IF(最佳化斷筋點!T324="","",最佳化斷筋點!T324)</f>
        <v/>
      </c>
      <c r="AS324" s="6" t="str">
        <f>IF(最佳化斷筋點!U324="","",最佳化斷筋點!U324)</f>
        <v/>
      </c>
      <c r="AT324" s="6" t="str">
        <f>IF(最佳化斷筋點!V324="","",最佳化斷筋點!V324)</f>
        <v/>
      </c>
      <c r="AU324" s="6" t="str">
        <f>IF(最佳化斷筋點!W324="","",最佳化斷筋點!W324)</f>
        <v/>
      </c>
      <c r="AV324" s="6" t="str">
        <f>IF(最佳化斷筋點!X324="","",最佳化斷筋點!X324)</f>
        <v/>
      </c>
    </row>
    <row r="325" spans="4:71" x14ac:dyDescent="0.25">
      <c r="D325" s="6" t="s">
        <v>51</v>
      </c>
      <c r="E325" s="6">
        <f t="shared" si="106"/>
        <v>0</v>
      </c>
      <c r="F325" s="6">
        <f t="shared" si="107"/>
        <v>0</v>
      </c>
      <c r="G325" s="6">
        <f t="shared" si="108"/>
        <v>0</v>
      </c>
      <c r="H325" s="6">
        <f t="shared" si="109"/>
        <v>0</v>
      </c>
      <c r="I325" s="6">
        <f t="shared" si="110"/>
        <v>0</v>
      </c>
      <c r="J325" s="6">
        <f t="shared" si="111"/>
        <v>0</v>
      </c>
      <c r="K325" s="6">
        <f t="shared" si="112"/>
        <v>0</v>
      </c>
      <c r="L325" s="6">
        <f t="shared" si="113"/>
        <v>0</v>
      </c>
      <c r="M325" s="6">
        <f t="shared" si="114"/>
        <v>0</v>
      </c>
      <c r="N325" s="6">
        <f t="shared" si="115"/>
        <v>0</v>
      </c>
      <c r="O325" s="6">
        <f t="shared" si="116"/>
        <v>0</v>
      </c>
      <c r="P325" s="6">
        <f t="shared" si="117"/>
        <v>0</v>
      </c>
      <c r="Q325" s="6">
        <f t="shared" si="118"/>
        <v>0</v>
      </c>
      <c r="R325" s="6">
        <f t="shared" si="119"/>
        <v>0</v>
      </c>
      <c r="S325" s="6">
        <f t="shared" si="120"/>
        <v>0</v>
      </c>
      <c r="T325" s="6">
        <f t="shared" si="121"/>
        <v>0</v>
      </c>
      <c r="U325" s="6">
        <f t="shared" si="122"/>
        <v>0</v>
      </c>
      <c r="V325" s="6">
        <f t="shared" si="123"/>
        <v>0</v>
      </c>
      <c r="W325" s="6">
        <f t="shared" si="124"/>
        <v>0</v>
      </c>
      <c r="X325" s="6">
        <f t="shared" si="125"/>
        <v>0</v>
      </c>
      <c r="Y325" s="6">
        <f t="shared" si="126"/>
        <v>0</v>
      </c>
      <c r="AA325" s="6" t="str">
        <f>IF(最佳化斷筋點!C325="","",最佳化斷筋點!C325)</f>
        <v>下層</v>
      </c>
      <c r="AB325" s="6">
        <f>IF(最佳化斷筋點!D325="","",最佳化斷筋點!D325)</f>
        <v>5</v>
      </c>
      <c r="AC325" s="6">
        <f>IF(最佳化斷筋點!E325="","",最佳化斷筋點!E325)</f>
        <v>5</v>
      </c>
      <c r="AD325" s="6">
        <f>IF(最佳化斷筋點!F325="","",最佳化斷筋點!F325)</f>
        <v>4</v>
      </c>
      <c r="AE325" s="6">
        <f>IF(最佳化斷筋點!G325="","",最佳化斷筋點!G325)</f>
        <v>5</v>
      </c>
      <c r="AF325" s="6">
        <f>IF(最佳化斷筋點!H325="","",最佳化斷筋點!H325)</f>
        <v>6</v>
      </c>
      <c r="AG325" s="6">
        <f>IF(最佳化斷筋點!I325="","",最佳化斷筋點!I325)</f>
        <v>6</v>
      </c>
      <c r="AH325" s="6">
        <f>IF(最佳化斷筋點!J325="","",最佳化斷筋點!J325)</f>
        <v>7</v>
      </c>
      <c r="AI325" s="6">
        <f>IF(最佳化斷筋點!K325="","",最佳化斷筋點!K325)</f>
        <v>8</v>
      </c>
      <c r="AJ325" s="6">
        <f>IF(最佳化斷筋點!L325="","",最佳化斷筋點!L325)</f>
        <v>8</v>
      </c>
      <c r="AK325" s="6">
        <f>IF(最佳化斷筋點!M325="","",最佳化斷筋點!M325)</f>
        <v>8</v>
      </c>
      <c r="AL325" s="6">
        <f>IF(最佳化斷筋點!N325="","",最佳化斷筋點!N325)</f>
        <v>8</v>
      </c>
      <c r="AM325" s="6">
        <f>IF(最佳化斷筋點!O325="","",最佳化斷筋點!O325)</f>
        <v>8</v>
      </c>
      <c r="AN325" s="6">
        <f>IF(最佳化斷筋點!P325="","",最佳化斷筋點!P325)</f>
        <v>8</v>
      </c>
      <c r="AO325" s="6">
        <f>IF(最佳化斷筋點!Q325="","",最佳化斷筋點!Q325)</f>
        <v>8</v>
      </c>
      <c r="AP325" s="6">
        <f>IF(最佳化斷筋點!R325="","",最佳化斷筋點!R325)</f>
        <v>7</v>
      </c>
      <c r="AQ325" s="6">
        <f>IF(最佳化斷筋點!S325="","",最佳化斷筋點!S325)</f>
        <v>6</v>
      </c>
      <c r="AR325" s="6">
        <f>IF(最佳化斷筋點!T325="","",最佳化斷筋點!T325)</f>
        <v>6</v>
      </c>
      <c r="AS325" s="6">
        <f>IF(最佳化斷筋點!U325="","",最佳化斷筋點!U325)</f>
        <v>5</v>
      </c>
      <c r="AT325" s="6">
        <f>IF(最佳化斷筋點!V325="","",最佳化斷筋點!V325)</f>
        <v>6</v>
      </c>
      <c r="AU325" s="6">
        <f>IF(最佳化斷筋點!W325="","",最佳化斷筋點!W325)</f>
        <v>7</v>
      </c>
      <c r="AV325" s="6">
        <f>IF(最佳化斷筋點!X325="","",最佳化斷筋點!X325)</f>
        <v>7</v>
      </c>
      <c r="AX325" s="6" t="s">
        <v>51</v>
      </c>
      <c r="AY325" s="6">
        <v>5</v>
      </c>
      <c r="AZ325" s="6">
        <v>5</v>
      </c>
      <c r="BA325" s="6">
        <v>4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7</v>
      </c>
      <c r="BN325" s="6">
        <v>6</v>
      </c>
      <c r="BO325" s="6">
        <v>6</v>
      </c>
      <c r="BP325" s="6">
        <v>5</v>
      </c>
      <c r="BQ325" s="6">
        <v>6</v>
      </c>
      <c r="BR325" s="6">
        <v>7</v>
      </c>
      <c r="BS325" s="6">
        <v>7</v>
      </c>
    </row>
    <row r="326" spans="4:71" x14ac:dyDescent="0.25">
      <c r="E326" s="6">
        <f t="shared" si="106"/>
        <v>0</v>
      </c>
      <c r="F326" s="6">
        <f t="shared" si="107"/>
        <v>0</v>
      </c>
      <c r="G326" s="6">
        <f t="shared" si="108"/>
        <v>0</v>
      </c>
      <c r="H326" s="6">
        <f t="shared" si="109"/>
        <v>0</v>
      </c>
      <c r="I326" s="6">
        <f t="shared" si="110"/>
        <v>0</v>
      </c>
      <c r="J326" s="6">
        <f t="shared" si="111"/>
        <v>0</v>
      </c>
      <c r="K326" s="6">
        <f t="shared" si="112"/>
        <v>0</v>
      </c>
      <c r="L326" s="6">
        <f t="shared" si="113"/>
        <v>0</v>
      </c>
      <c r="M326" s="6">
        <f t="shared" si="114"/>
        <v>0</v>
      </c>
      <c r="N326" s="6">
        <f t="shared" si="115"/>
        <v>0</v>
      </c>
      <c r="O326" s="6">
        <f t="shared" si="116"/>
        <v>0</v>
      </c>
      <c r="P326" s="6">
        <f t="shared" si="117"/>
        <v>0</v>
      </c>
      <c r="Q326" s="6">
        <f t="shared" si="118"/>
        <v>0</v>
      </c>
      <c r="R326" s="6">
        <f t="shared" si="119"/>
        <v>0</v>
      </c>
      <c r="S326" s="6">
        <f t="shared" si="120"/>
        <v>0</v>
      </c>
      <c r="T326" s="6">
        <f t="shared" si="121"/>
        <v>0</v>
      </c>
      <c r="U326" s="6">
        <f t="shared" si="122"/>
        <v>0</v>
      </c>
      <c r="V326" s="6">
        <f t="shared" si="123"/>
        <v>0</v>
      </c>
      <c r="W326" s="6">
        <f t="shared" si="124"/>
        <v>0</v>
      </c>
      <c r="X326" s="6">
        <f t="shared" si="125"/>
        <v>0</v>
      </c>
      <c r="Y326" s="6">
        <f t="shared" si="126"/>
        <v>0</v>
      </c>
      <c r="AA326" s="6" t="str">
        <f>IF(最佳化斷筋點!C326="","",最佳化斷筋點!C326)</f>
        <v/>
      </c>
      <c r="AB326" s="6" t="str">
        <f>IF(最佳化斷筋點!D326="","",最佳化斷筋點!D326)</f>
        <v/>
      </c>
      <c r="AC326" s="6" t="str">
        <f>IF(最佳化斷筋點!E326="","",最佳化斷筋點!E326)</f>
        <v/>
      </c>
      <c r="AD326" s="6" t="str">
        <f>IF(最佳化斷筋點!F326="","",最佳化斷筋點!F326)</f>
        <v/>
      </c>
      <c r="AE326" s="6" t="str">
        <f>IF(最佳化斷筋點!G326="","",最佳化斷筋點!G326)</f>
        <v/>
      </c>
      <c r="AF326" s="6" t="str">
        <f>IF(最佳化斷筋點!H326="","",最佳化斷筋點!H326)</f>
        <v/>
      </c>
      <c r="AG326" s="6" t="str">
        <f>IF(最佳化斷筋點!I326="","",最佳化斷筋點!I326)</f>
        <v/>
      </c>
      <c r="AH326" s="6" t="str">
        <f>IF(最佳化斷筋點!J326="","",最佳化斷筋點!J326)</f>
        <v/>
      </c>
      <c r="AI326" s="6" t="str">
        <f>IF(最佳化斷筋點!K326="","",最佳化斷筋點!K326)</f>
        <v/>
      </c>
      <c r="AJ326" s="6" t="str">
        <f>IF(最佳化斷筋點!L326="","",最佳化斷筋點!L326)</f>
        <v/>
      </c>
      <c r="AK326" s="6" t="str">
        <f>IF(最佳化斷筋點!M326="","",最佳化斷筋點!M326)</f>
        <v/>
      </c>
      <c r="AL326" s="6" t="str">
        <f>IF(最佳化斷筋點!N326="","",最佳化斷筋點!N326)</f>
        <v/>
      </c>
      <c r="AM326" s="6" t="str">
        <f>IF(最佳化斷筋點!O326="","",最佳化斷筋點!O326)</f>
        <v/>
      </c>
      <c r="AN326" s="6" t="str">
        <f>IF(最佳化斷筋點!P326="","",最佳化斷筋點!P326)</f>
        <v/>
      </c>
      <c r="AO326" s="6" t="str">
        <f>IF(最佳化斷筋點!Q326="","",最佳化斷筋點!Q326)</f>
        <v/>
      </c>
      <c r="AP326" s="6" t="str">
        <f>IF(最佳化斷筋點!R326="","",最佳化斷筋點!R326)</f>
        <v/>
      </c>
      <c r="AQ326" s="6" t="str">
        <f>IF(最佳化斷筋點!S326="","",最佳化斷筋點!S326)</f>
        <v/>
      </c>
      <c r="AR326" s="6" t="str">
        <f>IF(最佳化斷筋點!T326="","",最佳化斷筋點!T326)</f>
        <v/>
      </c>
      <c r="AS326" s="6" t="str">
        <f>IF(最佳化斷筋點!U326="","",最佳化斷筋點!U326)</f>
        <v/>
      </c>
      <c r="AT326" s="6" t="str">
        <f>IF(最佳化斷筋點!V326="","",最佳化斷筋點!V326)</f>
        <v/>
      </c>
      <c r="AU326" s="6" t="str">
        <f>IF(最佳化斷筋點!W326="","",最佳化斷筋點!W326)</f>
        <v/>
      </c>
      <c r="AV326" s="6" t="str">
        <f>IF(最佳化斷筋點!X326="","",最佳化斷筋點!X326)</f>
        <v/>
      </c>
    </row>
    <row r="327" spans="4:71" x14ac:dyDescent="0.25">
      <c r="D327" s="6" t="s">
        <v>50</v>
      </c>
      <c r="E327" s="6">
        <f t="shared" si="106"/>
        <v>0</v>
      </c>
      <c r="F327" s="6">
        <f t="shared" si="107"/>
        <v>0</v>
      </c>
      <c r="G327" s="6">
        <f t="shared" si="108"/>
        <v>0</v>
      </c>
      <c r="H327" s="6">
        <f t="shared" si="109"/>
        <v>0</v>
      </c>
      <c r="I327" s="6">
        <f t="shared" si="110"/>
        <v>0</v>
      </c>
      <c r="J327" s="6">
        <f t="shared" si="111"/>
        <v>0</v>
      </c>
      <c r="K327" s="6">
        <f t="shared" si="112"/>
        <v>0</v>
      </c>
      <c r="L327" s="6">
        <f t="shared" si="113"/>
        <v>0</v>
      </c>
      <c r="M327" s="6">
        <f t="shared" si="114"/>
        <v>0</v>
      </c>
      <c r="N327" s="6">
        <f t="shared" si="115"/>
        <v>0</v>
      </c>
      <c r="O327" s="6">
        <f t="shared" si="116"/>
        <v>0</v>
      </c>
      <c r="P327" s="6">
        <f t="shared" si="117"/>
        <v>0</v>
      </c>
      <c r="Q327" s="6">
        <f t="shared" si="118"/>
        <v>0</v>
      </c>
      <c r="R327" s="6">
        <f t="shared" si="119"/>
        <v>0</v>
      </c>
      <c r="S327" s="6">
        <f t="shared" si="120"/>
        <v>0</v>
      </c>
      <c r="T327" s="6">
        <f t="shared" si="121"/>
        <v>0</v>
      </c>
      <c r="U327" s="6">
        <f t="shared" si="122"/>
        <v>0</v>
      </c>
      <c r="V327" s="6">
        <f t="shared" si="123"/>
        <v>0</v>
      </c>
      <c r="W327" s="6">
        <f t="shared" si="124"/>
        <v>0</v>
      </c>
      <c r="X327" s="6">
        <f t="shared" si="125"/>
        <v>0</v>
      </c>
      <c r="Y327" s="6">
        <f t="shared" si="126"/>
        <v>0</v>
      </c>
      <c r="AA327" s="6" t="str">
        <f>IF(最佳化斷筋點!C327="","",最佳化斷筋點!C327)</f>
        <v>上層</v>
      </c>
      <c r="AB327" s="6">
        <f>IF(最佳化斷筋點!D327="","",最佳化斷筋點!D327)</f>
        <v>12</v>
      </c>
      <c r="AC327" s="6">
        <f>IF(最佳化斷筋點!E327="","",最佳化斷筋點!E327)</f>
        <v>11</v>
      </c>
      <c r="AD327" s="6">
        <f>IF(最佳化斷筋點!F327="","",最佳化斷筋點!F327)</f>
        <v>10</v>
      </c>
      <c r="AE327" s="6">
        <f>IF(最佳化斷筋點!G327="","",最佳化斷筋點!G327)</f>
        <v>9</v>
      </c>
      <c r="AF327" s="6">
        <f>IF(最佳化斷筋點!H327="","",最佳化斷筋點!H327)</f>
        <v>8</v>
      </c>
      <c r="AG327" s="6">
        <f>IF(最佳化斷筋點!I327="","",最佳化斷筋點!I327)</f>
        <v>7</v>
      </c>
      <c r="AH327" s="6">
        <f>IF(最佳化斷筋點!J327="","",最佳化斷筋點!J327)</f>
        <v>5</v>
      </c>
      <c r="AI327" s="6">
        <f>IF(最佳化斷筋點!K327="","",最佳化斷筋點!K327)</f>
        <v>4</v>
      </c>
      <c r="AJ327" s="6">
        <f>IF(最佳化斷筋點!L327="","",最佳化斷筋點!L327)</f>
        <v>3</v>
      </c>
      <c r="AK327" s="6">
        <f>IF(最佳化斷筋點!M327="","",最佳化斷筋點!M327)</f>
        <v>2</v>
      </c>
      <c r="AL327" s="6">
        <f>IF(最佳化斷筋點!N327="","",最佳化斷筋點!N327)</f>
        <v>2</v>
      </c>
      <c r="AM327" s="6">
        <f>IF(最佳化斷筋點!O327="","",最佳化斷筋點!O327)</f>
        <v>2</v>
      </c>
      <c r="AN327" s="6">
        <f>IF(最佳化斷筋點!P327="","",最佳化斷筋點!P327)</f>
        <v>3</v>
      </c>
      <c r="AO327" s="6">
        <f>IF(最佳化斷筋點!Q327="","",最佳化斷筋點!Q327)</f>
        <v>4</v>
      </c>
      <c r="AP327" s="6">
        <f>IF(最佳化斷筋點!R327="","",最佳化斷筋點!R327)</f>
        <v>5</v>
      </c>
      <c r="AQ327" s="6">
        <f>IF(最佳化斷筋點!S327="","",最佳化斷筋點!S327)</f>
        <v>6</v>
      </c>
      <c r="AR327" s="6">
        <f>IF(最佳化斷筋點!T327="","",最佳化斷筋點!T327)</f>
        <v>8</v>
      </c>
      <c r="AS327" s="6">
        <f>IF(最佳化斷筋點!U327="","",最佳化斷筋點!U327)</f>
        <v>9</v>
      </c>
      <c r="AT327" s="6">
        <f>IF(最佳化斷筋點!V327="","",最佳化斷筋點!V327)</f>
        <v>10</v>
      </c>
      <c r="AU327" s="6">
        <f>IF(最佳化斷筋點!W327="","",最佳化斷筋點!W327)</f>
        <v>11</v>
      </c>
      <c r="AV327" s="6">
        <f>IF(最佳化斷筋點!X327="","",最佳化斷筋點!X327)</f>
        <v>12</v>
      </c>
      <c r="AX327" s="6" t="s">
        <v>50</v>
      </c>
      <c r="AY327" s="6">
        <v>12</v>
      </c>
      <c r="AZ327" s="6">
        <v>11</v>
      </c>
      <c r="BA327" s="6">
        <v>10</v>
      </c>
      <c r="BB327" s="6">
        <v>9</v>
      </c>
      <c r="BC327" s="6">
        <v>8</v>
      </c>
      <c r="BD327" s="6">
        <v>7</v>
      </c>
      <c r="BE327" s="6">
        <v>5</v>
      </c>
      <c r="BF327" s="6">
        <v>4</v>
      </c>
      <c r="BG327" s="6">
        <v>3</v>
      </c>
      <c r="BH327" s="6">
        <v>2</v>
      </c>
      <c r="BI327" s="6">
        <v>2</v>
      </c>
      <c r="BJ327" s="6">
        <v>2</v>
      </c>
      <c r="BK327" s="6">
        <v>3</v>
      </c>
      <c r="BL327" s="6">
        <v>4</v>
      </c>
      <c r="BM327" s="6">
        <v>5</v>
      </c>
      <c r="BN327" s="6">
        <v>6</v>
      </c>
      <c r="BO327" s="6">
        <v>8</v>
      </c>
      <c r="BP327" s="6">
        <v>9</v>
      </c>
      <c r="BQ327" s="6">
        <v>10</v>
      </c>
      <c r="BR327" s="6">
        <v>11</v>
      </c>
      <c r="BS327" s="6">
        <v>12</v>
      </c>
    </row>
    <row r="328" spans="4:71" x14ac:dyDescent="0.25">
      <c r="E328" s="6">
        <f t="shared" si="106"/>
        <v>0</v>
      </c>
      <c r="F328" s="6">
        <f t="shared" si="107"/>
        <v>0</v>
      </c>
      <c r="G328" s="6">
        <f t="shared" si="108"/>
        <v>0</v>
      </c>
      <c r="H328" s="6">
        <f t="shared" si="109"/>
        <v>0</v>
      </c>
      <c r="I328" s="6">
        <f t="shared" si="110"/>
        <v>0</v>
      </c>
      <c r="J328" s="6">
        <f t="shared" si="111"/>
        <v>0</v>
      </c>
      <c r="K328" s="6">
        <f t="shared" si="112"/>
        <v>0</v>
      </c>
      <c r="L328" s="6">
        <f t="shared" si="113"/>
        <v>0</v>
      </c>
      <c r="M328" s="6">
        <f t="shared" si="114"/>
        <v>0</v>
      </c>
      <c r="N328" s="6">
        <f t="shared" si="115"/>
        <v>0</v>
      </c>
      <c r="O328" s="6">
        <f t="shared" si="116"/>
        <v>0</v>
      </c>
      <c r="P328" s="6">
        <f t="shared" si="117"/>
        <v>0</v>
      </c>
      <c r="Q328" s="6">
        <f t="shared" si="118"/>
        <v>0</v>
      </c>
      <c r="R328" s="6">
        <f t="shared" si="119"/>
        <v>0</v>
      </c>
      <c r="S328" s="6">
        <f t="shared" si="120"/>
        <v>0</v>
      </c>
      <c r="T328" s="6">
        <f t="shared" si="121"/>
        <v>0</v>
      </c>
      <c r="U328" s="6">
        <f t="shared" si="122"/>
        <v>0</v>
      </c>
      <c r="V328" s="6">
        <f t="shared" si="123"/>
        <v>0</v>
      </c>
      <c r="W328" s="6">
        <f t="shared" si="124"/>
        <v>0</v>
      </c>
      <c r="X328" s="6">
        <f t="shared" si="125"/>
        <v>0</v>
      </c>
      <c r="Y328" s="6">
        <f t="shared" si="126"/>
        <v>0</v>
      </c>
      <c r="AA328" s="6" t="str">
        <f>IF(最佳化斷筋點!C328="","",最佳化斷筋點!C328)</f>
        <v/>
      </c>
      <c r="AB328" s="6" t="str">
        <f>IF(最佳化斷筋點!D328="","",最佳化斷筋點!D328)</f>
        <v/>
      </c>
      <c r="AC328" s="6" t="str">
        <f>IF(最佳化斷筋點!E328="","",最佳化斷筋點!E328)</f>
        <v/>
      </c>
      <c r="AD328" s="6" t="str">
        <f>IF(最佳化斷筋點!F328="","",最佳化斷筋點!F328)</f>
        <v/>
      </c>
      <c r="AE328" s="6" t="str">
        <f>IF(最佳化斷筋點!G328="","",最佳化斷筋點!G328)</f>
        <v/>
      </c>
      <c r="AF328" s="6" t="str">
        <f>IF(最佳化斷筋點!H328="","",最佳化斷筋點!H328)</f>
        <v/>
      </c>
      <c r="AG328" s="6" t="str">
        <f>IF(最佳化斷筋點!I328="","",最佳化斷筋點!I328)</f>
        <v/>
      </c>
      <c r="AH328" s="6" t="str">
        <f>IF(最佳化斷筋點!J328="","",最佳化斷筋點!J328)</f>
        <v/>
      </c>
      <c r="AI328" s="6" t="str">
        <f>IF(最佳化斷筋點!K328="","",最佳化斷筋點!K328)</f>
        <v/>
      </c>
      <c r="AJ328" s="6" t="str">
        <f>IF(最佳化斷筋點!L328="","",最佳化斷筋點!L328)</f>
        <v/>
      </c>
      <c r="AK328" s="6" t="str">
        <f>IF(最佳化斷筋點!M328="","",最佳化斷筋點!M328)</f>
        <v/>
      </c>
      <c r="AL328" s="6" t="str">
        <f>IF(最佳化斷筋點!N328="","",最佳化斷筋點!N328)</f>
        <v/>
      </c>
      <c r="AM328" s="6" t="str">
        <f>IF(最佳化斷筋點!O328="","",最佳化斷筋點!O328)</f>
        <v/>
      </c>
      <c r="AN328" s="6" t="str">
        <f>IF(最佳化斷筋點!P328="","",最佳化斷筋點!P328)</f>
        <v/>
      </c>
      <c r="AO328" s="6" t="str">
        <f>IF(最佳化斷筋點!Q328="","",最佳化斷筋點!Q328)</f>
        <v/>
      </c>
      <c r="AP328" s="6" t="str">
        <f>IF(最佳化斷筋點!R328="","",最佳化斷筋點!R328)</f>
        <v/>
      </c>
      <c r="AQ328" s="6" t="str">
        <f>IF(最佳化斷筋點!S328="","",最佳化斷筋點!S328)</f>
        <v/>
      </c>
      <c r="AR328" s="6" t="str">
        <f>IF(最佳化斷筋點!T328="","",最佳化斷筋點!T328)</f>
        <v/>
      </c>
      <c r="AS328" s="6" t="str">
        <f>IF(最佳化斷筋點!U328="","",最佳化斷筋點!U328)</f>
        <v/>
      </c>
      <c r="AT328" s="6" t="str">
        <f>IF(最佳化斷筋點!V328="","",最佳化斷筋點!V328)</f>
        <v/>
      </c>
      <c r="AU328" s="6" t="str">
        <f>IF(最佳化斷筋點!W328="","",最佳化斷筋點!W328)</f>
        <v/>
      </c>
      <c r="AV328" s="6" t="str">
        <f>IF(最佳化斷筋點!X328="","",最佳化斷筋點!X328)</f>
        <v/>
      </c>
    </row>
    <row r="329" spans="4:71" x14ac:dyDescent="0.25">
      <c r="D329" s="6" t="s">
        <v>51</v>
      </c>
      <c r="E329" s="6">
        <f t="shared" si="106"/>
        <v>0</v>
      </c>
      <c r="F329" s="6">
        <f t="shared" si="107"/>
        <v>0</v>
      </c>
      <c r="G329" s="6">
        <f t="shared" si="108"/>
        <v>0</v>
      </c>
      <c r="H329" s="6">
        <f t="shared" si="109"/>
        <v>0</v>
      </c>
      <c r="I329" s="6">
        <f t="shared" si="110"/>
        <v>0</v>
      </c>
      <c r="J329" s="6">
        <f t="shared" si="111"/>
        <v>0</v>
      </c>
      <c r="K329" s="6">
        <f t="shared" si="112"/>
        <v>0</v>
      </c>
      <c r="L329" s="6">
        <f t="shared" si="113"/>
        <v>0</v>
      </c>
      <c r="M329" s="6">
        <f t="shared" si="114"/>
        <v>0</v>
      </c>
      <c r="N329" s="6">
        <f t="shared" si="115"/>
        <v>0</v>
      </c>
      <c r="O329" s="6">
        <f t="shared" si="116"/>
        <v>0</v>
      </c>
      <c r="P329" s="6">
        <f t="shared" si="117"/>
        <v>0</v>
      </c>
      <c r="Q329" s="6">
        <f t="shared" si="118"/>
        <v>0</v>
      </c>
      <c r="R329" s="6">
        <f t="shared" si="119"/>
        <v>0</v>
      </c>
      <c r="S329" s="6">
        <f t="shared" si="120"/>
        <v>0</v>
      </c>
      <c r="T329" s="6">
        <f t="shared" si="121"/>
        <v>0</v>
      </c>
      <c r="U329" s="6">
        <f t="shared" si="122"/>
        <v>0</v>
      </c>
      <c r="V329" s="6">
        <f t="shared" si="123"/>
        <v>0</v>
      </c>
      <c r="W329" s="6">
        <f t="shared" si="124"/>
        <v>0</v>
      </c>
      <c r="X329" s="6">
        <f t="shared" si="125"/>
        <v>0</v>
      </c>
      <c r="Y329" s="6">
        <f t="shared" si="126"/>
        <v>0</v>
      </c>
      <c r="AA329" s="6" t="str">
        <f>IF(最佳化斷筋點!C329="","",最佳化斷筋點!C329)</f>
        <v>下層</v>
      </c>
      <c r="AB329" s="6">
        <f>IF(最佳化斷筋點!D329="","",最佳化斷筋點!D329)</f>
        <v>12</v>
      </c>
      <c r="AC329" s="6">
        <f>IF(最佳化斷筋點!E329="","",最佳化斷筋點!E329)</f>
        <v>11</v>
      </c>
      <c r="AD329" s="6">
        <f>IF(最佳化斷筋點!F329="","",最佳化斷筋點!F329)</f>
        <v>10</v>
      </c>
      <c r="AE329" s="6">
        <f>IF(最佳化斷筋點!G329="","",最佳化斷筋點!G329)</f>
        <v>9</v>
      </c>
      <c r="AF329" s="6">
        <f>IF(最佳化斷筋點!H329="","",最佳化斷筋點!H329)</f>
        <v>9</v>
      </c>
      <c r="AG329" s="6">
        <f>IF(最佳化斷筋點!I329="","",最佳化斷筋點!I329)</f>
        <v>11</v>
      </c>
      <c r="AH329" s="6">
        <f>IF(最佳化斷筋點!J329="","",最佳化斷筋點!J329)</f>
        <v>12</v>
      </c>
      <c r="AI329" s="6">
        <f>IF(最佳化斷筋點!K329="","",最佳化斷筋點!K329)</f>
        <v>13</v>
      </c>
      <c r="AJ329" s="6">
        <f>IF(最佳化斷筋點!L329="","",最佳化斷筋點!L329)</f>
        <v>14</v>
      </c>
      <c r="AK329" s="6">
        <f>IF(最佳化斷筋點!M329="","",最佳化斷筋點!M329)</f>
        <v>14</v>
      </c>
      <c r="AL329" s="6">
        <f>IF(最佳化斷筋點!N329="","",最佳化斷筋點!N329)</f>
        <v>14</v>
      </c>
      <c r="AM329" s="6">
        <f>IF(最佳化斷筋點!O329="","",最佳化斷筋點!O329)</f>
        <v>14</v>
      </c>
      <c r="AN329" s="6">
        <f>IF(最佳化斷筋點!P329="","",最佳化斷筋點!P329)</f>
        <v>14</v>
      </c>
      <c r="AO329" s="6">
        <f>IF(最佳化斷筋點!Q329="","",最佳化斷筋點!Q329)</f>
        <v>13</v>
      </c>
      <c r="AP329" s="6">
        <f>IF(最佳化斷筋點!R329="","",最佳化斷筋點!R329)</f>
        <v>12</v>
      </c>
      <c r="AQ329" s="6">
        <f>IF(最佳化斷筋點!S329="","",最佳化斷筋點!S329)</f>
        <v>11</v>
      </c>
      <c r="AR329" s="6">
        <f>IF(最佳化斷筋點!T329="","",最佳化斷筋點!T329)</f>
        <v>9</v>
      </c>
      <c r="AS329" s="6">
        <f>IF(最佳化斷筋點!U329="","",最佳化斷筋點!U329)</f>
        <v>9</v>
      </c>
      <c r="AT329" s="6">
        <f>IF(最佳化斷筋點!V329="","",最佳化斷筋點!V329)</f>
        <v>10</v>
      </c>
      <c r="AU329" s="6">
        <f>IF(最佳化斷筋點!W329="","",最佳化斷筋點!W329)</f>
        <v>11</v>
      </c>
      <c r="AV329" s="6">
        <f>IF(最佳化斷筋點!X329="","",最佳化斷筋點!X329)</f>
        <v>12</v>
      </c>
      <c r="AX329" s="6" t="s">
        <v>51</v>
      </c>
      <c r="AY329" s="6">
        <v>12</v>
      </c>
      <c r="AZ329" s="6">
        <v>11</v>
      </c>
      <c r="BA329" s="6">
        <v>10</v>
      </c>
      <c r="BB329" s="6">
        <v>9</v>
      </c>
      <c r="BC329" s="6">
        <v>9</v>
      </c>
      <c r="BD329" s="6">
        <v>11</v>
      </c>
      <c r="BE329" s="6">
        <v>12</v>
      </c>
      <c r="BF329" s="6">
        <v>13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13</v>
      </c>
      <c r="BM329" s="6">
        <v>12</v>
      </c>
      <c r="BN329" s="6">
        <v>11</v>
      </c>
      <c r="BO329" s="6">
        <v>9</v>
      </c>
      <c r="BP329" s="6">
        <v>9</v>
      </c>
      <c r="BQ329" s="6">
        <v>10</v>
      </c>
      <c r="BR329" s="6">
        <v>11</v>
      </c>
      <c r="BS329" s="6">
        <v>12</v>
      </c>
    </row>
    <row r="330" spans="4:71" x14ac:dyDescent="0.25">
      <c r="E330" s="6">
        <f t="shared" si="106"/>
        <v>0</v>
      </c>
      <c r="F330" s="6">
        <f t="shared" si="107"/>
        <v>0</v>
      </c>
      <c r="G330" s="6">
        <f t="shared" si="108"/>
        <v>0</v>
      </c>
      <c r="H330" s="6">
        <f t="shared" si="109"/>
        <v>0</v>
      </c>
      <c r="I330" s="6">
        <f t="shared" si="110"/>
        <v>0</v>
      </c>
      <c r="J330" s="6">
        <f t="shared" si="111"/>
        <v>0</v>
      </c>
      <c r="K330" s="6">
        <f t="shared" si="112"/>
        <v>0</v>
      </c>
      <c r="L330" s="6">
        <f t="shared" si="113"/>
        <v>0</v>
      </c>
      <c r="M330" s="6">
        <f t="shared" si="114"/>
        <v>0</v>
      </c>
      <c r="N330" s="6">
        <f t="shared" si="115"/>
        <v>0</v>
      </c>
      <c r="O330" s="6">
        <f t="shared" si="116"/>
        <v>0</v>
      </c>
      <c r="P330" s="6">
        <f t="shared" si="117"/>
        <v>0</v>
      </c>
      <c r="Q330" s="6">
        <f t="shared" si="118"/>
        <v>0</v>
      </c>
      <c r="R330" s="6">
        <f t="shared" si="119"/>
        <v>0</v>
      </c>
      <c r="S330" s="6">
        <f t="shared" si="120"/>
        <v>0</v>
      </c>
      <c r="T330" s="6">
        <f t="shared" si="121"/>
        <v>0</v>
      </c>
      <c r="U330" s="6">
        <f t="shared" si="122"/>
        <v>0</v>
      </c>
      <c r="V330" s="6">
        <f t="shared" si="123"/>
        <v>0</v>
      </c>
      <c r="W330" s="6">
        <f t="shared" si="124"/>
        <v>0</v>
      </c>
      <c r="X330" s="6">
        <f t="shared" si="125"/>
        <v>0</v>
      </c>
      <c r="Y330" s="6">
        <f t="shared" si="126"/>
        <v>0</v>
      </c>
      <c r="AA330" s="6" t="str">
        <f>IF(最佳化斷筋點!C330="","",最佳化斷筋點!C330)</f>
        <v/>
      </c>
      <c r="AB330" s="6" t="str">
        <f>IF(最佳化斷筋點!D330="","",最佳化斷筋點!D330)</f>
        <v/>
      </c>
      <c r="AC330" s="6" t="str">
        <f>IF(最佳化斷筋點!E330="","",最佳化斷筋點!E330)</f>
        <v/>
      </c>
      <c r="AD330" s="6" t="str">
        <f>IF(最佳化斷筋點!F330="","",最佳化斷筋點!F330)</f>
        <v/>
      </c>
      <c r="AE330" s="6" t="str">
        <f>IF(最佳化斷筋點!G330="","",最佳化斷筋點!G330)</f>
        <v/>
      </c>
      <c r="AF330" s="6" t="str">
        <f>IF(最佳化斷筋點!H330="","",最佳化斷筋點!H330)</f>
        <v/>
      </c>
      <c r="AG330" s="6" t="str">
        <f>IF(最佳化斷筋點!I330="","",最佳化斷筋點!I330)</f>
        <v/>
      </c>
      <c r="AH330" s="6" t="str">
        <f>IF(最佳化斷筋點!J330="","",最佳化斷筋點!J330)</f>
        <v/>
      </c>
      <c r="AI330" s="6" t="str">
        <f>IF(最佳化斷筋點!K330="","",最佳化斷筋點!K330)</f>
        <v/>
      </c>
      <c r="AJ330" s="6" t="str">
        <f>IF(最佳化斷筋點!L330="","",最佳化斷筋點!L330)</f>
        <v/>
      </c>
      <c r="AK330" s="6" t="str">
        <f>IF(最佳化斷筋點!M330="","",最佳化斷筋點!M330)</f>
        <v/>
      </c>
      <c r="AL330" s="6" t="str">
        <f>IF(最佳化斷筋點!N330="","",最佳化斷筋點!N330)</f>
        <v/>
      </c>
      <c r="AM330" s="6" t="str">
        <f>IF(最佳化斷筋點!O330="","",最佳化斷筋點!O330)</f>
        <v/>
      </c>
      <c r="AN330" s="6" t="str">
        <f>IF(最佳化斷筋點!P330="","",最佳化斷筋點!P330)</f>
        <v/>
      </c>
      <c r="AO330" s="6" t="str">
        <f>IF(最佳化斷筋點!Q330="","",最佳化斷筋點!Q330)</f>
        <v/>
      </c>
      <c r="AP330" s="6" t="str">
        <f>IF(最佳化斷筋點!R330="","",最佳化斷筋點!R330)</f>
        <v/>
      </c>
      <c r="AQ330" s="6" t="str">
        <f>IF(最佳化斷筋點!S330="","",最佳化斷筋點!S330)</f>
        <v/>
      </c>
      <c r="AR330" s="6" t="str">
        <f>IF(最佳化斷筋點!T330="","",最佳化斷筋點!T330)</f>
        <v/>
      </c>
      <c r="AS330" s="6" t="str">
        <f>IF(最佳化斷筋點!U330="","",最佳化斷筋點!U330)</f>
        <v/>
      </c>
      <c r="AT330" s="6" t="str">
        <f>IF(最佳化斷筋點!V330="","",最佳化斷筋點!V330)</f>
        <v/>
      </c>
      <c r="AU330" s="6" t="str">
        <f>IF(最佳化斷筋點!W330="","",最佳化斷筋點!W330)</f>
        <v/>
      </c>
      <c r="AV330" s="6" t="str">
        <f>IF(最佳化斷筋點!X330="","",最佳化斷筋點!X330)</f>
        <v/>
      </c>
    </row>
    <row r="331" spans="4:71" x14ac:dyDescent="0.25">
      <c r="D331" s="6" t="s">
        <v>50</v>
      </c>
      <c r="E331" s="6">
        <f t="shared" si="106"/>
        <v>0</v>
      </c>
      <c r="F331" s="6">
        <f t="shared" si="107"/>
        <v>0</v>
      </c>
      <c r="G331" s="6">
        <f t="shared" si="108"/>
        <v>0</v>
      </c>
      <c r="H331" s="6">
        <f t="shared" si="109"/>
        <v>0</v>
      </c>
      <c r="I331" s="6">
        <f t="shared" si="110"/>
        <v>0</v>
      </c>
      <c r="J331" s="6">
        <f t="shared" si="111"/>
        <v>0</v>
      </c>
      <c r="K331" s="6">
        <f t="shared" si="112"/>
        <v>0</v>
      </c>
      <c r="L331" s="6">
        <f t="shared" si="113"/>
        <v>0</v>
      </c>
      <c r="M331" s="6">
        <f t="shared" si="114"/>
        <v>0</v>
      </c>
      <c r="N331" s="6">
        <f t="shared" si="115"/>
        <v>0</v>
      </c>
      <c r="O331" s="6">
        <f t="shared" si="116"/>
        <v>0</v>
      </c>
      <c r="P331" s="6">
        <f t="shared" si="117"/>
        <v>0</v>
      </c>
      <c r="Q331" s="6">
        <f t="shared" si="118"/>
        <v>0</v>
      </c>
      <c r="R331" s="6">
        <f t="shared" si="119"/>
        <v>0</v>
      </c>
      <c r="S331" s="6">
        <f t="shared" si="120"/>
        <v>0</v>
      </c>
      <c r="T331" s="6">
        <f t="shared" si="121"/>
        <v>0</v>
      </c>
      <c r="U331" s="6">
        <f t="shared" si="122"/>
        <v>0</v>
      </c>
      <c r="V331" s="6">
        <f t="shared" si="123"/>
        <v>0</v>
      </c>
      <c r="W331" s="6">
        <f t="shared" si="124"/>
        <v>0</v>
      </c>
      <c r="X331" s="6">
        <f t="shared" si="125"/>
        <v>0</v>
      </c>
      <c r="Y331" s="6">
        <f t="shared" si="126"/>
        <v>0</v>
      </c>
      <c r="AA331" s="6" t="str">
        <f>IF(最佳化斷筋點!C331="","",最佳化斷筋點!C331)</f>
        <v>上層</v>
      </c>
      <c r="AB331" s="6">
        <f>IF(最佳化斷筋點!D331="","",最佳化斷筋點!D331)</f>
        <v>12</v>
      </c>
      <c r="AC331" s="6">
        <f>IF(最佳化斷筋點!E331="","",最佳化斷筋點!E331)</f>
        <v>11</v>
      </c>
      <c r="AD331" s="6">
        <f>IF(最佳化斷筋點!F331="","",最佳化斷筋點!F331)</f>
        <v>10</v>
      </c>
      <c r="AE331" s="6">
        <f>IF(最佳化斷筋點!G331="","",最佳化斷筋點!G331)</f>
        <v>9</v>
      </c>
      <c r="AF331" s="6">
        <f>IF(最佳化斷筋點!H331="","",最佳化斷筋點!H331)</f>
        <v>8</v>
      </c>
      <c r="AG331" s="6">
        <f>IF(最佳化斷筋點!I331="","",最佳化斷筋點!I331)</f>
        <v>7</v>
      </c>
      <c r="AH331" s="6">
        <f>IF(最佳化斷筋點!J331="","",最佳化斷筋點!J331)</f>
        <v>5</v>
      </c>
      <c r="AI331" s="6">
        <f>IF(最佳化斷筋點!K331="","",最佳化斷筋點!K331)</f>
        <v>4</v>
      </c>
      <c r="AJ331" s="6">
        <f>IF(最佳化斷筋點!L331="","",最佳化斷筋點!L331)</f>
        <v>3</v>
      </c>
      <c r="AK331" s="6">
        <f>IF(最佳化斷筋點!M331="","",最佳化斷筋點!M331)</f>
        <v>2</v>
      </c>
      <c r="AL331" s="6">
        <f>IF(最佳化斷筋點!N331="","",最佳化斷筋點!N331)</f>
        <v>2</v>
      </c>
      <c r="AM331" s="6">
        <f>IF(最佳化斷筋點!O331="","",最佳化斷筋點!O331)</f>
        <v>2</v>
      </c>
      <c r="AN331" s="6">
        <f>IF(最佳化斷筋點!P331="","",最佳化斷筋點!P331)</f>
        <v>3</v>
      </c>
      <c r="AO331" s="6">
        <f>IF(最佳化斷筋點!Q331="","",最佳化斷筋點!Q331)</f>
        <v>4</v>
      </c>
      <c r="AP331" s="6">
        <f>IF(最佳化斷筋點!R331="","",最佳化斷筋點!R331)</f>
        <v>5</v>
      </c>
      <c r="AQ331" s="6">
        <f>IF(最佳化斷筋點!S331="","",最佳化斷筋點!S331)</f>
        <v>6</v>
      </c>
      <c r="AR331" s="6">
        <f>IF(最佳化斷筋點!T331="","",最佳化斷筋點!T331)</f>
        <v>8</v>
      </c>
      <c r="AS331" s="6">
        <f>IF(最佳化斷筋點!U331="","",最佳化斷筋點!U331)</f>
        <v>9</v>
      </c>
      <c r="AT331" s="6">
        <f>IF(最佳化斷筋點!V331="","",最佳化斷筋點!V331)</f>
        <v>10</v>
      </c>
      <c r="AU331" s="6">
        <f>IF(最佳化斷筋點!W331="","",最佳化斷筋點!W331)</f>
        <v>11</v>
      </c>
      <c r="AV331" s="6">
        <f>IF(最佳化斷筋點!X331="","",最佳化斷筋點!X331)</f>
        <v>12</v>
      </c>
      <c r="AX331" s="6" t="s">
        <v>50</v>
      </c>
      <c r="AY331" s="6">
        <v>12</v>
      </c>
      <c r="AZ331" s="6">
        <v>11</v>
      </c>
      <c r="BA331" s="6">
        <v>10</v>
      </c>
      <c r="BB331" s="6">
        <v>9</v>
      </c>
      <c r="BC331" s="6">
        <v>8</v>
      </c>
      <c r="BD331" s="6">
        <v>7</v>
      </c>
      <c r="BE331" s="6">
        <v>5</v>
      </c>
      <c r="BF331" s="6">
        <v>4</v>
      </c>
      <c r="BG331" s="6">
        <v>3</v>
      </c>
      <c r="BH331" s="6">
        <v>2</v>
      </c>
      <c r="BI331" s="6">
        <v>2</v>
      </c>
      <c r="BJ331" s="6">
        <v>2</v>
      </c>
      <c r="BK331" s="6">
        <v>3</v>
      </c>
      <c r="BL331" s="6">
        <v>4</v>
      </c>
      <c r="BM331" s="6">
        <v>5</v>
      </c>
      <c r="BN331" s="6">
        <v>6</v>
      </c>
      <c r="BO331" s="6">
        <v>8</v>
      </c>
      <c r="BP331" s="6">
        <v>9</v>
      </c>
      <c r="BQ331" s="6">
        <v>10</v>
      </c>
      <c r="BR331" s="6">
        <v>11</v>
      </c>
      <c r="BS331" s="6">
        <v>12</v>
      </c>
    </row>
    <row r="332" spans="4:71" x14ac:dyDescent="0.25">
      <c r="E332" s="6">
        <f t="shared" si="106"/>
        <v>0</v>
      </c>
      <c r="F332" s="6">
        <f t="shared" si="107"/>
        <v>0</v>
      </c>
      <c r="G332" s="6">
        <f t="shared" si="108"/>
        <v>0</v>
      </c>
      <c r="H332" s="6">
        <f t="shared" si="109"/>
        <v>0</v>
      </c>
      <c r="I332" s="6">
        <f t="shared" si="110"/>
        <v>0</v>
      </c>
      <c r="J332" s="6">
        <f t="shared" si="111"/>
        <v>0</v>
      </c>
      <c r="K332" s="6">
        <f t="shared" si="112"/>
        <v>0</v>
      </c>
      <c r="L332" s="6">
        <f t="shared" si="113"/>
        <v>0</v>
      </c>
      <c r="M332" s="6">
        <f t="shared" si="114"/>
        <v>0</v>
      </c>
      <c r="N332" s="6">
        <f t="shared" si="115"/>
        <v>0</v>
      </c>
      <c r="O332" s="6">
        <f t="shared" si="116"/>
        <v>0</v>
      </c>
      <c r="P332" s="6">
        <f t="shared" si="117"/>
        <v>0</v>
      </c>
      <c r="Q332" s="6">
        <f t="shared" si="118"/>
        <v>0</v>
      </c>
      <c r="R332" s="6">
        <f t="shared" si="119"/>
        <v>0</v>
      </c>
      <c r="S332" s="6">
        <f t="shared" si="120"/>
        <v>0</v>
      </c>
      <c r="T332" s="6">
        <f t="shared" si="121"/>
        <v>0</v>
      </c>
      <c r="U332" s="6">
        <f t="shared" si="122"/>
        <v>0</v>
      </c>
      <c r="V332" s="6">
        <f t="shared" si="123"/>
        <v>0</v>
      </c>
      <c r="W332" s="6">
        <f t="shared" si="124"/>
        <v>0</v>
      </c>
      <c r="X332" s="6">
        <f t="shared" si="125"/>
        <v>0</v>
      </c>
      <c r="Y332" s="6">
        <f t="shared" si="126"/>
        <v>0</v>
      </c>
      <c r="AA332" s="6" t="str">
        <f>IF(最佳化斷筋點!C332="","",最佳化斷筋點!C332)</f>
        <v/>
      </c>
      <c r="AB332" s="6" t="str">
        <f>IF(最佳化斷筋點!D332="","",最佳化斷筋點!D332)</f>
        <v/>
      </c>
      <c r="AC332" s="6" t="str">
        <f>IF(最佳化斷筋點!E332="","",最佳化斷筋點!E332)</f>
        <v/>
      </c>
      <c r="AD332" s="6" t="str">
        <f>IF(最佳化斷筋點!F332="","",最佳化斷筋點!F332)</f>
        <v/>
      </c>
      <c r="AE332" s="6" t="str">
        <f>IF(最佳化斷筋點!G332="","",最佳化斷筋點!G332)</f>
        <v/>
      </c>
      <c r="AF332" s="6" t="str">
        <f>IF(最佳化斷筋點!H332="","",最佳化斷筋點!H332)</f>
        <v/>
      </c>
      <c r="AG332" s="6" t="str">
        <f>IF(最佳化斷筋點!I332="","",最佳化斷筋點!I332)</f>
        <v/>
      </c>
      <c r="AH332" s="6" t="str">
        <f>IF(最佳化斷筋點!J332="","",最佳化斷筋點!J332)</f>
        <v/>
      </c>
      <c r="AI332" s="6" t="str">
        <f>IF(最佳化斷筋點!K332="","",最佳化斷筋點!K332)</f>
        <v/>
      </c>
      <c r="AJ332" s="6" t="str">
        <f>IF(最佳化斷筋點!L332="","",最佳化斷筋點!L332)</f>
        <v/>
      </c>
      <c r="AK332" s="6" t="str">
        <f>IF(最佳化斷筋點!M332="","",最佳化斷筋點!M332)</f>
        <v/>
      </c>
      <c r="AL332" s="6" t="str">
        <f>IF(最佳化斷筋點!N332="","",最佳化斷筋點!N332)</f>
        <v/>
      </c>
      <c r="AM332" s="6" t="str">
        <f>IF(最佳化斷筋點!O332="","",最佳化斷筋點!O332)</f>
        <v/>
      </c>
      <c r="AN332" s="6" t="str">
        <f>IF(最佳化斷筋點!P332="","",最佳化斷筋點!P332)</f>
        <v/>
      </c>
      <c r="AO332" s="6" t="str">
        <f>IF(最佳化斷筋點!Q332="","",最佳化斷筋點!Q332)</f>
        <v/>
      </c>
      <c r="AP332" s="6" t="str">
        <f>IF(最佳化斷筋點!R332="","",最佳化斷筋點!R332)</f>
        <v/>
      </c>
      <c r="AQ332" s="6" t="str">
        <f>IF(最佳化斷筋點!S332="","",最佳化斷筋點!S332)</f>
        <v/>
      </c>
      <c r="AR332" s="6" t="str">
        <f>IF(最佳化斷筋點!T332="","",最佳化斷筋點!T332)</f>
        <v/>
      </c>
      <c r="AS332" s="6" t="str">
        <f>IF(最佳化斷筋點!U332="","",最佳化斷筋點!U332)</f>
        <v/>
      </c>
      <c r="AT332" s="6" t="str">
        <f>IF(最佳化斷筋點!V332="","",最佳化斷筋點!V332)</f>
        <v/>
      </c>
      <c r="AU332" s="6" t="str">
        <f>IF(最佳化斷筋點!W332="","",最佳化斷筋點!W332)</f>
        <v/>
      </c>
      <c r="AV332" s="6" t="str">
        <f>IF(最佳化斷筋點!X332="","",最佳化斷筋點!X332)</f>
        <v/>
      </c>
    </row>
    <row r="333" spans="4:71" x14ac:dyDescent="0.25">
      <c r="D333" s="6" t="s">
        <v>51</v>
      </c>
      <c r="E333" s="6">
        <f t="shared" si="106"/>
        <v>0</v>
      </c>
      <c r="F333" s="6">
        <f t="shared" si="107"/>
        <v>0</v>
      </c>
      <c r="G333" s="6">
        <f t="shared" si="108"/>
        <v>0</v>
      </c>
      <c r="H333" s="6">
        <f t="shared" si="109"/>
        <v>0</v>
      </c>
      <c r="I333" s="6">
        <f t="shared" si="110"/>
        <v>0</v>
      </c>
      <c r="J333" s="6">
        <f t="shared" si="111"/>
        <v>0</v>
      </c>
      <c r="K333" s="6">
        <f t="shared" si="112"/>
        <v>0</v>
      </c>
      <c r="L333" s="6">
        <f t="shared" si="113"/>
        <v>0</v>
      </c>
      <c r="M333" s="6">
        <f t="shared" si="114"/>
        <v>0</v>
      </c>
      <c r="N333" s="6">
        <f t="shared" si="115"/>
        <v>0</v>
      </c>
      <c r="O333" s="6">
        <f t="shared" si="116"/>
        <v>0</v>
      </c>
      <c r="P333" s="6">
        <f t="shared" si="117"/>
        <v>0</v>
      </c>
      <c r="Q333" s="6">
        <f t="shared" si="118"/>
        <v>0</v>
      </c>
      <c r="R333" s="6">
        <f t="shared" si="119"/>
        <v>0</v>
      </c>
      <c r="S333" s="6">
        <f t="shared" si="120"/>
        <v>0</v>
      </c>
      <c r="T333" s="6">
        <f t="shared" si="121"/>
        <v>0</v>
      </c>
      <c r="U333" s="6">
        <f t="shared" si="122"/>
        <v>0</v>
      </c>
      <c r="V333" s="6">
        <f t="shared" si="123"/>
        <v>0</v>
      </c>
      <c r="W333" s="6">
        <f t="shared" si="124"/>
        <v>0</v>
      </c>
      <c r="X333" s="6">
        <f t="shared" si="125"/>
        <v>0</v>
      </c>
      <c r="Y333" s="6">
        <f t="shared" si="126"/>
        <v>0</v>
      </c>
      <c r="AA333" s="6" t="str">
        <f>IF(最佳化斷筋點!C333="","",最佳化斷筋點!C333)</f>
        <v>下層</v>
      </c>
      <c r="AB333" s="6">
        <f>IF(最佳化斷筋點!D333="","",最佳化斷筋點!D333)</f>
        <v>12</v>
      </c>
      <c r="AC333" s="6">
        <f>IF(最佳化斷筋點!E333="","",最佳化斷筋點!E333)</f>
        <v>11</v>
      </c>
      <c r="AD333" s="6">
        <f>IF(最佳化斷筋點!F333="","",最佳化斷筋點!F333)</f>
        <v>10</v>
      </c>
      <c r="AE333" s="6">
        <f>IF(最佳化斷筋點!G333="","",最佳化斷筋點!G333)</f>
        <v>9</v>
      </c>
      <c r="AF333" s="6">
        <f>IF(最佳化斷筋點!H333="","",最佳化斷筋點!H333)</f>
        <v>9</v>
      </c>
      <c r="AG333" s="6">
        <f>IF(最佳化斷筋點!I333="","",最佳化斷筋點!I333)</f>
        <v>11</v>
      </c>
      <c r="AH333" s="6">
        <f>IF(最佳化斷筋點!J333="","",最佳化斷筋點!J333)</f>
        <v>12</v>
      </c>
      <c r="AI333" s="6">
        <f>IF(最佳化斷筋點!K333="","",最佳化斷筋點!K333)</f>
        <v>13</v>
      </c>
      <c r="AJ333" s="6">
        <f>IF(最佳化斷筋點!L333="","",最佳化斷筋點!L333)</f>
        <v>14</v>
      </c>
      <c r="AK333" s="6">
        <f>IF(最佳化斷筋點!M333="","",最佳化斷筋點!M333)</f>
        <v>14</v>
      </c>
      <c r="AL333" s="6">
        <f>IF(最佳化斷筋點!N333="","",最佳化斷筋點!N333)</f>
        <v>14</v>
      </c>
      <c r="AM333" s="6">
        <f>IF(最佳化斷筋點!O333="","",最佳化斷筋點!O333)</f>
        <v>14</v>
      </c>
      <c r="AN333" s="6">
        <f>IF(最佳化斷筋點!P333="","",最佳化斷筋點!P333)</f>
        <v>14</v>
      </c>
      <c r="AO333" s="6">
        <f>IF(最佳化斷筋點!Q333="","",最佳化斷筋點!Q333)</f>
        <v>13</v>
      </c>
      <c r="AP333" s="6">
        <f>IF(最佳化斷筋點!R333="","",最佳化斷筋點!R333)</f>
        <v>12</v>
      </c>
      <c r="AQ333" s="6">
        <f>IF(最佳化斷筋點!S333="","",最佳化斷筋點!S333)</f>
        <v>11</v>
      </c>
      <c r="AR333" s="6">
        <f>IF(最佳化斷筋點!T333="","",最佳化斷筋點!T333)</f>
        <v>9</v>
      </c>
      <c r="AS333" s="6">
        <f>IF(最佳化斷筋點!U333="","",最佳化斷筋點!U333)</f>
        <v>9</v>
      </c>
      <c r="AT333" s="6">
        <f>IF(最佳化斷筋點!V333="","",最佳化斷筋點!V333)</f>
        <v>10</v>
      </c>
      <c r="AU333" s="6">
        <f>IF(最佳化斷筋點!W333="","",最佳化斷筋點!W333)</f>
        <v>11</v>
      </c>
      <c r="AV333" s="6">
        <f>IF(最佳化斷筋點!X333="","",最佳化斷筋點!X333)</f>
        <v>12</v>
      </c>
      <c r="AX333" s="6" t="s">
        <v>51</v>
      </c>
      <c r="AY333" s="6">
        <v>12</v>
      </c>
      <c r="AZ333" s="6">
        <v>11</v>
      </c>
      <c r="BA333" s="6">
        <v>10</v>
      </c>
      <c r="BB333" s="6">
        <v>9</v>
      </c>
      <c r="BC333" s="6">
        <v>9</v>
      </c>
      <c r="BD333" s="6">
        <v>11</v>
      </c>
      <c r="BE333" s="6">
        <v>12</v>
      </c>
      <c r="BF333" s="6">
        <v>13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13</v>
      </c>
      <c r="BM333" s="6">
        <v>12</v>
      </c>
      <c r="BN333" s="6">
        <v>11</v>
      </c>
      <c r="BO333" s="6">
        <v>9</v>
      </c>
      <c r="BP333" s="6">
        <v>9</v>
      </c>
      <c r="BQ333" s="6">
        <v>10</v>
      </c>
      <c r="BR333" s="6">
        <v>11</v>
      </c>
      <c r="BS333" s="6">
        <v>12</v>
      </c>
    </row>
    <row r="334" spans="4:71" x14ac:dyDescent="0.25">
      <c r="E334" s="6">
        <f t="shared" si="106"/>
        <v>0</v>
      </c>
      <c r="F334" s="6">
        <f t="shared" si="107"/>
        <v>0</v>
      </c>
      <c r="G334" s="6">
        <f t="shared" si="108"/>
        <v>0</v>
      </c>
      <c r="H334" s="6">
        <f t="shared" si="109"/>
        <v>0</v>
      </c>
      <c r="I334" s="6">
        <f t="shared" si="110"/>
        <v>0</v>
      </c>
      <c r="J334" s="6">
        <f t="shared" si="111"/>
        <v>0</v>
      </c>
      <c r="K334" s="6">
        <f t="shared" si="112"/>
        <v>0</v>
      </c>
      <c r="L334" s="6">
        <f t="shared" si="113"/>
        <v>0</v>
      </c>
      <c r="M334" s="6">
        <f t="shared" si="114"/>
        <v>0</v>
      </c>
      <c r="N334" s="6">
        <f t="shared" si="115"/>
        <v>0</v>
      </c>
      <c r="O334" s="6">
        <f t="shared" si="116"/>
        <v>0</v>
      </c>
      <c r="P334" s="6">
        <f t="shared" si="117"/>
        <v>0</v>
      </c>
      <c r="Q334" s="6">
        <f t="shared" si="118"/>
        <v>0</v>
      </c>
      <c r="R334" s="6">
        <f t="shared" si="119"/>
        <v>0</v>
      </c>
      <c r="S334" s="6">
        <f t="shared" si="120"/>
        <v>0</v>
      </c>
      <c r="T334" s="6">
        <f t="shared" si="121"/>
        <v>0</v>
      </c>
      <c r="U334" s="6">
        <f t="shared" si="122"/>
        <v>0</v>
      </c>
      <c r="V334" s="6">
        <f t="shared" si="123"/>
        <v>0</v>
      </c>
      <c r="W334" s="6">
        <f t="shared" si="124"/>
        <v>0</v>
      </c>
      <c r="X334" s="6">
        <f t="shared" si="125"/>
        <v>0</v>
      </c>
      <c r="Y334" s="6">
        <f t="shared" si="126"/>
        <v>0</v>
      </c>
      <c r="AA334" s="6" t="str">
        <f>IF(最佳化斷筋點!C334="","",最佳化斷筋點!C334)</f>
        <v/>
      </c>
      <c r="AB334" s="6" t="str">
        <f>IF(最佳化斷筋點!D334="","",最佳化斷筋點!D334)</f>
        <v/>
      </c>
      <c r="AC334" s="6" t="str">
        <f>IF(最佳化斷筋點!E334="","",最佳化斷筋點!E334)</f>
        <v/>
      </c>
      <c r="AD334" s="6" t="str">
        <f>IF(最佳化斷筋點!F334="","",最佳化斷筋點!F334)</f>
        <v/>
      </c>
      <c r="AE334" s="6" t="str">
        <f>IF(最佳化斷筋點!G334="","",最佳化斷筋點!G334)</f>
        <v/>
      </c>
      <c r="AF334" s="6" t="str">
        <f>IF(最佳化斷筋點!H334="","",最佳化斷筋點!H334)</f>
        <v/>
      </c>
      <c r="AG334" s="6" t="str">
        <f>IF(最佳化斷筋點!I334="","",最佳化斷筋點!I334)</f>
        <v/>
      </c>
      <c r="AH334" s="6" t="str">
        <f>IF(最佳化斷筋點!J334="","",最佳化斷筋點!J334)</f>
        <v/>
      </c>
      <c r="AI334" s="6" t="str">
        <f>IF(最佳化斷筋點!K334="","",最佳化斷筋點!K334)</f>
        <v/>
      </c>
      <c r="AJ334" s="6" t="str">
        <f>IF(最佳化斷筋點!L334="","",最佳化斷筋點!L334)</f>
        <v/>
      </c>
      <c r="AK334" s="6" t="str">
        <f>IF(最佳化斷筋點!M334="","",最佳化斷筋點!M334)</f>
        <v/>
      </c>
      <c r="AL334" s="6" t="str">
        <f>IF(最佳化斷筋點!N334="","",最佳化斷筋點!N334)</f>
        <v/>
      </c>
      <c r="AM334" s="6" t="str">
        <f>IF(最佳化斷筋點!O334="","",最佳化斷筋點!O334)</f>
        <v/>
      </c>
      <c r="AN334" s="6" t="str">
        <f>IF(最佳化斷筋點!P334="","",最佳化斷筋點!P334)</f>
        <v/>
      </c>
      <c r="AO334" s="6" t="str">
        <f>IF(最佳化斷筋點!Q334="","",最佳化斷筋點!Q334)</f>
        <v/>
      </c>
      <c r="AP334" s="6" t="str">
        <f>IF(最佳化斷筋點!R334="","",最佳化斷筋點!R334)</f>
        <v/>
      </c>
      <c r="AQ334" s="6" t="str">
        <f>IF(最佳化斷筋點!S334="","",最佳化斷筋點!S334)</f>
        <v/>
      </c>
      <c r="AR334" s="6" t="str">
        <f>IF(最佳化斷筋點!T334="","",最佳化斷筋點!T334)</f>
        <v/>
      </c>
      <c r="AS334" s="6" t="str">
        <f>IF(最佳化斷筋點!U334="","",最佳化斷筋點!U334)</f>
        <v/>
      </c>
      <c r="AT334" s="6" t="str">
        <f>IF(最佳化斷筋點!V334="","",最佳化斷筋點!V334)</f>
        <v/>
      </c>
      <c r="AU334" s="6" t="str">
        <f>IF(最佳化斷筋點!W334="","",最佳化斷筋點!W334)</f>
        <v/>
      </c>
      <c r="AV334" s="6" t="str">
        <f>IF(最佳化斷筋點!X334="","",最佳化斷筋點!X334)</f>
        <v/>
      </c>
    </row>
    <row r="335" spans="4:71" x14ac:dyDescent="0.25">
      <c r="D335" s="6" t="s">
        <v>50</v>
      </c>
      <c r="E335" s="6">
        <f t="shared" si="106"/>
        <v>0</v>
      </c>
      <c r="F335" s="6">
        <f t="shared" si="107"/>
        <v>0</v>
      </c>
      <c r="G335" s="6">
        <f t="shared" si="108"/>
        <v>0</v>
      </c>
      <c r="H335" s="6">
        <f t="shared" si="109"/>
        <v>0</v>
      </c>
      <c r="I335" s="6">
        <f t="shared" si="110"/>
        <v>0</v>
      </c>
      <c r="J335" s="6">
        <f t="shared" si="111"/>
        <v>0</v>
      </c>
      <c r="K335" s="6">
        <f t="shared" si="112"/>
        <v>0</v>
      </c>
      <c r="L335" s="6">
        <f t="shared" si="113"/>
        <v>0</v>
      </c>
      <c r="M335" s="6">
        <f t="shared" si="114"/>
        <v>0</v>
      </c>
      <c r="N335" s="6">
        <f t="shared" si="115"/>
        <v>0</v>
      </c>
      <c r="O335" s="6">
        <f t="shared" si="116"/>
        <v>0</v>
      </c>
      <c r="P335" s="6">
        <f t="shared" si="117"/>
        <v>0</v>
      </c>
      <c r="Q335" s="6">
        <f t="shared" si="118"/>
        <v>0</v>
      </c>
      <c r="R335" s="6">
        <f t="shared" si="119"/>
        <v>0</v>
      </c>
      <c r="S335" s="6">
        <f t="shared" si="120"/>
        <v>0</v>
      </c>
      <c r="T335" s="6">
        <f t="shared" si="121"/>
        <v>0</v>
      </c>
      <c r="U335" s="6">
        <f t="shared" si="122"/>
        <v>0</v>
      </c>
      <c r="V335" s="6">
        <f t="shared" si="123"/>
        <v>0</v>
      </c>
      <c r="W335" s="6">
        <f t="shared" si="124"/>
        <v>0</v>
      </c>
      <c r="X335" s="6">
        <f t="shared" si="125"/>
        <v>0</v>
      </c>
      <c r="Y335" s="6">
        <f t="shared" si="126"/>
        <v>0</v>
      </c>
      <c r="AA335" s="6" t="str">
        <f>IF(最佳化斷筋點!C335="","",最佳化斷筋點!C335)</f>
        <v>上層</v>
      </c>
      <c r="AB335" s="6">
        <f>IF(最佳化斷筋點!D335="","",最佳化斷筋點!D335)</f>
        <v>12</v>
      </c>
      <c r="AC335" s="6">
        <f>IF(最佳化斷筋點!E335="","",最佳化斷筋點!E335)</f>
        <v>11</v>
      </c>
      <c r="AD335" s="6">
        <f>IF(最佳化斷筋點!F335="","",最佳化斷筋點!F335)</f>
        <v>10</v>
      </c>
      <c r="AE335" s="6">
        <f>IF(最佳化斷筋點!G335="","",最佳化斷筋點!G335)</f>
        <v>9</v>
      </c>
      <c r="AF335" s="6">
        <f>IF(最佳化斷筋點!H335="","",最佳化斷筋點!H335)</f>
        <v>8</v>
      </c>
      <c r="AG335" s="6">
        <f>IF(最佳化斷筋點!I335="","",最佳化斷筋點!I335)</f>
        <v>7</v>
      </c>
      <c r="AH335" s="6">
        <f>IF(最佳化斷筋點!J335="","",最佳化斷筋點!J335)</f>
        <v>5</v>
      </c>
      <c r="AI335" s="6">
        <f>IF(最佳化斷筋點!K335="","",最佳化斷筋點!K335)</f>
        <v>4</v>
      </c>
      <c r="AJ335" s="6">
        <f>IF(最佳化斷筋點!L335="","",最佳化斷筋點!L335)</f>
        <v>3</v>
      </c>
      <c r="AK335" s="6">
        <f>IF(最佳化斷筋點!M335="","",最佳化斷筋點!M335)</f>
        <v>2</v>
      </c>
      <c r="AL335" s="6">
        <f>IF(最佳化斷筋點!N335="","",最佳化斷筋點!N335)</f>
        <v>2</v>
      </c>
      <c r="AM335" s="6">
        <f>IF(最佳化斷筋點!O335="","",最佳化斷筋點!O335)</f>
        <v>2</v>
      </c>
      <c r="AN335" s="6">
        <f>IF(最佳化斷筋點!P335="","",最佳化斷筋點!P335)</f>
        <v>3</v>
      </c>
      <c r="AO335" s="6">
        <f>IF(最佳化斷筋點!Q335="","",最佳化斷筋點!Q335)</f>
        <v>4</v>
      </c>
      <c r="AP335" s="6">
        <f>IF(最佳化斷筋點!R335="","",最佳化斷筋點!R335)</f>
        <v>5</v>
      </c>
      <c r="AQ335" s="6">
        <f>IF(最佳化斷筋點!S335="","",最佳化斷筋點!S335)</f>
        <v>6</v>
      </c>
      <c r="AR335" s="6">
        <f>IF(最佳化斷筋點!T335="","",最佳化斷筋點!T335)</f>
        <v>8</v>
      </c>
      <c r="AS335" s="6">
        <f>IF(最佳化斷筋點!U335="","",最佳化斷筋點!U335)</f>
        <v>9</v>
      </c>
      <c r="AT335" s="6">
        <f>IF(最佳化斷筋點!V335="","",最佳化斷筋點!V335)</f>
        <v>10</v>
      </c>
      <c r="AU335" s="6">
        <f>IF(最佳化斷筋點!W335="","",最佳化斷筋點!W335)</f>
        <v>11</v>
      </c>
      <c r="AV335" s="6">
        <f>IF(最佳化斷筋點!X335="","",最佳化斷筋點!X335)</f>
        <v>12</v>
      </c>
      <c r="AX335" s="6" t="s">
        <v>50</v>
      </c>
      <c r="AY335" s="6">
        <v>12</v>
      </c>
      <c r="AZ335" s="6">
        <v>11</v>
      </c>
      <c r="BA335" s="6">
        <v>10</v>
      </c>
      <c r="BB335" s="6">
        <v>9</v>
      </c>
      <c r="BC335" s="6">
        <v>8</v>
      </c>
      <c r="BD335" s="6">
        <v>7</v>
      </c>
      <c r="BE335" s="6">
        <v>5</v>
      </c>
      <c r="BF335" s="6">
        <v>4</v>
      </c>
      <c r="BG335" s="6">
        <v>3</v>
      </c>
      <c r="BH335" s="6">
        <v>2</v>
      </c>
      <c r="BI335" s="6">
        <v>2</v>
      </c>
      <c r="BJ335" s="6">
        <v>2</v>
      </c>
      <c r="BK335" s="6">
        <v>3</v>
      </c>
      <c r="BL335" s="6">
        <v>4</v>
      </c>
      <c r="BM335" s="6">
        <v>5</v>
      </c>
      <c r="BN335" s="6">
        <v>6</v>
      </c>
      <c r="BO335" s="6">
        <v>8</v>
      </c>
      <c r="BP335" s="6">
        <v>9</v>
      </c>
      <c r="BQ335" s="6">
        <v>10</v>
      </c>
      <c r="BR335" s="6">
        <v>11</v>
      </c>
      <c r="BS335" s="6">
        <v>12</v>
      </c>
    </row>
    <row r="336" spans="4:71" x14ac:dyDescent="0.25">
      <c r="E336" s="6">
        <f t="shared" si="106"/>
        <v>0</v>
      </c>
      <c r="F336" s="6">
        <f t="shared" si="107"/>
        <v>0</v>
      </c>
      <c r="G336" s="6">
        <f t="shared" si="108"/>
        <v>0</v>
      </c>
      <c r="H336" s="6">
        <f t="shared" si="109"/>
        <v>0</v>
      </c>
      <c r="I336" s="6">
        <f t="shared" si="110"/>
        <v>0</v>
      </c>
      <c r="J336" s="6">
        <f t="shared" si="111"/>
        <v>0</v>
      </c>
      <c r="K336" s="6">
        <f t="shared" si="112"/>
        <v>0</v>
      </c>
      <c r="L336" s="6">
        <f t="shared" si="113"/>
        <v>0</v>
      </c>
      <c r="M336" s="6">
        <f t="shared" si="114"/>
        <v>0</v>
      </c>
      <c r="N336" s="6">
        <f t="shared" si="115"/>
        <v>0</v>
      </c>
      <c r="O336" s="6">
        <f t="shared" si="116"/>
        <v>0</v>
      </c>
      <c r="P336" s="6">
        <f t="shared" si="117"/>
        <v>0</v>
      </c>
      <c r="Q336" s="6">
        <f t="shared" si="118"/>
        <v>0</v>
      </c>
      <c r="R336" s="6">
        <f t="shared" si="119"/>
        <v>0</v>
      </c>
      <c r="S336" s="6">
        <f t="shared" si="120"/>
        <v>0</v>
      </c>
      <c r="T336" s="6">
        <f t="shared" si="121"/>
        <v>0</v>
      </c>
      <c r="U336" s="6">
        <f t="shared" si="122"/>
        <v>0</v>
      </c>
      <c r="V336" s="6">
        <f t="shared" si="123"/>
        <v>0</v>
      </c>
      <c r="W336" s="6">
        <f t="shared" si="124"/>
        <v>0</v>
      </c>
      <c r="X336" s="6">
        <f t="shared" si="125"/>
        <v>0</v>
      </c>
      <c r="Y336" s="6">
        <f t="shared" si="126"/>
        <v>0</v>
      </c>
      <c r="AA336" s="6" t="str">
        <f>IF(最佳化斷筋點!C336="","",最佳化斷筋點!C336)</f>
        <v/>
      </c>
      <c r="AB336" s="6" t="str">
        <f>IF(最佳化斷筋點!D336="","",最佳化斷筋點!D336)</f>
        <v/>
      </c>
      <c r="AC336" s="6" t="str">
        <f>IF(最佳化斷筋點!E336="","",最佳化斷筋點!E336)</f>
        <v/>
      </c>
      <c r="AD336" s="6" t="str">
        <f>IF(最佳化斷筋點!F336="","",最佳化斷筋點!F336)</f>
        <v/>
      </c>
      <c r="AE336" s="6" t="str">
        <f>IF(最佳化斷筋點!G336="","",最佳化斷筋點!G336)</f>
        <v/>
      </c>
      <c r="AF336" s="6" t="str">
        <f>IF(最佳化斷筋點!H336="","",最佳化斷筋點!H336)</f>
        <v/>
      </c>
      <c r="AG336" s="6" t="str">
        <f>IF(最佳化斷筋點!I336="","",最佳化斷筋點!I336)</f>
        <v/>
      </c>
      <c r="AH336" s="6" t="str">
        <f>IF(最佳化斷筋點!J336="","",最佳化斷筋點!J336)</f>
        <v/>
      </c>
      <c r="AI336" s="6" t="str">
        <f>IF(最佳化斷筋點!K336="","",最佳化斷筋點!K336)</f>
        <v/>
      </c>
      <c r="AJ336" s="6" t="str">
        <f>IF(最佳化斷筋點!L336="","",最佳化斷筋點!L336)</f>
        <v/>
      </c>
      <c r="AK336" s="6" t="str">
        <f>IF(最佳化斷筋點!M336="","",最佳化斷筋點!M336)</f>
        <v/>
      </c>
      <c r="AL336" s="6" t="str">
        <f>IF(最佳化斷筋點!N336="","",最佳化斷筋點!N336)</f>
        <v/>
      </c>
      <c r="AM336" s="6" t="str">
        <f>IF(最佳化斷筋點!O336="","",最佳化斷筋點!O336)</f>
        <v/>
      </c>
      <c r="AN336" s="6" t="str">
        <f>IF(最佳化斷筋點!P336="","",最佳化斷筋點!P336)</f>
        <v/>
      </c>
      <c r="AO336" s="6" t="str">
        <f>IF(最佳化斷筋點!Q336="","",最佳化斷筋點!Q336)</f>
        <v/>
      </c>
      <c r="AP336" s="6" t="str">
        <f>IF(最佳化斷筋點!R336="","",最佳化斷筋點!R336)</f>
        <v/>
      </c>
      <c r="AQ336" s="6" t="str">
        <f>IF(最佳化斷筋點!S336="","",最佳化斷筋點!S336)</f>
        <v/>
      </c>
      <c r="AR336" s="6" t="str">
        <f>IF(最佳化斷筋點!T336="","",最佳化斷筋點!T336)</f>
        <v/>
      </c>
      <c r="AS336" s="6" t="str">
        <f>IF(最佳化斷筋點!U336="","",最佳化斷筋點!U336)</f>
        <v/>
      </c>
      <c r="AT336" s="6" t="str">
        <f>IF(最佳化斷筋點!V336="","",最佳化斷筋點!V336)</f>
        <v/>
      </c>
      <c r="AU336" s="6" t="str">
        <f>IF(最佳化斷筋點!W336="","",最佳化斷筋點!W336)</f>
        <v/>
      </c>
      <c r="AV336" s="6" t="str">
        <f>IF(最佳化斷筋點!X336="","",最佳化斷筋點!X336)</f>
        <v/>
      </c>
    </row>
    <row r="337" spans="4:71" x14ac:dyDescent="0.25">
      <c r="D337" s="6" t="s">
        <v>51</v>
      </c>
      <c r="E337" s="6">
        <f t="shared" si="106"/>
        <v>0</v>
      </c>
      <c r="F337" s="6">
        <f t="shared" si="107"/>
        <v>0</v>
      </c>
      <c r="G337" s="6">
        <f t="shared" si="108"/>
        <v>0</v>
      </c>
      <c r="H337" s="6">
        <f t="shared" si="109"/>
        <v>0</v>
      </c>
      <c r="I337" s="6">
        <f t="shared" si="110"/>
        <v>0</v>
      </c>
      <c r="J337" s="6">
        <f t="shared" si="111"/>
        <v>0</v>
      </c>
      <c r="K337" s="6">
        <f t="shared" si="112"/>
        <v>0</v>
      </c>
      <c r="L337" s="6">
        <f t="shared" si="113"/>
        <v>0</v>
      </c>
      <c r="M337" s="6">
        <f t="shared" si="114"/>
        <v>0</v>
      </c>
      <c r="N337" s="6">
        <f t="shared" si="115"/>
        <v>0</v>
      </c>
      <c r="O337" s="6">
        <f t="shared" si="116"/>
        <v>0</v>
      </c>
      <c r="P337" s="6">
        <f t="shared" si="117"/>
        <v>0</v>
      </c>
      <c r="Q337" s="6">
        <f t="shared" si="118"/>
        <v>0</v>
      </c>
      <c r="R337" s="6">
        <f t="shared" si="119"/>
        <v>0</v>
      </c>
      <c r="S337" s="6">
        <f t="shared" si="120"/>
        <v>0</v>
      </c>
      <c r="T337" s="6">
        <f t="shared" si="121"/>
        <v>0</v>
      </c>
      <c r="U337" s="6">
        <f t="shared" si="122"/>
        <v>0</v>
      </c>
      <c r="V337" s="6">
        <f t="shared" si="123"/>
        <v>0</v>
      </c>
      <c r="W337" s="6">
        <f t="shared" si="124"/>
        <v>0</v>
      </c>
      <c r="X337" s="6">
        <f t="shared" si="125"/>
        <v>0</v>
      </c>
      <c r="Y337" s="6">
        <f t="shared" si="126"/>
        <v>0</v>
      </c>
      <c r="AA337" s="6" t="str">
        <f>IF(最佳化斷筋點!C337="","",最佳化斷筋點!C337)</f>
        <v>下層</v>
      </c>
      <c r="AB337" s="6">
        <f>IF(最佳化斷筋點!D337="","",最佳化斷筋點!D337)</f>
        <v>12</v>
      </c>
      <c r="AC337" s="6">
        <f>IF(最佳化斷筋點!E337="","",最佳化斷筋點!E337)</f>
        <v>11</v>
      </c>
      <c r="AD337" s="6">
        <f>IF(最佳化斷筋點!F337="","",最佳化斷筋點!F337)</f>
        <v>10</v>
      </c>
      <c r="AE337" s="6">
        <f>IF(最佳化斷筋點!G337="","",最佳化斷筋點!G337)</f>
        <v>9</v>
      </c>
      <c r="AF337" s="6">
        <f>IF(最佳化斷筋點!H337="","",最佳化斷筋點!H337)</f>
        <v>9</v>
      </c>
      <c r="AG337" s="6">
        <f>IF(最佳化斷筋點!I337="","",最佳化斷筋點!I337)</f>
        <v>11</v>
      </c>
      <c r="AH337" s="6">
        <f>IF(最佳化斷筋點!J337="","",最佳化斷筋點!J337)</f>
        <v>12</v>
      </c>
      <c r="AI337" s="6">
        <f>IF(最佳化斷筋點!K337="","",最佳化斷筋點!K337)</f>
        <v>13</v>
      </c>
      <c r="AJ337" s="6">
        <f>IF(最佳化斷筋點!L337="","",最佳化斷筋點!L337)</f>
        <v>14</v>
      </c>
      <c r="AK337" s="6">
        <f>IF(最佳化斷筋點!M337="","",最佳化斷筋點!M337)</f>
        <v>14</v>
      </c>
      <c r="AL337" s="6">
        <f>IF(最佳化斷筋點!N337="","",最佳化斷筋點!N337)</f>
        <v>14</v>
      </c>
      <c r="AM337" s="6">
        <f>IF(最佳化斷筋點!O337="","",最佳化斷筋點!O337)</f>
        <v>14</v>
      </c>
      <c r="AN337" s="6">
        <f>IF(最佳化斷筋點!P337="","",最佳化斷筋點!P337)</f>
        <v>14</v>
      </c>
      <c r="AO337" s="6">
        <f>IF(最佳化斷筋點!Q337="","",最佳化斷筋點!Q337)</f>
        <v>13</v>
      </c>
      <c r="AP337" s="6">
        <f>IF(最佳化斷筋點!R337="","",最佳化斷筋點!R337)</f>
        <v>12</v>
      </c>
      <c r="AQ337" s="6">
        <f>IF(最佳化斷筋點!S337="","",最佳化斷筋點!S337)</f>
        <v>11</v>
      </c>
      <c r="AR337" s="6">
        <f>IF(最佳化斷筋點!T337="","",最佳化斷筋點!T337)</f>
        <v>9</v>
      </c>
      <c r="AS337" s="6">
        <f>IF(最佳化斷筋點!U337="","",最佳化斷筋點!U337)</f>
        <v>9</v>
      </c>
      <c r="AT337" s="6">
        <f>IF(最佳化斷筋點!V337="","",最佳化斷筋點!V337)</f>
        <v>10</v>
      </c>
      <c r="AU337" s="6">
        <f>IF(最佳化斷筋點!W337="","",最佳化斷筋點!W337)</f>
        <v>11</v>
      </c>
      <c r="AV337" s="6">
        <f>IF(最佳化斷筋點!X337="","",最佳化斷筋點!X337)</f>
        <v>12</v>
      </c>
      <c r="AX337" s="6" t="s">
        <v>51</v>
      </c>
      <c r="AY337" s="6">
        <v>12</v>
      </c>
      <c r="AZ337" s="6">
        <v>11</v>
      </c>
      <c r="BA337" s="6">
        <v>10</v>
      </c>
      <c r="BB337" s="6">
        <v>9</v>
      </c>
      <c r="BC337" s="6">
        <v>9</v>
      </c>
      <c r="BD337" s="6">
        <v>11</v>
      </c>
      <c r="BE337" s="6">
        <v>12</v>
      </c>
      <c r="BF337" s="6">
        <v>13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13</v>
      </c>
      <c r="BM337" s="6">
        <v>12</v>
      </c>
      <c r="BN337" s="6">
        <v>11</v>
      </c>
      <c r="BO337" s="6">
        <v>9</v>
      </c>
      <c r="BP337" s="6">
        <v>9</v>
      </c>
      <c r="BQ337" s="6">
        <v>10</v>
      </c>
      <c r="BR337" s="6">
        <v>11</v>
      </c>
      <c r="BS337" s="6">
        <v>12</v>
      </c>
    </row>
    <row r="338" spans="4:71" x14ac:dyDescent="0.25">
      <c r="E338" s="6">
        <f t="shared" si="106"/>
        <v>0</v>
      </c>
      <c r="F338" s="6">
        <f t="shared" si="107"/>
        <v>0</v>
      </c>
      <c r="G338" s="6">
        <f t="shared" si="108"/>
        <v>0</v>
      </c>
      <c r="H338" s="6">
        <f t="shared" si="109"/>
        <v>0</v>
      </c>
      <c r="I338" s="6">
        <f t="shared" si="110"/>
        <v>0</v>
      </c>
      <c r="J338" s="6">
        <f t="shared" si="111"/>
        <v>0</v>
      </c>
      <c r="K338" s="6">
        <f t="shared" si="112"/>
        <v>0</v>
      </c>
      <c r="L338" s="6">
        <f t="shared" si="113"/>
        <v>0</v>
      </c>
      <c r="M338" s="6">
        <f t="shared" si="114"/>
        <v>0</v>
      </c>
      <c r="N338" s="6">
        <f t="shared" si="115"/>
        <v>0</v>
      </c>
      <c r="O338" s="6">
        <f t="shared" si="116"/>
        <v>0</v>
      </c>
      <c r="P338" s="6">
        <f t="shared" si="117"/>
        <v>0</v>
      </c>
      <c r="Q338" s="6">
        <f t="shared" si="118"/>
        <v>0</v>
      </c>
      <c r="R338" s="6">
        <f t="shared" si="119"/>
        <v>0</v>
      </c>
      <c r="S338" s="6">
        <f t="shared" si="120"/>
        <v>0</v>
      </c>
      <c r="T338" s="6">
        <f t="shared" si="121"/>
        <v>0</v>
      </c>
      <c r="U338" s="6">
        <f t="shared" si="122"/>
        <v>0</v>
      </c>
      <c r="V338" s="6">
        <f t="shared" si="123"/>
        <v>0</v>
      </c>
      <c r="W338" s="6">
        <f t="shared" si="124"/>
        <v>0</v>
      </c>
      <c r="X338" s="6">
        <f t="shared" si="125"/>
        <v>0</v>
      </c>
      <c r="Y338" s="6">
        <f t="shared" si="126"/>
        <v>0</v>
      </c>
      <c r="AA338" s="6" t="str">
        <f>IF(最佳化斷筋點!C338="","",最佳化斷筋點!C338)</f>
        <v/>
      </c>
      <c r="AB338" s="6" t="str">
        <f>IF(最佳化斷筋點!D338="","",最佳化斷筋點!D338)</f>
        <v/>
      </c>
      <c r="AC338" s="6" t="str">
        <f>IF(最佳化斷筋點!E338="","",最佳化斷筋點!E338)</f>
        <v/>
      </c>
      <c r="AD338" s="6" t="str">
        <f>IF(最佳化斷筋點!F338="","",最佳化斷筋點!F338)</f>
        <v/>
      </c>
      <c r="AE338" s="6" t="str">
        <f>IF(最佳化斷筋點!G338="","",最佳化斷筋點!G338)</f>
        <v/>
      </c>
      <c r="AF338" s="6" t="str">
        <f>IF(最佳化斷筋點!H338="","",最佳化斷筋點!H338)</f>
        <v/>
      </c>
      <c r="AG338" s="6" t="str">
        <f>IF(最佳化斷筋點!I338="","",最佳化斷筋點!I338)</f>
        <v/>
      </c>
      <c r="AH338" s="6" t="str">
        <f>IF(最佳化斷筋點!J338="","",最佳化斷筋點!J338)</f>
        <v/>
      </c>
      <c r="AI338" s="6" t="str">
        <f>IF(最佳化斷筋點!K338="","",最佳化斷筋點!K338)</f>
        <v/>
      </c>
      <c r="AJ338" s="6" t="str">
        <f>IF(最佳化斷筋點!L338="","",最佳化斷筋點!L338)</f>
        <v/>
      </c>
      <c r="AK338" s="6" t="str">
        <f>IF(最佳化斷筋點!M338="","",最佳化斷筋點!M338)</f>
        <v/>
      </c>
      <c r="AL338" s="6" t="str">
        <f>IF(最佳化斷筋點!N338="","",最佳化斷筋點!N338)</f>
        <v/>
      </c>
      <c r="AM338" s="6" t="str">
        <f>IF(最佳化斷筋點!O338="","",最佳化斷筋點!O338)</f>
        <v/>
      </c>
      <c r="AN338" s="6" t="str">
        <f>IF(最佳化斷筋點!P338="","",最佳化斷筋點!P338)</f>
        <v/>
      </c>
      <c r="AO338" s="6" t="str">
        <f>IF(最佳化斷筋點!Q338="","",最佳化斷筋點!Q338)</f>
        <v/>
      </c>
      <c r="AP338" s="6" t="str">
        <f>IF(最佳化斷筋點!R338="","",最佳化斷筋點!R338)</f>
        <v/>
      </c>
      <c r="AQ338" s="6" t="str">
        <f>IF(最佳化斷筋點!S338="","",最佳化斷筋點!S338)</f>
        <v/>
      </c>
      <c r="AR338" s="6" t="str">
        <f>IF(最佳化斷筋點!T338="","",最佳化斷筋點!T338)</f>
        <v/>
      </c>
      <c r="AS338" s="6" t="str">
        <f>IF(最佳化斷筋點!U338="","",最佳化斷筋點!U338)</f>
        <v/>
      </c>
      <c r="AT338" s="6" t="str">
        <f>IF(最佳化斷筋點!V338="","",最佳化斷筋點!V338)</f>
        <v/>
      </c>
      <c r="AU338" s="6" t="str">
        <f>IF(最佳化斷筋點!W338="","",最佳化斷筋點!W338)</f>
        <v/>
      </c>
      <c r="AV338" s="6" t="str">
        <f>IF(最佳化斷筋點!X338="","",最佳化斷筋點!X338)</f>
        <v/>
      </c>
    </row>
    <row r="339" spans="4:71" x14ac:dyDescent="0.25">
      <c r="D339" s="6" t="s">
        <v>50</v>
      </c>
      <c r="E339" s="6">
        <f t="shared" si="106"/>
        <v>0</v>
      </c>
      <c r="F339" s="6">
        <f t="shared" si="107"/>
        <v>0</v>
      </c>
      <c r="G339" s="6">
        <f t="shared" si="108"/>
        <v>0</v>
      </c>
      <c r="H339" s="6">
        <f t="shared" si="109"/>
        <v>0</v>
      </c>
      <c r="I339" s="6">
        <f t="shared" si="110"/>
        <v>0</v>
      </c>
      <c r="J339" s="6">
        <f t="shared" si="111"/>
        <v>0</v>
      </c>
      <c r="K339" s="6">
        <f t="shared" si="112"/>
        <v>0</v>
      </c>
      <c r="L339" s="6">
        <f t="shared" si="113"/>
        <v>0</v>
      </c>
      <c r="M339" s="6">
        <f t="shared" si="114"/>
        <v>0</v>
      </c>
      <c r="N339" s="6">
        <f t="shared" si="115"/>
        <v>0</v>
      </c>
      <c r="O339" s="6">
        <f t="shared" si="116"/>
        <v>0</v>
      </c>
      <c r="P339" s="6">
        <f t="shared" si="117"/>
        <v>0</v>
      </c>
      <c r="Q339" s="6">
        <f t="shared" si="118"/>
        <v>0</v>
      </c>
      <c r="R339" s="6">
        <f t="shared" si="119"/>
        <v>0</v>
      </c>
      <c r="S339" s="6">
        <f t="shared" si="120"/>
        <v>0</v>
      </c>
      <c r="T339" s="6">
        <f t="shared" si="121"/>
        <v>0</v>
      </c>
      <c r="U339" s="6">
        <f t="shared" si="122"/>
        <v>0</v>
      </c>
      <c r="V339" s="6">
        <f t="shared" si="123"/>
        <v>0</v>
      </c>
      <c r="W339" s="6">
        <f t="shared" si="124"/>
        <v>0</v>
      </c>
      <c r="X339" s="6">
        <f t="shared" si="125"/>
        <v>0</v>
      </c>
      <c r="Y339" s="6">
        <f t="shared" si="126"/>
        <v>0</v>
      </c>
      <c r="AA339" s="6" t="str">
        <f>IF(最佳化斷筋點!C339="","",最佳化斷筋點!C339)</f>
        <v>上層</v>
      </c>
      <c r="AB339" s="6">
        <f>IF(最佳化斷筋點!D339="","",最佳化斷筋點!D339)</f>
        <v>12</v>
      </c>
      <c r="AC339" s="6">
        <f>IF(最佳化斷筋點!E339="","",最佳化斷筋點!E339)</f>
        <v>11</v>
      </c>
      <c r="AD339" s="6">
        <f>IF(最佳化斷筋點!F339="","",最佳化斷筋點!F339)</f>
        <v>10</v>
      </c>
      <c r="AE339" s="6">
        <f>IF(最佳化斷筋點!G339="","",最佳化斷筋點!G339)</f>
        <v>9</v>
      </c>
      <c r="AF339" s="6">
        <f>IF(最佳化斷筋點!H339="","",最佳化斷筋點!H339)</f>
        <v>8</v>
      </c>
      <c r="AG339" s="6">
        <f>IF(最佳化斷筋點!I339="","",最佳化斷筋點!I339)</f>
        <v>7</v>
      </c>
      <c r="AH339" s="6">
        <f>IF(最佳化斷筋點!J339="","",最佳化斷筋點!J339)</f>
        <v>5</v>
      </c>
      <c r="AI339" s="6">
        <f>IF(最佳化斷筋點!K339="","",最佳化斷筋點!K339)</f>
        <v>4</v>
      </c>
      <c r="AJ339" s="6">
        <f>IF(最佳化斷筋點!L339="","",最佳化斷筋點!L339)</f>
        <v>3</v>
      </c>
      <c r="AK339" s="6">
        <f>IF(最佳化斷筋點!M339="","",最佳化斷筋點!M339)</f>
        <v>2</v>
      </c>
      <c r="AL339" s="6">
        <f>IF(最佳化斷筋點!N339="","",最佳化斷筋點!N339)</f>
        <v>2</v>
      </c>
      <c r="AM339" s="6">
        <f>IF(最佳化斷筋點!O339="","",最佳化斷筋點!O339)</f>
        <v>2</v>
      </c>
      <c r="AN339" s="6">
        <f>IF(最佳化斷筋點!P339="","",最佳化斷筋點!P339)</f>
        <v>3</v>
      </c>
      <c r="AO339" s="6">
        <f>IF(最佳化斷筋點!Q339="","",最佳化斷筋點!Q339)</f>
        <v>4</v>
      </c>
      <c r="AP339" s="6">
        <f>IF(最佳化斷筋點!R339="","",最佳化斷筋點!R339)</f>
        <v>5</v>
      </c>
      <c r="AQ339" s="6">
        <f>IF(最佳化斷筋點!S339="","",最佳化斷筋點!S339)</f>
        <v>6</v>
      </c>
      <c r="AR339" s="6">
        <f>IF(最佳化斷筋點!T339="","",最佳化斷筋點!T339)</f>
        <v>8</v>
      </c>
      <c r="AS339" s="6">
        <f>IF(最佳化斷筋點!U339="","",最佳化斷筋點!U339)</f>
        <v>9</v>
      </c>
      <c r="AT339" s="6">
        <f>IF(最佳化斷筋點!V339="","",最佳化斷筋點!V339)</f>
        <v>10</v>
      </c>
      <c r="AU339" s="6">
        <f>IF(最佳化斷筋點!W339="","",最佳化斷筋點!W339)</f>
        <v>11</v>
      </c>
      <c r="AV339" s="6">
        <f>IF(最佳化斷筋點!X339="","",最佳化斷筋點!X339)</f>
        <v>12</v>
      </c>
      <c r="AX339" s="6" t="s">
        <v>50</v>
      </c>
      <c r="AY339" s="6">
        <v>12</v>
      </c>
      <c r="AZ339" s="6">
        <v>11</v>
      </c>
      <c r="BA339" s="6">
        <v>10</v>
      </c>
      <c r="BB339" s="6">
        <v>9</v>
      </c>
      <c r="BC339" s="6">
        <v>8</v>
      </c>
      <c r="BD339" s="6">
        <v>7</v>
      </c>
      <c r="BE339" s="6">
        <v>5</v>
      </c>
      <c r="BF339" s="6">
        <v>4</v>
      </c>
      <c r="BG339" s="6">
        <v>3</v>
      </c>
      <c r="BH339" s="6">
        <v>2</v>
      </c>
      <c r="BI339" s="6">
        <v>2</v>
      </c>
      <c r="BJ339" s="6">
        <v>2</v>
      </c>
      <c r="BK339" s="6">
        <v>3</v>
      </c>
      <c r="BL339" s="6">
        <v>4</v>
      </c>
      <c r="BM339" s="6">
        <v>5</v>
      </c>
      <c r="BN339" s="6">
        <v>6</v>
      </c>
      <c r="BO339" s="6">
        <v>8</v>
      </c>
      <c r="BP339" s="6">
        <v>9</v>
      </c>
      <c r="BQ339" s="6">
        <v>10</v>
      </c>
      <c r="BR339" s="6">
        <v>11</v>
      </c>
      <c r="BS339" s="6">
        <v>12</v>
      </c>
    </row>
    <row r="340" spans="4:71" x14ac:dyDescent="0.25">
      <c r="E340" s="6">
        <f t="shared" si="106"/>
        <v>0</v>
      </c>
      <c r="F340" s="6">
        <f t="shared" si="107"/>
        <v>0</v>
      </c>
      <c r="G340" s="6">
        <f t="shared" si="108"/>
        <v>0</v>
      </c>
      <c r="H340" s="6">
        <f t="shared" si="109"/>
        <v>0</v>
      </c>
      <c r="I340" s="6">
        <f t="shared" si="110"/>
        <v>0</v>
      </c>
      <c r="J340" s="6">
        <f t="shared" si="111"/>
        <v>0</v>
      </c>
      <c r="K340" s="6">
        <f t="shared" si="112"/>
        <v>0</v>
      </c>
      <c r="L340" s="6">
        <f t="shared" si="113"/>
        <v>0</v>
      </c>
      <c r="M340" s="6">
        <f t="shared" si="114"/>
        <v>0</v>
      </c>
      <c r="N340" s="6">
        <f t="shared" si="115"/>
        <v>0</v>
      </c>
      <c r="O340" s="6">
        <f t="shared" si="116"/>
        <v>0</v>
      </c>
      <c r="P340" s="6">
        <f t="shared" si="117"/>
        <v>0</v>
      </c>
      <c r="Q340" s="6">
        <f t="shared" si="118"/>
        <v>0</v>
      </c>
      <c r="R340" s="6">
        <f t="shared" si="119"/>
        <v>0</v>
      </c>
      <c r="S340" s="6">
        <f t="shared" si="120"/>
        <v>0</v>
      </c>
      <c r="T340" s="6">
        <f t="shared" si="121"/>
        <v>0</v>
      </c>
      <c r="U340" s="6">
        <f t="shared" si="122"/>
        <v>0</v>
      </c>
      <c r="V340" s="6">
        <f t="shared" si="123"/>
        <v>0</v>
      </c>
      <c r="W340" s="6">
        <f t="shared" si="124"/>
        <v>0</v>
      </c>
      <c r="X340" s="6">
        <f t="shared" si="125"/>
        <v>0</v>
      </c>
      <c r="Y340" s="6">
        <f t="shared" si="126"/>
        <v>0</v>
      </c>
      <c r="AA340" s="6" t="str">
        <f>IF(最佳化斷筋點!C340="","",最佳化斷筋點!C340)</f>
        <v/>
      </c>
      <c r="AB340" s="6" t="str">
        <f>IF(最佳化斷筋點!D340="","",最佳化斷筋點!D340)</f>
        <v/>
      </c>
      <c r="AC340" s="6" t="str">
        <f>IF(最佳化斷筋點!E340="","",最佳化斷筋點!E340)</f>
        <v/>
      </c>
      <c r="AD340" s="6" t="str">
        <f>IF(最佳化斷筋點!F340="","",最佳化斷筋點!F340)</f>
        <v/>
      </c>
      <c r="AE340" s="6" t="str">
        <f>IF(最佳化斷筋點!G340="","",最佳化斷筋點!G340)</f>
        <v/>
      </c>
      <c r="AF340" s="6" t="str">
        <f>IF(最佳化斷筋點!H340="","",最佳化斷筋點!H340)</f>
        <v/>
      </c>
      <c r="AG340" s="6" t="str">
        <f>IF(最佳化斷筋點!I340="","",最佳化斷筋點!I340)</f>
        <v/>
      </c>
      <c r="AH340" s="6" t="str">
        <f>IF(最佳化斷筋點!J340="","",最佳化斷筋點!J340)</f>
        <v/>
      </c>
      <c r="AI340" s="6" t="str">
        <f>IF(最佳化斷筋點!K340="","",最佳化斷筋點!K340)</f>
        <v/>
      </c>
      <c r="AJ340" s="6" t="str">
        <f>IF(最佳化斷筋點!L340="","",最佳化斷筋點!L340)</f>
        <v/>
      </c>
      <c r="AK340" s="6" t="str">
        <f>IF(最佳化斷筋點!M340="","",最佳化斷筋點!M340)</f>
        <v/>
      </c>
      <c r="AL340" s="6" t="str">
        <f>IF(最佳化斷筋點!N340="","",最佳化斷筋點!N340)</f>
        <v/>
      </c>
      <c r="AM340" s="6" t="str">
        <f>IF(最佳化斷筋點!O340="","",最佳化斷筋點!O340)</f>
        <v/>
      </c>
      <c r="AN340" s="6" t="str">
        <f>IF(最佳化斷筋點!P340="","",最佳化斷筋點!P340)</f>
        <v/>
      </c>
      <c r="AO340" s="6" t="str">
        <f>IF(最佳化斷筋點!Q340="","",最佳化斷筋點!Q340)</f>
        <v/>
      </c>
      <c r="AP340" s="6" t="str">
        <f>IF(最佳化斷筋點!R340="","",最佳化斷筋點!R340)</f>
        <v/>
      </c>
      <c r="AQ340" s="6" t="str">
        <f>IF(最佳化斷筋點!S340="","",最佳化斷筋點!S340)</f>
        <v/>
      </c>
      <c r="AR340" s="6" t="str">
        <f>IF(最佳化斷筋點!T340="","",最佳化斷筋點!T340)</f>
        <v/>
      </c>
      <c r="AS340" s="6" t="str">
        <f>IF(最佳化斷筋點!U340="","",最佳化斷筋點!U340)</f>
        <v/>
      </c>
      <c r="AT340" s="6" t="str">
        <f>IF(最佳化斷筋點!V340="","",最佳化斷筋點!V340)</f>
        <v/>
      </c>
      <c r="AU340" s="6" t="str">
        <f>IF(最佳化斷筋點!W340="","",最佳化斷筋點!W340)</f>
        <v/>
      </c>
      <c r="AV340" s="6" t="str">
        <f>IF(最佳化斷筋點!X340="","",最佳化斷筋點!X340)</f>
        <v/>
      </c>
    </row>
    <row r="341" spans="4:71" x14ac:dyDescent="0.25">
      <c r="D341" s="6" t="s">
        <v>51</v>
      </c>
      <c r="E341" s="6">
        <f t="shared" si="106"/>
        <v>0</v>
      </c>
      <c r="F341" s="6">
        <f t="shared" si="107"/>
        <v>0</v>
      </c>
      <c r="G341" s="6">
        <f t="shared" si="108"/>
        <v>0</v>
      </c>
      <c r="H341" s="6">
        <f t="shared" si="109"/>
        <v>0</v>
      </c>
      <c r="I341" s="6">
        <f t="shared" si="110"/>
        <v>0</v>
      </c>
      <c r="J341" s="6">
        <f t="shared" si="111"/>
        <v>0</v>
      </c>
      <c r="K341" s="6">
        <f t="shared" si="112"/>
        <v>0</v>
      </c>
      <c r="L341" s="6">
        <f t="shared" si="113"/>
        <v>0</v>
      </c>
      <c r="M341" s="6">
        <f t="shared" si="114"/>
        <v>0</v>
      </c>
      <c r="N341" s="6">
        <f t="shared" si="115"/>
        <v>0</v>
      </c>
      <c r="O341" s="6">
        <f t="shared" si="116"/>
        <v>0</v>
      </c>
      <c r="P341" s="6">
        <f t="shared" si="117"/>
        <v>0</v>
      </c>
      <c r="Q341" s="6">
        <f t="shared" si="118"/>
        <v>0</v>
      </c>
      <c r="R341" s="6">
        <f t="shared" si="119"/>
        <v>0</v>
      </c>
      <c r="S341" s="6">
        <f t="shared" si="120"/>
        <v>0</v>
      </c>
      <c r="T341" s="6">
        <f t="shared" si="121"/>
        <v>0</v>
      </c>
      <c r="U341" s="6">
        <f t="shared" si="122"/>
        <v>0</v>
      </c>
      <c r="V341" s="6">
        <f t="shared" si="123"/>
        <v>0</v>
      </c>
      <c r="W341" s="6">
        <f t="shared" si="124"/>
        <v>0</v>
      </c>
      <c r="X341" s="6">
        <f t="shared" si="125"/>
        <v>0</v>
      </c>
      <c r="Y341" s="6">
        <f t="shared" si="126"/>
        <v>0</v>
      </c>
      <c r="AA341" s="6" t="str">
        <f>IF(最佳化斷筋點!C341="","",最佳化斷筋點!C341)</f>
        <v>下層</v>
      </c>
      <c r="AB341" s="6">
        <f>IF(最佳化斷筋點!D341="","",最佳化斷筋點!D341)</f>
        <v>12</v>
      </c>
      <c r="AC341" s="6">
        <f>IF(最佳化斷筋點!E341="","",最佳化斷筋點!E341)</f>
        <v>11</v>
      </c>
      <c r="AD341" s="6">
        <f>IF(最佳化斷筋點!F341="","",最佳化斷筋點!F341)</f>
        <v>10</v>
      </c>
      <c r="AE341" s="6">
        <f>IF(最佳化斷筋點!G341="","",最佳化斷筋點!G341)</f>
        <v>9</v>
      </c>
      <c r="AF341" s="6">
        <f>IF(最佳化斷筋點!H341="","",最佳化斷筋點!H341)</f>
        <v>9</v>
      </c>
      <c r="AG341" s="6">
        <f>IF(最佳化斷筋點!I341="","",最佳化斷筋點!I341)</f>
        <v>11</v>
      </c>
      <c r="AH341" s="6">
        <f>IF(最佳化斷筋點!J341="","",最佳化斷筋點!J341)</f>
        <v>12</v>
      </c>
      <c r="AI341" s="6">
        <f>IF(最佳化斷筋點!K341="","",最佳化斷筋點!K341)</f>
        <v>13</v>
      </c>
      <c r="AJ341" s="6">
        <f>IF(最佳化斷筋點!L341="","",最佳化斷筋點!L341)</f>
        <v>14</v>
      </c>
      <c r="AK341" s="6">
        <f>IF(最佳化斷筋點!M341="","",最佳化斷筋點!M341)</f>
        <v>14</v>
      </c>
      <c r="AL341" s="6">
        <f>IF(最佳化斷筋點!N341="","",最佳化斷筋點!N341)</f>
        <v>14</v>
      </c>
      <c r="AM341" s="6">
        <f>IF(最佳化斷筋點!O341="","",最佳化斷筋點!O341)</f>
        <v>14</v>
      </c>
      <c r="AN341" s="6">
        <f>IF(最佳化斷筋點!P341="","",最佳化斷筋點!P341)</f>
        <v>14</v>
      </c>
      <c r="AO341" s="6">
        <f>IF(最佳化斷筋點!Q341="","",最佳化斷筋點!Q341)</f>
        <v>13</v>
      </c>
      <c r="AP341" s="6">
        <f>IF(最佳化斷筋點!R341="","",最佳化斷筋點!R341)</f>
        <v>12</v>
      </c>
      <c r="AQ341" s="6">
        <f>IF(最佳化斷筋點!S341="","",最佳化斷筋點!S341)</f>
        <v>11</v>
      </c>
      <c r="AR341" s="6">
        <f>IF(最佳化斷筋點!T341="","",最佳化斷筋點!T341)</f>
        <v>9</v>
      </c>
      <c r="AS341" s="6">
        <f>IF(最佳化斷筋點!U341="","",最佳化斷筋點!U341)</f>
        <v>9</v>
      </c>
      <c r="AT341" s="6">
        <f>IF(最佳化斷筋點!V341="","",最佳化斷筋點!V341)</f>
        <v>10</v>
      </c>
      <c r="AU341" s="6">
        <f>IF(最佳化斷筋點!W341="","",最佳化斷筋點!W341)</f>
        <v>11</v>
      </c>
      <c r="AV341" s="6">
        <f>IF(最佳化斷筋點!X341="","",最佳化斷筋點!X341)</f>
        <v>12</v>
      </c>
      <c r="AX341" s="6" t="s">
        <v>51</v>
      </c>
      <c r="AY341" s="6">
        <v>12</v>
      </c>
      <c r="AZ341" s="6">
        <v>11</v>
      </c>
      <c r="BA341" s="6">
        <v>10</v>
      </c>
      <c r="BB341" s="6">
        <v>9</v>
      </c>
      <c r="BC341" s="6">
        <v>9</v>
      </c>
      <c r="BD341" s="6">
        <v>11</v>
      </c>
      <c r="BE341" s="6">
        <v>12</v>
      </c>
      <c r="BF341" s="6">
        <v>13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13</v>
      </c>
      <c r="BM341" s="6">
        <v>12</v>
      </c>
      <c r="BN341" s="6">
        <v>11</v>
      </c>
      <c r="BO341" s="6">
        <v>9</v>
      </c>
      <c r="BP341" s="6">
        <v>9</v>
      </c>
      <c r="BQ341" s="6">
        <v>10</v>
      </c>
      <c r="BR341" s="6">
        <v>11</v>
      </c>
      <c r="BS341" s="6">
        <v>12</v>
      </c>
    </row>
    <row r="342" spans="4:71" x14ac:dyDescent="0.25">
      <c r="E342" s="6">
        <f t="shared" si="106"/>
        <v>0</v>
      </c>
      <c r="F342" s="6">
        <f t="shared" si="107"/>
        <v>0</v>
      </c>
      <c r="G342" s="6">
        <f t="shared" si="108"/>
        <v>0</v>
      </c>
      <c r="H342" s="6">
        <f t="shared" si="109"/>
        <v>0</v>
      </c>
      <c r="I342" s="6">
        <f t="shared" si="110"/>
        <v>0</v>
      </c>
      <c r="J342" s="6">
        <f t="shared" si="111"/>
        <v>0</v>
      </c>
      <c r="K342" s="6">
        <f t="shared" si="112"/>
        <v>0</v>
      </c>
      <c r="L342" s="6">
        <f t="shared" si="113"/>
        <v>0</v>
      </c>
      <c r="M342" s="6">
        <f t="shared" si="114"/>
        <v>0</v>
      </c>
      <c r="N342" s="6">
        <f t="shared" si="115"/>
        <v>0</v>
      </c>
      <c r="O342" s="6">
        <f t="shared" si="116"/>
        <v>0</v>
      </c>
      <c r="P342" s="6">
        <f t="shared" si="117"/>
        <v>0</v>
      </c>
      <c r="Q342" s="6">
        <f t="shared" si="118"/>
        <v>0</v>
      </c>
      <c r="R342" s="6">
        <f t="shared" si="119"/>
        <v>0</v>
      </c>
      <c r="S342" s="6">
        <f t="shared" si="120"/>
        <v>0</v>
      </c>
      <c r="T342" s="6">
        <f t="shared" si="121"/>
        <v>0</v>
      </c>
      <c r="U342" s="6">
        <f t="shared" si="122"/>
        <v>0</v>
      </c>
      <c r="V342" s="6">
        <f t="shared" si="123"/>
        <v>0</v>
      </c>
      <c r="W342" s="6">
        <f t="shared" si="124"/>
        <v>0</v>
      </c>
      <c r="X342" s="6">
        <f t="shared" si="125"/>
        <v>0</v>
      </c>
      <c r="Y342" s="6">
        <f t="shared" si="126"/>
        <v>0</v>
      </c>
      <c r="AA342" s="6" t="str">
        <f>IF(最佳化斷筋點!C342="","",最佳化斷筋點!C342)</f>
        <v/>
      </c>
      <c r="AB342" s="6" t="str">
        <f>IF(最佳化斷筋點!D342="","",最佳化斷筋點!D342)</f>
        <v/>
      </c>
      <c r="AC342" s="6" t="str">
        <f>IF(最佳化斷筋點!E342="","",最佳化斷筋點!E342)</f>
        <v/>
      </c>
      <c r="AD342" s="6" t="str">
        <f>IF(最佳化斷筋點!F342="","",最佳化斷筋點!F342)</f>
        <v/>
      </c>
      <c r="AE342" s="6" t="str">
        <f>IF(最佳化斷筋點!G342="","",最佳化斷筋點!G342)</f>
        <v/>
      </c>
      <c r="AF342" s="6" t="str">
        <f>IF(最佳化斷筋點!H342="","",最佳化斷筋點!H342)</f>
        <v/>
      </c>
      <c r="AG342" s="6" t="str">
        <f>IF(最佳化斷筋點!I342="","",最佳化斷筋點!I342)</f>
        <v/>
      </c>
      <c r="AH342" s="6" t="str">
        <f>IF(最佳化斷筋點!J342="","",最佳化斷筋點!J342)</f>
        <v/>
      </c>
      <c r="AI342" s="6" t="str">
        <f>IF(最佳化斷筋點!K342="","",最佳化斷筋點!K342)</f>
        <v/>
      </c>
      <c r="AJ342" s="6" t="str">
        <f>IF(最佳化斷筋點!L342="","",最佳化斷筋點!L342)</f>
        <v/>
      </c>
      <c r="AK342" s="6" t="str">
        <f>IF(最佳化斷筋點!M342="","",最佳化斷筋點!M342)</f>
        <v/>
      </c>
      <c r="AL342" s="6" t="str">
        <f>IF(最佳化斷筋點!N342="","",最佳化斷筋點!N342)</f>
        <v/>
      </c>
      <c r="AM342" s="6" t="str">
        <f>IF(最佳化斷筋點!O342="","",最佳化斷筋點!O342)</f>
        <v/>
      </c>
      <c r="AN342" s="6" t="str">
        <f>IF(最佳化斷筋點!P342="","",最佳化斷筋點!P342)</f>
        <v/>
      </c>
      <c r="AO342" s="6" t="str">
        <f>IF(最佳化斷筋點!Q342="","",最佳化斷筋點!Q342)</f>
        <v/>
      </c>
      <c r="AP342" s="6" t="str">
        <f>IF(最佳化斷筋點!R342="","",最佳化斷筋點!R342)</f>
        <v/>
      </c>
      <c r="AQ342" s="6" t="str">
        <f>IF(最佳化斷筋點!S342="","",最佳化斷筋點!S342)</f>
        <v/>
      </c>
      <c r="AR342" s="6" t="str">
        <f>IF(最佳化斷筋點!T342="","",最佳化斷筋點!T342)</f>
        <v/>
      </c>
      <c r="AS342" s="6" t="str">
        <f>IF(最佳化斷筋點!U342="","",最佳化斷筋點!U342)</f>
        <v/>
      </c>
      <c r="AT342" s="6" t="str">
        <f>IF(最佳化斷筋點!V342="","",最佳化斷筋點!V342)</f>
        <v/>
      </c>
      <c r="AU342" s="6" t="str">
        <f>IF(最佳化斷筋點!W342="","",最佳化斷筋點!W342)</f>
        <v/>
      </c>
      <c r="AV342" s="6" t="str">
        <f>IF(最佳化斷筋點!X342="","",最佳化斷筋點!X342)</f>
        <v/>
      </c>
    </row>
    <row r="343" spans="4:71" x14ac:dyDescent="0.25">
      <c r="D343" s="6" t="s">
        <v>50</v>
      </c>
      <c r="E343" s="6">
        <f t="shared" si="106"/>
        <v>0</v>
      </c>
      <c r="F343" s="6">
        <f t="shared" si="107"/>
        <v>0</v>
      </c>
      <c r="G343" s="6">
        <f t="shared" si="108"/>
        <v>0</v>
      </c>
      <c r="H343" s="6">
        <f t="shared" si="109"/>
        <v>0</v>
      </c>
      <c r="I343" s="6">
        <f t="shared" si="110"/>
        <v>0</v>
      </c>
      <c r="J343" s="6">
        <f t="shared" si="111"/>
        <v>0</v>
      </c>
      <c r="K343" s="6">
        <f t="shared" si="112"/>
        <v>0</v>
      </c>
      <c r="L343" s="6">
        <f t="shared" si="113"/>
        <v>0</v>
      </c>
      <c r="M343" s="6">
        <f t="shared" si="114"/>
        <v>0</v>
      </c>
      <c r="N343" s="6">
        <f t="shared" si="115"/>
        <v>0</v>
      </c>
      <c r="O343" s="6">
        <f t="shared" si="116"/>
        <v>0</v>
      </c>
      <c r="P343" s="6">
        <f t="shared" si="117"/>
        <v>0</v>
      </c>
      <c r="Q343" s="6">
        <f t="shared" si="118"/>
        <v>0</v>
      </c>
      <c r="R343" s="6">
        <f t="shared" si="119"/>
        <v>0</v>
      </c>
      <c r="S343" s="6">
        <f t="shared" si="120"/>
        <v>0</v>
      </c>
      <c r="T343" s="6">
        <f t="shared" si="121"/>
        <v>0</v>
      </c>
      <c r="U343" s="6">
        <f t="shared" si="122"/>
        <v>0</v>
      </c>
      <c r="V343" s="6">
        <f t="shared" si="123"/>
        <v>0</v>
      </c>
      <c r="W343" s="6">
        <f t="shared" si="124"/>
        <v>0</v>
      </c>
      <c r="X343" s="6">
        <f t="shared" si="125"/>
        <v>0</v>
      </c>
      <c r="Y343" s="6">
        <f t="shared" si="126"/>
        <v>0</v>
      </c>
      <c r="AA343" s="6" t="str">
        <f>IF(最佳化斷筋點!C343="","",最佳化斷筋點!C343)</f>
        <v>上層</v>
      </c>
      <c r="AB343" s="6">
        <f>IF(最佳化斷筋點!D343="","",最佳化斷筋點!D343)</f>
        <v>12</v>
      </c>
      <c r="AC343" s="6">
        <f>IF(最佳化斷筋點!E343="","",最佳化斷筋點!E343)</f>
        <v>11</v>
      </c>
      <c r="AD343" s="6">
        <f>IF(最佳化斷筋點!F343="","",最佳化斷筋點!F343)</f>
        <v>10</v>
      </c>
      <c r="AE343" s="6">
        <f>IF(最佳化斷筋點!G343="","",最佳化斷筋點!G343)</f>
        <v>9</v>
      </c>
      <c r="AF343" s="6">
        <f>IF(最佳化斷筋點!H343="","",最佳化斷筋點!H343)</f>
        <v>8</v>
      </c>
      <c r="AG343" s="6">
        <f>IF(最佳化斷筋點!I343="","",最佳化斷筋點!I343)</f>
        <v>7</v>
      </c>
      <c r="AH343" s="6">
        <f>IF(最佳化斷筋點!J343="","",最佳化斷筋點!J343)</f>
        <v>5</v>
      </c>
      <c r="AI343" s="6">
        <f>IF(最佳化斷筋點!K343="","",最佳化斷筋點!K343)</f>
        <v>4</v>
      </c>
      <c r="AJ343" s="6">
        <f>IF(最佳化斷筋點!L343="","",最佳化斷筋點!L343)</f>
        <v>3</v>
      </c>
      <c r="AK343" s="6">
        <f>IF(最佳化斷筋點!M343="","",最佳化斷筋點!M343)</f>
        <v>2</v>
      </c>
      <c r="AL343" s="6">
        <f>IF(最佳化斷筋點!N343="","",最佳化斷筋點!N343)</f>
        <v>2</v>
      </c>
      <c r="AM343" s="6">
        <f>IF(最佳化斷筋點!O343="","",最佳化斷筋點!O343)</f>
        <v>2</v>
      </c>
      <c r="AN343" s="6">
        <f>IF(最佳化斷筋點!P343="","",最佳化斷筋點!P343)</f>
        <v>3</v>
      </c>
      <c r="AO343" s="6">
        <f>IF(最佳化斷筋點!Q343="","",最佳化斷筋點!Q343)</f>
        <v>4</v>
      </c>
      <c r="AP343" s="6">
        <f>IF(最佳化斷筋點!R343="","",最佳化斷筋點!R343)</f>
        <v>5</v>
      </c>
      <c r="AQ343" s="6">
        <f>IF(最佳化斷筋點!S343="","",最佳化斷筋點!S343)</f>
        <v>6</v>
      </c>
      <c r="AR343" s="6">
        <f>IF(最佳化斷筋點!T343="","",最佳化斷筋點!T343)</f>
        <v>8</v>
      </c>
      <c r="AS343" s="6">
        <f>IF(最佳化斷筋點!U343="","",最佳化斷筋點!U343)</f>
        <v>9</v>
      </c>
      <c r="AT343" s="6">
        <f>IF(最佳化斷筋點!V343="","",最佳化斷筋點!V343)</f>
        <v>10</v>
      </c>
      <c r="AU343" s="6">
        <f>IF(最佳化斷筋點!W343="","",最佳化斷筋點!W343)</f>
        <v>11</v>
      </c>
      <c r="AV343" s="6">
        <f>IF(最佳化斷筋點!X343="","",最佳化斷筋點!X343)</f>
        <v>12</v>
      </c>
      <c r="AX343" s="6" t="s">
        <v>50</v>
      </c>
      <c r="AY343" s="6">
        <v>12</v>
      </c>
      <c r="AZ343" s="6">
        <v>11</v>
      </c>
      <c r="BA343" s="6">
        <v>10</v>
      </c>
      <c r="BB343" s="6">
        <v>9</v>
      </c>
      <c r="BC343" s="6">
        <v>8</v>
      </c>
      <c r="BD343" s="6">
        <v>7</v>
      </c>
      <c r="BE343" s="6">
        <v>5</v>
      </c>
      <c r="BF343" s="6">
        <v>4</v>
      </c>
      <c r="BG343" s="6">
        <v>3</v>
      </c>
      <c r="BH343" s="6">
        <v>2</v>
      </c>
      <c r="BI343" s="6">
        <v>2</v>
      </c>
      <c r="BJ343" s="6">
        <v>2</v>
      </c>
      <c r="BK343" s="6">
        <v>3</v>
      </c>
      <c r="BL343" s="6">
        <v>4</v>
      </c>
      <c r="BM343" s="6">
        <v>5</v>
      </c>
      <c r="BN343" s="6">
        <v>6</v>
      </c>
      <c r="BO343" s="6">
        <v>8</v>
      </c>
      <c r="BP343" s="6">
        <v>9</v>
      </c>
      <c r="BQ343" s="6">
        <v>10</v>
      </c>
      <c r="BR343" s="6">
        <v>11</v>
      </c>
      <c r="BS343" s="6">
        <v>12</v>
      </c>
    </row>
    <row r="344" spans="4:71" x14ac:dyDescent="0.25">
      <c r="E344" s="6">
        <f t="shared" si="106"/>
        <v>0</v>
      </c>
      <c r="F344" s="6">
        <f t="shared" si="107"/>
        <v>0</v>
      </c>
      <c r="G344" s="6">
        <f t="shared" si="108"/>
        <v>0</v>
      </c>
      <c r="H344" s="6">
        <f t="shared" si="109"/>
        <v>0</v>
      </c>
      <c r="I344" s="6">
        <f t="shared" si="110"/>
        <v>0</v>
      </c>
      <c r="J344" s="6">
        <f t="shared" si="111"/>
        <v>0</v>
      </c>
      <c r="K344" s="6">
        <f t="shared" si="112"/>
        <v>0</v>
      </c>
      <c r="L344" s="6">
        <f t="shared" si="113"/>
        <v>0</v>
      </c>
      <c r="M344" s="6">
        <f t="shared" si="114"/>
        <v>0</v>
      </c>
      <c r="N344" s="6">
        <f t="shared" si="115"/>
        <v>0</v>
      </c>
      <c r="O344" s="6">
        <f t="shared" si="116"/>
        <v>0</v>
      </c>
      <c r="P344" s="6">
        <f t="shared" si="117"/>
        <v>0</v>
      </c>
      <c r="Q344" s="6">
        <f t="shared" si="118"/>
        <v>0</v>
      </c>
      <c r="R344" s="6">
        <f t="shared" si="119"/>
        <v>0</v>
      </c>
      <c r="S344" s="6">
        <f t="shared" si="120"/>
        <v>0</v>
      </c>
      <c r="T344" s="6">
        <f t="shared" si="121"/>
        <v>0</v>
      </c>
      <c r="U344" s="6">
        <f t="shared" si="122"/>
        <v>0</v>
      </c>
      <c r="V344" s="6">
        <f t="shared" si="123"/>
        <v>0</v>
      </c>
      <c r="W344" s="6">
        <f t="shared" si="124"/>
        <v>0</v>
      </c>
      <c r="X344" s="6">
        <f t="shared" si="125"/>
        <v>0</v>
      </c>
      <c r="Y344" s="6">
        <f t="shared" si="126"/>
        <v>0</v>
      </c>
      <c r="AA344" s="6" t="str">
        <f>IF(最佳化斷筋點!C344="","",最佳化斷筋點!C344)</f>
        <v/>
      </c>
      <c r="AB344" s="6" t="str">
        <f>IF(最佳化斷筋點!D344="","",最佳化斷筋點!D344)</f>
        <v/>
      </c>
      <c r="AC344" s="6" t="str">
        <f>IF(最佳化斷筋點!E344="","",最佳化斷筋點!E344)</f>
        <v/>
      </c>
      <c r="AD344" s="6" t="str">
        <f>IF(最佳化斷筋點!F344="","",最佳化斷筋點!F344)</f>
        <v/>
      </c>
      <c r="AE344" s="6" t="str">
        <f>IF(最佳化斷筋點!G344="","",最佳化斷筋點!G344)</f>
        <v/>
      </c>
      <c r="AF344" s="6" t="str">
        <f>IF(最佳化斷筋點!H344="","",最佳化斷筋點!H344)</f>
        <v/>
      </c>
      <c r="AG344" s="6" t="str">
        <f>IF(最佳化斷筋點!I344="","",最佳化斷筋點!I344)</f>
        <v/>
      </c>
      <c r="AH344" s="6" t="str">
        <f>IF(最佳化斷筋點!J344="","",最佳化斷筋點!J344)</f>
        <v/>
      </c>
      <c r="AI344" s="6" t="str">
        <f>IF(最佳化斷筋點!K344="","",最佳化斷筋點!K344)</f>
        <v/>
      </c>
      <c r="AJ344" s="6" t="str">
        <f>IF(最佳化斷筋點!L344="","",最佳化斷筋點!L344)</f>
        <v/>
      </c>
      <c r="AK344" s="6" t="str">
        <f>IF(最佳化斷筋點!M344="","",最佳化斷筋點!M344)</f>
        <v/>
      </c>
      <c r="AL344" s="6" t="str">
        <f>IF(最佳化斷筋點!N344="","",最佳化斷筋點!N344)</f>
        <v/>
      </c>
      <c r="AM344" s="6" t="str">
        <f>IF(最佳化斷筋點!O344="","",最佳化斷筋點!O344)</f>
        <v/>
      </c>
      <c r="AN344" s="6" t="str">
        <f>IF(最佳化斷筋點!P344="","",最佳化斷筋點!P344)</f>
        <v/>
      </c>
      <c r="AO344" s="6" t="str">
        <f>IF(最佳化斷筋點!Q344="","",最佳化斷筋點!Q344)</f>
        <v/>
      </c>
      <c r="AP344" s="6" t="str">
        <f>IF(最佳化斷筋點!R344="","",最佳化斷筋點!R344)</f>
        <v/>
      </c>
      <c r="AQ344" s="6" t="str">
        <f>IF(最佳化斷筋點!S344="","",最佳化斷筋點!S344)</f>
        <v/>
      </c>
      <c r="AR344" s="6" t="str">
        <f>IF(最佳化斷筋點!T344="","",最佳化斷筋點!T344)</f>
        <v/>
      </c>
      <c r="AS344" s="6" t="str">
        <f>IF(最佳化斷筋點!U344="","",最佳化斷筋點!U344)</f>
        <v/>
      </c>
      <c r="AT344" s="6" t="str">
        <f>IF(最佳化斷筋點!V344="","",最佳化斷筋點!V344)</f>
        <v/>
      </c>
      <c r="AU344" s="6" t="str">
        <f>IF(最佳化斷筋點!W344="","",最佳化斷筋點!W344)</f>
        <v/>
      </c>
      <c r="AV344" s="6" t="str">
        <f>IF(最佳化斷筋點!X344="","",最佳化斷筋點!X344)</f>
        <v/>
      </c>
    </row>
    <row r="345" spans="4:71" x14ac:dyDescent="0.25">
      <c r="D345" s="6" t="s">
        <v>51</v>
      </c>
      <c r="E345" s="6">
        <f t="shared" si="106"/>
        <v>0</v>
      </c>
      <c r="F345" s="6">
        <f t="shared" si="107"/>
        <v>0</v>
      </c>
      <c r="G345" s="6">
        <f t="shared" si="108"/>
        <v>0</v>
      </c>
      <c r="H345" s="6">
        <f t="shared" si="109"/>
        <v>0</v>
      </c>
      <c r="I345" s="6">
        <f t="shared" si="110"/>
        <v>0</v>
      </c>
      <c r="J345" s="6">
        <f t="shared" si="111"/>
        <v>0</v>
      </c>
      <c r="K345" s="6">
        <f t="shared" si="112"/>
        <v>0</v>
      </c>
      <c r="L345" s="6">
        <f t="shared" si="113"/>
        <v>0</v>
      </c>
      <c r="M345" s="6">
        <f t="shared" si="114"/>
        <v>0</v>
      </c>
      <c r="N345" s="6">
        <f t="shared" si="115"/>
        <v>0</v>
      </c>
      <c r="O345" s="6">
        <f t="shared" si="116"/>
        <v>0</v>
      </c>
      <c r="P345" s="6">
        <f t="shared" si="117"/>
        <v>0</v>
      </c>
      <c r="Q345" s="6">
        <f t="shared" si="118"/>
        <v>0</v>
      </c>
      <c r="R345" s="6">
        <f t="shared" si="119"/>
        <v>0</v>
      </c>
      <c r="S345" s="6">
        <f t="shared" si="120"/>
        <v>0</v>
      </c>
      <c r="T345" s="6">
        <f t="shared" si="121"/>
        <v>0</v>
      </c>
      <c r="U345" s="6">
        <f t="shared" si="122"/>
        <v>0</v>
      </c>
      <c r="V345" s="6">
        <f t="shared" si="123"/>
        <v>0</v>
      </c>
      <c r="W345" s="6">
        <f t="shared" si="124"/>
        <v>0</v>
      </c>
      <c r="X345" s="6">
        <f t="shared" si="125"/>
        <v>0</v>
      </c>
      <c r="Y345" s="6">
        <f t="shared" si="126"/>
        <v>0</v>
      </c>
      <c r="AA345" s="6" t="str">
        <f>IF(最佳化斷筋點!C345="","",最佳化斷筋點!C345)</f>
        <v>下層</v>
      </c>
      <c r="AB345" s="6">
        <f>IF(最佳化斷筋點!D345="","",最佳化斷筋點!D345)</f>
        <v>12</v>
      </c>
      <c r="AC345" s="6">
        <f>IF(最佳化斷筋點!E345="","",最佳化斷筋點!E345)</f>
        <v>11</v>
      </c>
      <c r="AD345" s="6">
        <f>IF(最佳化斷筋點!F345="","",最佳化斷筋點!F345)</f>
        <v>10</v>
      </c>
      <c r="AE345" s="6">
        <f>IF(最佳化斷筋點!G345="","",最佳化斷筋點!G345)</f>
        <v>9</v>
      </c>
      <c r="AF345" s="6">
        <f>IF(最佳化斷筋點!H345="","",最佳化斷筋點!H345)</f>
        <v>9</v>
      </c>
      <c r="AG345" s="6">
        <f>IF(最佳化斷筋點!I345="","",最佳化斷筋點!I345)</f>
        <v>11</v>
      </c>
      <c r="AH345" s="6">
        <f>IF(最佳化斷筋點!J345="","",最佳化斷筋點!J345)</f>
        <v>12</v>
      </c>
      <c r="AI345" s="6">
        <f>IF(最佳化斷筋點!K345="","",最佳化斷筋點!K345)</f>
        <v>13</v>
      </c>
      <c r="AJ345" s="6">
        <f>IF(最佳化斷筋點!L345="","",最佳化斷筋點!L345)</f>
        <v>14</v>
      </c>
      <c r="AK345" s="6">
        <f>IF(最佳化斷筋點!M345="","",最佳化斷筋點!M345)</f>
        <v>14</v>
      </c>
      <c r="AL345" s="6">
        <f>IF(最佳化斷筋點!N345="","",最佳化斷筋點!N345)</f>
        <v>14</v>
      </c>
      <c r="AM345" s="6">
        <f>IF(最佳化斷筋點!O345="","",最佳化斷筋點!O345)</f>
        <v>14</v>
      </c>
      <c r="AN345" s="6">
        <f>IF(最佳化斷筋點!P345="","",最佳化斷筋點!P345)</f>
        <v>14</v>
      </c>
      <c r="AO345" s="6">
        <f>IF(最佳化斷筋點!Q345="","",最佳化斷筋點!Q345)</f>
        <v>13</v>
      </c>
      <c r="AP345" s="6">
        <f>IF(最佳化斷筋點!R345="","",最佳化斷筋點!R345)</f>
        <v>12</v>
      </c>
      <c r="AQ345" s="6">
        <f>IF(最佳化斷筋點!S345="","",最佳化斷筋點!S345)</f>
        <v>11</v>
      </c>
      <c r="AR345" s="6">
        <f>IF(最佳化斷筋點!T345="","",最佳化斷筋點!T345)</f>
        <v>9</v>
      </c>
      <c r="AS345" s="6">
        <f>IF(最佳化斷筋點!U345="","",最佳化斷筋點!U345)</f>
        <v>9</v>
      </c>
      <c r="AT345" s="6">
        <f>IF(最佳化斷筋點!V345="","",最佳化斷筋點!V345)</f>
        <v>10</v>
      </c>
      <c r="AU345" s="6">
        <f>IF(最佳化斷筋點!W345="","",最佳化斷筋點!W345)</f>
        <v>11</v>
      </c>
      <c r="AV345" s="6">
        <f>IF(最佳化斷筋點!X345="","",最佳化斷筋點!X345)</f>
        <v>12</v>
      </c>
      <c r="AX345" s="6" t="s">
        <v>51</v>
      </c>
      <c r="AY345" s="6">
        <v>12</v>
      </c>
      <c r="AZ345" s="6">
        <v>11</v>
      </c>
      <c r="BA345" s="6">
        <v>10</v>
      </c>
      <c r="BB345" s="6">
        <v>9</v>
      </c>
      <c r="BC345" s="6">
        <v>9</v>
      </c>
      <c r="BD345" s="6">
        <v>11</v>
      </c>
      <c r="BE345" s="6">
        <v>12</v>
      </c>
      <c r="BF345" s="6">
        <v>13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13</v>
      </c>
      <c r="BM345" s="6">
        <v>12</v>
      </c>
      <c r="BN345" s="6">
        <v>11</v>
      </c>
      <c r="BO345" s="6">
        <v>9</v>
      </c>
      <c r="BP345" s="6">
        <v>9</v>
      </c>
      <c r="BQ345" s="6">
        <v>10</v>
      </c>
      <c r="BR345" s="6">
        <v>11</v>
      </c>
      <c r="BS345" s="6">
        <v>12</v>
      </c>
    </row>
    <row r="346" spans="4:71" x14ac:dyDescent="0.25">
      <c r="E346" s="6">
        <f t="shared" si="106"/>
        <v>0</v>
      </c>
      <c r="F346" s="6">
        <f t="shared" si="107"/>
        <v>0</v>
      </c>
      <c r="G346" s="6">
        <f t="shared" si="108"/>
        <v>0</v>
      </c>
      <c r="H346" s="6">
        <f t="shared" si="109"/>
        <v>0</v>
      </c>
      <c r="I346" s="6">
        <f t="shared" si="110"/>
        <v>0</v>
      </c>
      <c r="J346" s="6">
        <f t="shared" si="111"/>
        <v>0</v>
      </c>
      <c r="K346" s="6">
        <f t="shared" si="112"/>
        <v>0</v>
      </c>
      <c r="L346" s="6">
        <f t="shared" si="113"/>
        <v>0</v>
      </c>
      <c r="M346" s="6">
        <f t="shared" si="114"/>
        <v>0</v>
      </c>
      <c r="N346" s="6">
        <f t="shared" si="115"/>
        <v>0</v>
      </c>
      <c r="O346" s="6">
        <f t="shared" si="116"/>
        <v>0</v>
      </c>
      <c r="P346" s="6">
        <f t="shared" si="117"/>
        <v>0</v>
      </c>
      <c r="Q346" s="6">
        <f t="shared" si="118"/>
        <v>0</v>
      </c>
      <c r="R346" s="6">
        <f t="shared" si="119"/>
        <v>0</v>
      </c>
      <c r="S346" s="6">
        <f t="shared" si="120"/>
        <v>0</v>
      </c>
      <c r="T346" s="6">
        <f t="shared" si="121"/>
        <v>0</v>
      </c>
      <c r="U346" s="6">
        <f t="shared" si="122"/>
        <v>0</v>
      </c>
      <c r="V346" s="6">
        <f t="shared" si="123"/>
        <v>0</v>
      </c>
      <c r="W346" s="6">
        <f t="shared" si="124"/>
        <v>0</v>
      </c>
      <c r="X346" s="6">
        <f t="shared" si="125"/>
        <v>0</v>
      </c>
      <c r="Y346" s="6">
        <f t="shared" si="126"/>
        <v>0</v>
      </c>
      <c r="AA346" s="6" t="str">
        <f>IF(最佳化斷筋點!C346="","",最佳化斷筋點!C346)</f>
        <v/>
      </c>
      <c r="AB346" s="6" t="str">
        <f>IF(最佳化斷筋點!D346="","",最佳化斷筋點!D346)</f>
        <v/>
      </c>
      <c r="AC346" s="6" t="str">
        <f>IF(最佳化斷筋點!E346="","",最佳化斷筋點!E346)</f>
        <v/>
      </c>
      <c r="AD346" s="6" t="str">
        <f>IF(最佳化斷筋點!F346="","",最佳化斷筋點!F346)</f>
        <v/>
      </c>
      <c r="AE346" s="6" t="str">
        <f>IF(最佳化斷筋點!G346="","",最佳化斷筋點!G346)</f>
        <v/>
      </c>
      <c r="AF346" s="6" t="str">
        <f>IF(最佳化斷筋點!H346="","",最佳化斷筋點!H346)</f>
        <v/>
      </c>
      <c r="AG346" s="6" t="str">
        <f>IF(最佳化斷筋點!I346="","",最佳化斷筋點!I346)</f>
        <v/>
      </c>
      <c r="AH346" s="6" t="str">
        <f>IF(最佳化斷筋點!J346="","",最佳化斷筋點!J346)</f>
        <v/>
      </c>
      <c r="AI346" s="6" t="str">
        <f>IF(最佳化斷筋點!K346="","",最佳化斷筋點!K346)</f>
        <v/>
      </c>
      <c r="AJ346" s="6" t="str">
        <f>IF(最佳化斷筋點!L346="","",最佳化斷筋點!L346)</f>
        <v/>
      </c>
      <c r="AK346" s="6" t="str">
        <f>IF(最佳化斷筋點!M346="","",最佳化斷筋點!M346)</f>
        <v/>
      </c>
      <c r="AL346" s="6" t="str">
        <f>IF(最佳化斷筋點!N346="","",最佳化斷筋點!N346)</f>
        <v/>
      </c>
      <c r="AM346" s="6" t="str">
        <f>IF(最佳化斷筋點!O346="","",最佳化斷筋點!O346)</f>
        <v/>
      </c>
      <c r="AN346" s="6" t="str">
        <f>IF(最佳化斷筋點!P346="","",最佳化斷筋點!P346)</f>
        <v/>
      </c>
      <c r="AO346" s="6" t="str">
        <f>IF(最佳化斷筋點!Q346="","",最佳化斷筋點!Q346)</f>
        <v/>
      </c>
      <c r="AP346" s="6" t="str">
        <f>IF(最佳化斷筋點!R346="","",最佳化斷筋點!R346)</f>
        <v/>
      </c>
      <c r="AQ346" s="6" t="str">
        <f>IF(最佳化斷筋點!S346="","",最佳化斷筋點!S346)</f>
        <v/>
      </c>
      <c r="AR346" s="6" t="str">
        <f>IF(最佳化斷筋點!T346="","",最佳化斷筋點!T346)</f>
        <v/>
      </c>
      <c r="AS346" s="6" t="str">
        <f>IF(最佳化斷筋點!U346="","",最佳化斷筋點!U346)</f>
        <v/>
      </c>
      <c r="AT346" s="6" t="str">
        <f>IF(最佳化斷筋點!V346="","",最佳化斷筋點!V346)</f>
        <v/>
      </c>
      <c r="AU346" s="6" t="str">
        <f>IF(最佳化斷筋點!W346="","",最佳化斷筋點!W346)</f>
        <v/>
      </c>
      <c r="AV346" s="6" t="str">
        <f>IF(最佳化斷筋點!X346="","",最佳化斷筋點!X346)</f>
        <v/>
      </c>
    </row>
    <row r="347" spans="4:71" x14ac:dyDescent="0.25">
      <c r="D347" s="6" t="s">
        <v>50</v>
      </c>
      <c r="E347" s="6">
        <f t="shared" si="106"/>
        <v>0</v>
      </c>
      <c r="F347" s="6">
        <f t="shared" si="107"/>
        <v>0</v>
      </c>
      <c r="G347" s="6">
        <f t="shared" si="108"/>
        <v>0</v>
      </c>
      <c r="H347" s="6">
        <f t="shared" si="109"/>
        <v>0</v>
      </c>
      <c r="I347" s="6">
        <f t="shared" si="110"/>
        <v>0</v>
      </c>
      <c r="J347" s="6">
        <f t="shared" si="111"/>
        <v>0</v>
      </c>
      <c r="K347" s="6">
        <f t="shared" si="112"/>
        <v>0</v>
      </c>
      <c r="L347" s="6">
        <f t="shared" si="113"/>
        <v>0</v>
      </c>
      <c r="M347" s="6">
        <f t="shared" si="114"/>
        <v>0</v>
      </c>
      <c r="N347" s="6">
        <f t="shared" si="115"/>
        <v>0</v>
      </c>
      <c r="O347" s="6">
        <f t="shared" si="116"/>
        <v>0</v>
      </c>
      <c r="P347" s="6">
        <f t="shared" si="117"/>
        <v>0</v>
      </c>
      <c r="Q347" s="6">
        <f t="shared" si="118"/>
        <v>0</v>
      </c>
      <c r="R347" s="6">
        <f t="shared" si="119"/>
        <v>0</v>
      </c>
      <c r="S347" s="6">
        <f t="shared" si="120"/>
        <v>0</v>
      </c>
      <c r="T347" s="6">
        <f t="shared" si="121"/>
        <v>0</v>
      </c>
      <c r="U347" s="6">
        <f t="shared" si="122"/>
        <v>0</v>
      </c>
      <c r="V347" s="6">
        <f t="shared" si="123"/>
        <v>0</v>
      </c>
      <c r="W347" s="6">
        <f t="shared" si="124"/>
        <v>0</v>
      </c>
      <c r="X347" s="6">
        <f t="shared" si="125"/>
        <v>0</v>
      </c>
      <c r="Y347" s="6">
        <f t="shared" si="126"/>
        <v>0</v>
      </c>
      <c r="AA347" s="6" t="str">
        <f>IF(最佳化斷筋點!C347="","",最佳化斷筋點!C347)</f>
        <v>上層</v>
      </c>
      <c r="AB347" s="6">
        <f>IF(最佳化斷筋點!D347="","",最佳化斷筋點!D347)</f>
        <v>12</v>
      </c>
      <c r="AC347" s="6">
        <f>IF(最佳化斷筋點!E347="","",最佳化斷筋點!E347)</f>
        <v>11</v>
      </c>
      <c r="AD347" s="6">
        <f>IF(最佳化斷筋點!F347="","",最佳化斷筋點!F347)</f>
        <v>10</v>
      </c>
      <c r="AE347" s="6">
        <f>IF(最佳化斷筋點!G347="","",最佳化斷筋點!G347)</f>
        <v>9</v>
      </c>
      <c r="AF347" s="6">
        <f>IF(最佳化斷筋點!H347="","",最佳化斷筋點!H347)</f>
        <v>8</v>
      </c>
      <c r="AG347" s="6">
        <f>IF(最佳化斷筋點!I347="","",最佳化斷筋點!I347)</f>
        <v>7</v>
      </c>
      <c r="AH347" s="6">
        <f>IF(最佳化斷筋點!J347="","",最佳化斷筋點!J347)</f>
        <v>5</v>
      </c>
      <c r="AI347" s="6">
        <f>IF(最佳化斷筋點!K347="","",最佳化斷筋點!K347)</f>
        <v>4</v>
      </c>
      <c r="AJ347" s="6">
        <f>IF(最佳化斷筋點!L347="","",最佳化斷筋點!L347)</f>
        <v>3</v>
      </c>
      <c r="AK347" s="6">
        <f>IF(最佳化斷筋點!M347="","",最佳化斷筋點!M347)</f>
        <v>2</v>
      </c>
      <c r="AL347" s="6">
        <f>IF(最佳化斷筋點!N347="","",最佳化斷筋點!N347)</f>
        <v>2</v>
      </c>
      <c r="AM347" s="6">
        <f>IF(最佳化斷筋點!O347="","",最佳化斷筋點!O347)</f>
        <v>2</v>
      </c>
      <c r="AN347" s="6">
        <f>IF(最佳化斷筋點!P347="","",最佳化斷筋點!P347)</f>
        <v>3</v>
      </c>
      <c r="AO347" s="6">
        <f>IF(最佳化斷筋點!Q347="","",最佳化斷筋點!Q347)</f>
        <v>4</v>
      </c>
      <c r="AP347" s="6">
        <f>IF(最佳化斷筋點!R347="","",最佳化斷筋點!R347)</f>
        <v>5</v>
      </c>
      <c r="AQ347" s="6">
        <f>IF(最佳化斷筋點!S347="","",最佳化斷筋點!S347)</f>
        <v>6</v>
      </c>
      <c r="AR347" s="6">
        <f>IF(最佳化斷筋點!T347="","",最佳化斷筋點!T347)</f>
        <v>8</v>
      </c>
      <c r="AS347" s="6">
        <f>IF(最佳化斷筋點!U347="","",最佳化斷筋點!U347)</f>
        <v>9</v>
      </c>
      <c r="AT347" s="6">
        <f>IF(最佳化斷筋點!V347="","",最佳化斷筋點!V347)</f>
        <v>10</v>
      </c>
      <c r="AU347" s="6">
        <f>IF(最佳化斷筋點!W347="","",最佳化斷筋點!W347)</f>
        <v>11</v>
      </c>
      <c r="AV347" s="6">
        <f>IF(最佳化斷筋點!X347="","",最佳化斷筋點!X347)</f>
        <v>12</v>
      </c>
      <c r="AX347" s="6" t="s">
        <v>50</v>
      </c>
      <c r="AY347" s="6">
        <v>12</v>
      </c>
      <c r="AZ347" s="6">
        <v>11</v>
      </c>
      <c r="BA347" s="6">
        <v>10</v>
      </c>
      <c r="BB347" s="6">
        <v>9</v>
      </c>
      <c r="BC347" s="6">
        <v>8</v>
      </c>
      <c r="BD347" s="6">
        <v>7</v>
      </c>
      <c r="BE347" s="6">
        <v>5</v>
      </c>
      <c r="BF347" s="6">
        <v>4</v>
      </c>
      <c r="BG347" s="6">
        <v>3</v>
      </c>
      <c r="BH347" s="6">
        <v>2</v>
      </c>
      <c r="BI347" s="6">
        <v>2</v>
      </c>
      <c r="BJ347" s="6">
        <v>2</v>
      </c>
      <c r="BK347" s="6">
        <v>3</v>
      </c>
      <c r="BL347" s="6">
        <v>4</v>
      </c>
      <c r="BM347" s="6">
        <v>5</v>
      </c>
      <c r="BN347" s="6">
        <v>6</v>
      </c>
      <c r="BO347" s="6">
        <v>8</v>
      </c>
      <c r="BP347" s="6">
        <v>9</v>
      </c>
      <c r="BQ347" s="6">
        <v>10</v>
      </c>
      <c r="BR347" s="6">
        <v>11</v>
      </c>
      <c r="BS347" s="6">
        <v>12</v>
      </c>
    </row>
    <row r="348" spans="4:71" x14ac:dyDescent="0.25">
      <c r="E348" s="6">
        <f t="shared" si="106"/>
        <v>0</v>
      </c>
      <c r="F348" s="6">
        <f t="shared" si="107"/>
        <v>0</v>
      </c>
      <c r="G348" s="6">
        <f t="shared" si="108"/>
        <v>0</v>
      </c>
      <c r="H348" s="6">
        <f t="shared" si="109"/>
        <v>0</v>
      </c>
      <c r="I348" s="6">
        <f t="shared" si="110"/>
        <v>0</v>
      </c>
      <c r="J348" s="6">
        <f t="shared" si="111"/>
        <v>0</v>
      </c>
      <c r="K348" s="6">
        <f t="shared" si="112"/>
        <v>0</v>
      </c>
      <c r="L348" s="6">
        <f t="shared" si="113"/>
        <v>0</v>
      </c>
      <c r="M348" s="6">
        <f t="shared" si="114"/>
        <v>0</v>
      </c>
      <c r="N348" s="6">
        <f t="shared" si="115"/>
        <v>0</v>
      </c>
      <c r="O348" s="6">
        <f t="shared" si="116"/>
        <v>0</v>
      </c>
      <c r="P348" s="6">
        <f t="shared" si="117"/>
        <v>0</v>
      </c>
      <c r="Q348" s="6">
        <f t="shared" si="118"/>
        <v>0</v>
      </c>
      <c r="R348" s="6">
        <f t="shared" si="119"/>
        <v>0</v>
      </c>
      <c r="S348" s="6">
        <f t="shared" si="120"/>
        <v>0</v>
      </c>
      <c r="T348" s="6">
        <f t="shared" si="121"/>
        <v>0</v>
      </c>
      <c r="U348" s="6">
        <f t="shared" si="122"/>
        <v>0</v>
      </c>
      <c r="V348" s="6">
        <f t="shared" si="123"/>
        <v>0</v>
      </c>
      <c r="W348" s="6">
        <f t="shared" si="124"/>
        <v>0</v>
      </c>
      <c r="X348" s="6">
        <f t="shared" si="125"/>
        <v>0</v>
      </c>
      <c r="Y348" s="6">
        <f t="shared" si="126"/>
        <v>0</v>
      </c>
      <c r="AA348" s="6" t="str">
        <f>IF(最佳化斷筋點!C348="","",最佳化斷筋點!C348)</f>
        <v/>
      </c>
      <c r="AB348" s="6" t="str">
        <f>IF(最佳化斷筋點!D348="","",最佳化斷筋點!D348)</f>
        <v/>
      </c>
      <c r="AC348" s="6" t="str">
        <f>IF(最佳化斷筋點!E348="","",最佳化斷筋點!E348)</f>
        <v/>
      </c>
      <c r="AD348" s="6" t="str">
        <f>IF(最佳化斷筋點!F348="","",最佳化斷筋點!F348)</f>
        <v/>
      </c>
      <c r="AE348" s="6" t="str">
        <f>IF(最佳化斷筋點!G348="","",最佳化斷筋點!G348)</f>
        <v/>
      </c>
      <c r="AF348" s="6" t="str">
        <f>IF(最佳化斷筋點!H348="","",最佳化斷筋點!H348)</f>
        <v/>
      </c>
      <c r="AG348" s="6" t="str">
        <f>IF(最佳化斷筋點!I348="","",最佳化斷筋點!I348)</f>
        <v/>
      </c>
      <c r="AH348" s="6" t="str">
        <f>IF(最佳化斷筋點!J348="","",最佳化斷筋點!J348)</f>
        <v/>
      </c>
      <c r="AI348" s="6" t="str">
        <f>IF(最佳化斷筋點!K348="","",最佳化斷筋點!K348)</f>
        <v/>
      </c>
      <c r="AJ348" s="6" t="str">
        <f>IF(最佳化斷筋點!L348="","",最佳化斷筋點!L348)</f>
        <v/>
      </c>
      <c r="AK348" s="6" t="str">
        <f>IF(最佳化斷筋點!M348="","",最佳化斷筋點!M348)</f>
        <v/>
      </c>
      <c r="AL348" s="6" t="str">
        <f>IF(最佳化斷筋點!N348="","",最佳化斷筋點!N348)</f>
        <v/>
      </c>
      <c r="AM348" s="6" t="str">
        <f>IF(最佳化斷筋點!O348="","",最佳化斷筋點!O348)</f>
        <v/>
      </c>
      <c r="AN348" s="6" t="str">
        <f>IF(最佳化斷筋點!P348="","",最佳化斷筋點!P348)</f>
        <v/>
      </c>
      <c r="AO348" s="6" t="str">
        <f>IF(最佳化斷筋點!Q348="","",最佳化斷筋點!Q348)</f>
        <v/>
      </c>
      <c r="AP348" s="6" t="str">
        <f>IF(最佳化斷筋點!R348="","",最佳化斷筋點!R348)</f>
        <v/>
      </c>
      <c r="AQ348" s="6" t="str">
        <f>IF(最佳化斷筋點!S348="","",最佳化斷筋點!S348)</f>
        <v/>
      </c>
      <c r="AR348" s="6" t="str">
        <f>IF(最佳化斷筋點!T348="","",最佳化斷筋點!T348)</f>
        <v/>
      </c>
      <c r="AS348" s="6" t="str">
        <f>IF(最佳化斷筋點!U348="","",最佳化斷筋點!U348)</f>
        <v/>
      </c>
      <c r="AT348" s="6" t="str">
        <f>IF(最佳化斷筋點!V348="","",最佳化斷筋點!V348)</f>
        <v/>
      </c>
      <c r="AU348" s="6" t="str">
        <f>IF(最佳化斷筋點!W348="","",最佳化斷筋點!W348)</f>
        <v/>
      </c>
      <c r="AV348" s="6" t="str">
        <f>IF(最佳化斷筋點!X348="","",最佳化斷筋點!X348)</f>
        <v/>
      </c>
    </row>
    <row r="349" spans="4:71" x14ac:dyDescent="0.25">
      <c r="D349" s="6" t="s">
        <v>51</v>
      </c>
      <c r="E349" s="6">
        <f t="shared" si="106"/>
        <v>0</v>
      </c>
      <c r="F349" s="6">
        <f t="shared" si="107"/>
        <v>0</v>
      </c>
      <c r="G349" s="6">
        <f t="shared" si="108"/>
        <v>0</v>
      </c>
      <c r="H349" s="6">
        <f t="shared" si="109"/>
        <v>0</v>
      </c>
      <c r="I349" s="6">
        <f t="shared" si="110"/>
        <v>0</v>
      </c>
      <c r="J349" s="6">
        <f t="shared" si="111"/>
        <v>0</v>
      </c>
      <c r="K349" s="6">
        <f t="shared" si="112"/>
        <v>0</v>
      </c>
      <c r="L349" s="6">
        <f t="shared" si="113"/>
        <v>0</v>
      </c>
      <c r="M349" s="6">
        <f t="shared" si="114"/>
        <v>0</v>
      </c>
      <c r="N349" s="6">
        <f t="shared" si="115"/>
        <v>0</v>
      </c>
      <c r="O349" s="6">
        <f t="shared" si="116"/>
        <v>0</v>
      </c>
      <c r="P349" s="6">
        <f t="shared" si="117"/>
        <v>0</v>
      </c>
      <c r="Q349" s="6">
        <f t="shared" si="118"/>
        <v>0</v>
      </c>
      <c r="R349" s="6">
        <f t="shared" si="119"/>
        <v>0</v>
      </c>
      <c r="S349" s="6">
        <f t="shared" si="120"/>
        <v>0</v>
      </c>
      <c r="T349" s="6">
        <f t="shared" si="121"/>
        <v>0</v>
      </c>
      <c r="U349" s="6">
        <f t="shared" si="122"/>
        <v>0</v>
      </c>
      <c r="V349" s="6">
        <f t="shared" si="123"/>
        <v>0</v>
      </c>
      <c r="W349" s="6">
        <f t="shared" si="124"/>
        <v>0</v>
      </c>
      <c r="X349" s="6">
        <f t="shared" si="125"/>
        <v>0</v>
      </c>
      <c r="Y349" s="6">
        <f t="shared" si="126"/>
        <v>0</v>
      </c>
      <c r="AA349" s="6" t="str">
        <f>IF(最佳化斷筋點!C349="","",最佳化斷筋點!C349)</f>
        <v>下層</v>
      </c>
      <c r="AB349" s="6">
        <f>IF(最佳化斷筋點!D349="","",最佳化斷筋點!D349)</f>
        <v>12</v>
      </c>
      <c r="AC349" s="6">
        <f>IF(最佳化斷筋點!E349="","",最佳化斷筋點!E349)</f>
        <v>11</v>
      </c>
      <c r="AD349" s="6">
        <f>IF(最佳化斷筋點!F349="","",最佳化斷筋點!F349)</f>
        <v>10</v>
      </c>
      <c r="AE349" s="6">
        <f>IF(最佳化斷筋點!G349="","",最佳化斷筋點!G349)</f>
        <v>9</v>
      </c>
      <c r="AF349" s="6">
        <f>IF(最佳化斷筋點!H349="","",最佳化斷筋點!H349)</f>
        <v>9</v>
      </c>
      <c r="AG349" s="6">
        <f>IF(最佳化斷筋點!I349="","",最佳化斷筋點!I349)</f>
        <v>11</v>
      </c>
      <c r="AH349" s="6">
        <f>IF(最佳化斷筋點!J349="","",最佳化斷筋點!J349)</f>
        <v>12</v>
      </c>
      <c r="AI349" s="6">
        <f>IF(最佳化斷筋點!K349="","",最佳化斷筋點!K349)</f>
        <v>13</v>
      </c>
      <c r="AJ349" s="6">
        <f>IF(最佳化斷筋點!L349="","",最佳化斷筋點!L349)</f>
        <v>14</v>
      </c>
      <c r="AK349" s="6">
        <f>IF(最佳化斷筋點!M349="","",最佳化斷筋點!M349)</f>
        <v>14</v>
      </c>
      <c r="AL349" s="6">
        <f>IF(最佳化斷筋點!N349="","",最佳化斷筋點!N349)</f>
        <v>14</v>
      </c>
      <c r="AM349" s="6">
        <f>IF(最佳化斷筋點!O349="","",最佳化斷筋點!O349)</f>
        <v>14</v>
      </c>
      <c r="AN349" s="6">
        <f>IF(最佳化斷筋點!P349="","",最佳化斷筋點!P349)</f>
        <v>14</v>
      </c>
      <c r="AO349" s="6">
        <f>IF(最佳化斷筋點!Q349="","",最佳化斷筋點!Q349)</f>
        <v>13</v>
      </c>
      <c r="AP349" s="6">
        <f>IF(最佳化斷筋點!R349="","",最佳化斷筋點!R349)</f>
        <v>12</v>
      </c>
      <c r="AQ349" s="6">
        <f>IF(最佳化斷筋點!S349="","",最佳化斷筋點!S349)</f>
        <v>11</v>
      </c>
      <c r="AR349" s="6">
        <f>IF(最佳化斷筋點!T349="","",最佳化斷筋點!T349)</f>
        <v>9</v>
      </c>
      <c r="AS349" s="6">
        <f>IF(最佳化斷筋點!U349="","",最佳化斷筋點!U349)</f>
        <v>9</v>
      </c>
      <c r="AT349" s="6">
        <f>IF(最佳化斷筋點!V349="","",最佳化斷筋點!V349)</f>
        <v>10</v>
      </c>
      <c r="AU349" s="6">
        <f>IF(最佳化斷筋點!W349="","",最佳化斷筋點!W349)</f>
        <v>11</v>
      </c>
      <c r="AV349" s="6">
        <f>IF(最佳化斷筋點!X349="","",最佳化斷筋點!X349)</f>
        <v>12</v>
      </c>
      <c r="AX349" s="6" t="s">
        <v>51</v>
      </c>
      <c r="AY349" s="6">
        <v>12</v>
      </c>
      <c r="AZ349" s="6">
        <v>11</v>
      </c>
      <c r="BA349" s="6">
        <v>10</v>
      </c>
      <c r="BB349" s="6">
        <v>9</v>
      </c>
      <c r="BC349" s="6">
        <v>9</v>
      </c>
      <c r="BD349" s="6">
        <v>11</v>
      </c>
      <c r="BE349" s="6">
        <v>12</v>
      </c>
      <c r="BF349" s="6">
        <v>13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13</v>
      </c>
      <c r="BM349" s="6">
        <v>12</v>
      </c>
      <c r="BN349" s="6">
        <v>11</v>
      </c>
      <c r="BO349" s="6">
        <v>9</v>
      </c>
      <c r="BP349" s="6">
        <v>9</v>
      </c>
      <c r="BQ349" s="6">
        <v>10</v>
      </c>
      <c r="BR349" s="6">
        <v>11</v>
      </c>
      <c r="BS349" s="6">
        <v>12</v>
      </c>
    </row>
    <row r="350" spans="4:71" x14ac:dyDescent="0.25">
      <c r="E350" s="6">
        <f t="shared" si="106"/>
        <v>0</v>
      </c>
      <c r="F350" s="6">
        <f t="shared" si="107"/>
        <v>0</v>
      </c>
      <c r="G350" s="6">
        <f t="shared" si="108"/>
        <v>0</v>
      </c>
      <c r="H350" s="6">
        <f t="shared" si="109"/>
        <v>0</v>
      </c>
      <c r="I350" s="6">
        <f t="shared" si="110"/>
        <v>0</v>
      </c>
      <c r="J350" s="6">
        <f t="shared" si="111"/>
        <v>0</v>
      </c>
      <c r="K350" s="6">
        <f t="shared" si="112"/>
        <v>0</v>
      </c>
      <c r="L350" s="6">
        <f t="shared" si="113"/>
        <v>0</v>
      </c>
      <c r="M350" s="6">
        <f t="shared" si="114"/>
        <v>0</v>
      </c>
      <c r="N350" s="6">
        <f t="shared" si="115"/>
        <v>0</v>
      </c>
      <c r="O350" s="6">
        <f t="shared" si="116"/>
        <v>0</v>
      </c>
      <c r="P350" s="6">
        <f t="shared" si="117"/>
        <v>0</v>
      </c>
      <c r="Q350" s="6">
        <f t="shared" si="118"/>
        <v>0</v>
      </c>
      <c r="R350" s="6">
        <f t="shared" si="119"/>
        <v>0</v>
      </c>
      <c r="S350" s="6">
        <f t="shared" si="120"/>
        <v>0</v>
      </c>
      <c r="T350" s="6">
        <f t="shared" si="121"/>
        <v>0</v>
      </c>
      <c r="U350" s="6">
        <f t="shared" si="122"/>
        <v>0</v>
      </c>
      <c r="V350" s="6">
        <f t="shared" si="123"/>
        <v>0</v>
      </c>
      <c r="W350" s="6">
        <f t="shared" si="124"/>
        <v>0</v>
      </c>
      <c r="X350" s="6">
        <f t="shared" si="125"/>
        <v>0</v>
      </c>
      <c r="Y350" s="6">
        <f t="shared" si="126"/>
        <v>0</v>
      </c>
      <c r="AA350" s="6" t="str">
        <f>IF(最佳化斷筋點!C350="","",最佳化斷筋點!C350)</f>
        <v/>
      </c>
      <c r="AB350" s="6" t="str">
        <f>IF(最佳化斷筋點!D350="","",最佳化斷筋點!D350)</f>
        <v/>
      </c>
      <c r="AC350" s="6" t="str">
        <f>IF(最佳化斷筋點!E350="","",最佳化斷筋點!E350)</f>
        <v/>
      </c>
      <c r="AD350" s="6" t="str">
        <f>IF(最佳化斷筋點!F350="","",最佳化斷筋點!F350)</f>
        <v/>
      </c>
      <c r="AE350" s="6" t="str">
        <f>IF(最佳化斷筋點!G350="","",最佳化斷筋點!G350)</f>
        <v/>
      </c>
      <c r="AF350" s="6" t="str">
        <f>IF(最佳化斷筋點!H350="","",最佳化斷筋點!H350)</f>
        <v/>
      </c>
      <c r="AG350" s="6" t="str">
        <f>IF(最佳化斷筋點!I350="","",最佳化斷筋點!I350)</f>
        <v/>
      </c>
      <c r="AH350" s="6" t="str">
        <f>IF(最佳化斷筋點!J350="","",最佳化斷筋點!J350)</f>
        <v/>
      </c>
      <c r="AI350" s="6" t="str">
        <f>IF(最佳化斷筋點!K350="","",最佳化斷筋點!K350)</f>
        <v/>
      </c>
      <c r="AJ350" s="6" t="str">
        <f>IF(最佳化斷筋點!L350="","",最佳化斷筋點!L350)</f>
        <v/>
      </c>
      <c r="AK350" s="6" t="str">
        <f>IF(最佳化斷筋點!M350="","",最佳化斷筋點!M350)</f>
        <v/>
      </c>
      <c r="AL350" s="6" t="str">
        <f>IF(最佳化斷筋點!N350="","",最佳化斷筋點!N350)</f>
        <v/>
      </c>
      <c r="AM350" s="6" t="str">
        <f>IF(最佳化斷筋點!O350="","",最佳化斷筋點!O350)</f>
        <v/>
      </c>
      <c r="AN350" s="6" t="str">
        <f>IF(最佳化斷筋點!P350="","",最佳化斷筋點!P350)</f>
        <v/>
      </c>
      <c r="AO350" s="6" t="str">
        <f>IF(最佳化斷筋點!Q350="","",最佳化斷筋點!Q350)</f>
        <v/>
      </c>
      <c r="AP350" s="6" t="str">
        <f>IF(最佳化斷筋點!R350="","",最佳化斷筋點!R350)</f>
        <v/>
      </c>
      <c r="AQ350" s="6" t="str">
        <f>IF(最佳化斷筋點!S350="","",最佳化斷筋點!S350)</f>
        <v/>
      </c>
      <c r="AR350" s="6" t="str">
        <f>IF(最佳化斷筋點!T350="","",最佳化斷筋點!T350)</f>
        <v/>
      </c>
      <c r="AS350" s="6" t="str">
        <f>IF(最佳化斷筋點!U350="","",最佳化斷筋點!U350)</f>
        <v/>
      </c>
      <c r="AT350" s="6" t="str">
        <f>IF(最佳化斷筋點!V350="","",最佳化斷筋點!V350)</f>
        <v/>
      </c>
      <c r="AU350" s="6" t="str">
        <f>IF(最佳化斷筋點!W350="","",最佳化斷筋點!W350)</f>
        <v/>
      </c>
      <c r="AV350" s="6" t="str">
        <f>IF(最佳化斷筋點!X350="","",最佳化斷筋點!X350)</f>
        <v/>
      </c>
    </row>
    <row r="351" spans="4:71" x14ac:dyDescent="0.25">
      <c r="D351" s="6" t="s">
        <v>50</v>
      </c>
      <c r="E351" s="6">
        <f t="shared" si="106"/>
        <v>0</v>
      </c>
      <c r="F351" s="6">
        <f t="shared" si="107"/>
        <v>0</v>
      </c>
      <c r="G351" s="6">
        <f t="shared" si="108"/>
        <v>0</v>
      </c>
      <c r="H351" s="6">
        <f t="shared" si="109"/>
        <v>0</v>
      </c>
      <c r="I351" s="6">
        <f t="shared" si="110"/>
        <v>0</v>
      </c>
      <c r="J351" s="6">
        <f t="shared" si="111"/>
        <v>0</v>
      </c>
      <c r="K351" s="6">
        <f t="shared" si="112"/>
        <v>0</v>
      </c>
      <c r="L351" s="6">
        <f t="shared" si="113"/>
        <v>0</v>
      </c>
      <c r="M351" s="6">
        <f t="shared" si="114"/>
        <v>0</v>
      </c>
      <c r="N351" s="6">
        <f t="shared" si="115"/>
        <v>0</v>
      </c>
      <c r="O351" s="6">
        <f t="shared" si="116"/>
        <v>0</v>
      </c>
      <c r="P351" s="6">
        <f t="shared" si="117"/>
        <v>0</v>
      </c>
      <c r="Q351" s="6">
        <f t="shared" si="118"/>
        <v>0</v>
      </c>
      <c r="R351" s="6">
        <f t="shared" si="119"/>
        <v>0</v>
      </c>
      <c r="S351" s="6">
        <f t="shared" si="120"/>
        <v>0</v>
      </c>
      <c r="T351" s="6">
        <f t="shared" si="121"/>
        <v>0</v>
      </c>
      <c r="U351" s="6">
        <f t="shared" si="122"/>
        <v>0</v>
      </c>
      <c r="V351" s="6">
        <f t="shared" si="123"/>
        <v>0</v>
      </c>
      <c r="W351" s="6">
        <f t="shared" si="124"/>
        <v>0</v>
      </c>
      <c r="X351" s="6">
        <f t="shared" si="125"/>
        <v>0</v>
      </c>
      <c r="Y351" s="6">
        <f t="shared" si="126"/>
        <v>0</v>
      </c>
      <c r="AA351" s="6" t="str">
        <f>IF(最佳化斷筋點!C351="","",最佳化斷筋點!C351)</f>
        <v>上層</v>
      </c>
      <c r="AB351" s="6">
        <f>IF(最佳化斷筋點!D351="","",最佳化斷筋點!D351)</f>
        <v>12</v>
      </c>
      <c r="AC351" s="6">
        <f>IF(最佳化斷筋點!E351="","",最佳化斷筋點!E351)</f>
        <v>11</v>
      </c>
      <c r="AD351" s="6">
        <f>IF(最佳化斷筋點!F351="","",最佳化斷筋點!F351)</f>
        <v>10</v>
      </c>
      <c r="AE351" s="6">
        <f>IF(最佳化斷筋點!G351="","",最佳化斷筋點!G351)</f>
        <v>9</v>
      </c>
      <c r="AF351" s="6">
        <f>IF(最佳化斷筋點!H351="","",最佳化斷筋點!H351)</f>
        <v>8</v>
      </c>
      <c r="AG351" s="6">
        <f>IF(最佳化斷筋點!I351="","",最佳化斷筋點!I351)</f>
        <v>7</v>
      </c>
      <c r="AH351" s="6">
        <f>IF(最佳化斷筋點!J351="","",最佳化斷筋點!J351)</f>
        <v>5</v>
      </c>
      <c r="AI351" s="6">
        <f>IF(最佳化斷筋點!K351="","",最佳化斷筋點!K351)</f>
        <v>4</v>
      </c>
      <c r="AJ351" s="6">
        <f>IF(最佳化斷筋點!L351="","",最佳化斷筋點!L351)</f>
        <v>3</v>
      </c>
      <c r="AK351" s="6">
        <f>IF(最佳化斷筋點!M351="","",最佳化斷筋點!M351)</f>
        <v>2</v>
      </c>
      <c r="AL351" s="6">
        <f>IF(最佳化斷筋點!N351="","",最佳化斷筋點!N351)</f>
        <v>2</v>
      </c>
      <c r="AM351" s="6">
        <f>IF(最佳化斷筋點!O351="","",最佳化斷筋點!O351)</f>
        <v>2</v>
      </c>
      <c r="AN351" s="6">
        <f>IF(最佳化斷筋點!P351="","",最佳化斷筋點!P351)</f>
        <v>3</v>
      </c>
      <c r="AO351" s="6">
        <f>IF(最佳化斷筋點!Q351="","",最佳化斷筋點!Q351)</f>
        <v>4</v>
      </c>
      <c r="AP351" s="6">
        <f>IF(最佳化斷筋點!R351="","",最佳化斷筋點!R351)</f>
        <v>5</v>
      </c>
      <c r="AQ351" s="6">
        <f>IF(最佳化斷筋點!S351="","",最佳化斷筋點!S351)</f>
        <v>6</v>
      </c>
      <c r="AR351" s="6">
        <f>IF(最佳化斷筋點!T351="","",最佳化斷筋點!T351)</f>
        <v>8</v>
      </c>
      <c r="AS351" s="6">
        <f>IF(最佳化斷筋點!U351="","",最佳化斷筋點!U351)</f>
        <v>9</v>
      </c>
      <c r="AT351" s="6">
        <f>IF(最佳化斷筋點!V351="","",最佳化斷筋點!V351)</f>
        <v>10</v>
      </c>
      <c r="AU351" s="6">
        <f>IF(最佳化斷筋點!W351="","",最佳化斷筋點!W351)</f>
        <v>11</v>
      </c>
      <c r="AV351" s="6">
        <f>IF(最佳化斷筋點!X351="","",最佳化斷筋點!X351)</f>
        <v>12</v>
      </c>
      <c r="AX351" s="6" t="s">
        <v>50</v>
      </c>
      <c r="AY351" s="6">
        <v>12</v>
      </c>
      <c r="AZ351" s="6">
        <v>11</v>
      </c>
      <c r="BA351" s="6">
        <v>10</v>
      </c>
      <c r="BB351" s="6">
        <v>9</v>
      </c>
      <c r="BC351" s="6">
        <v>8</v>
      </c>
      <c r="BD351" s="6">
        <v>7</v>
      </c>
      <c r="BE351" s="6">
        <v>5</v>
      </c>
      <c r="BF351" s="6">
        <v>4</v>
      </c>
      <c r="BG351" s="6">
        <v>3</v>
      </c>
      <c r="BH351" s="6">
        <v>2</v>
      </c>
      <c r="BI351" s="6">
        <v>2</v>
      </c>
      <c r="BJ351" s="6">
        <v>2</v>
      </c>
      <c r="BK351" s="6">
        <v>3</v>
      </c>
      <c r="BL351" s="6">
        <v>4</v>
      </c>
      <c r="BM351" s="6">
        <v>5</v>
      </c>
      <c r="BN351" s="6">
        <v>6</v>
      </c>
      <c r="BO351" s="6">
        <v>8</v>
      </c>
      <c r="BP351" s="6">
        <v>9</v>
      </c>
      <c r="BQ351" s="6">
        <v>10</v>
      </c>
      <c r="BR351" s="6">
        <v>11</v>
      </c>
      <c r="BS351" s="6">
        <v>12</v>
      </c>
    </row>
    <row r="352" spans="4:71" x14ac:dyDescent="0.25">
      <c r="E352" s="6">
        <f t="shared" si="106"/>
        <v>0</v>
      </c>
      <c r="F352" s="6">
        <f t="shared" si="107"/>
        <v>0</v>
      </c>
      <c r="G352" s="6">
        <f t="shared" si="108"/>
        <v>0</v>
      </c>
      <c r="H352" s="6">
        <f t="shared" si="109"/>
        <v>0</v>
      </c>
      <c r="I352" s="6">
        <f t="shared" si="110"/>
        <v>0</v>
      </c>
      <c r="J352" s="6">
        <f t="shared" si="111"/>
        <v>0</v>
      </c>
      <c r="K352" s="6">
        <f t="shared" si="112"/>
        <v>0</v>
      </c>
      <c r="L352" s="6">
        <f t="shared" si="113"/>
        <v>0</v>
      </c>
      <c r="M352" s="6">
        <f t="shared" si="114"/>
        <v>0</v>
      </c>
      <c r="N352" s="6">
        <f t="shared" si="115"/>
        <v>0</v>
      </c>
      <c r="O352" s="6">
        <f t="shared" si="116"/>
        <v>0</v>
      </c>
      <c r="P352" s="6">
        <f t="shared" si="117"/>
        <v>0</v>
      </c>
      <c r="Q352" s="6">
        <f t="shared" si="118"/>
        <v>0</v>
      </c>
      <c r="R352" s="6">
        <f t="shared" si="119"/>
        <v>0</v>
      </c>
      <c r="S352" s="6">
        <f t="shared" si="120"/>
        <v>0</v>
      </c>
      <c r="T352" s="6">
        <f t="shared" si="121"/>
        <v>0</v>
      </c>
      <c r="U352" s="6">
        <f t="shared" si="122"/>
        <v>0</v>
      </c>
      <c r="V352" s="6">
        <f t="shared" si="123"/>
        <v>0</v>
      </c>
      <c r="W352" s="6">
        <f t="shared" si="124"/>
        <v>0</v>
      </c>
      <c r="X352" s="6">
        <f t="shared" si="125"/>
        <v>0</v>
      </c>
      <c r="Y352" s="6">
        <f t="shared" si="126"/>
        <v>0</v>
      </c>
      <c r="AA352" s="6" t="str">
        <f>IF(最佳化斷筋點!C352="","",最佳化斷筋點!C352)</f>
        <v/>
      </c>
      <c r="AB352" s="6" t="str">
        <f>IF(最佳化斷筋點!D352="","",最佳化斷筋點!D352)</f>
        <v/>
      </c>
      <c r="AC352" s="6" t="str">
        <f>IF(最佳化斷筋點!E352="","",最佳化斷筋點!E352)</f>
        <v/>
      </c>
      <c r="AD352" s="6" t="str">
        <f>IF(最佳化斷筋點!F352="","",最佳化斷筋點!F352)</f>
        <v/>
      </c>
      <c r="AE352" s="6" t="str">
        <f>IF(最佳化斷筋點!G352="","",最佳化斷筋點!G352)</f>
        <v/>
      </c>
      <c r="AF352" s="6" t="str">
        <f>IF(最佳化斷筋點!H352="","",最佳化斷筋點!H352)</f>
        <v/>
      </c>
      <c r="AG352" s="6" t="str">
        <f>IF(最佳化斷筋點!I352="","",最佳化斷筋點!I352)</f>
        <v/>
      </c>
      <c r="AH352" s="6" t="str">
        <f>IF(最佳化斷筋點!J352="","",最佳化斷筋點!J352)</f>
        <v/>
      </c>
      <c r="AI352" s="6" t="str">
        <f>IF(最佳化斷筋點!K352="","",最佳化斷筋點!K352)</f>
        <v/>
      </c>
      <c r="AJ352" s="6" t="str">
        <f>IF(最佳化斷筋點!L352="","",最佳化斷筋點!L352)</f>
        <v/>
      </c>
      <c r="AK352" s="6" t="str">
        <f>IF(最佳化斷筋點!M352="","",最佳化斷筋點!M352)</f>
        <v/>
      </c>
      <c r="AL352" s="6" t="str">
        <f>IF(最佳化斷筋點!N352="","",最佳化斷筋點!N352)</f>
        <v/>
      </c>
      <c r="AM352" s="6" t="str">
        <f>IF(最佳化斷筋點!O352="","",最佳化斷筋點!O352)</f>
        <v/>
      </c>
      <c r="AN352" s="6" t="str">
        <f>IF(最佳化斷筋點!P352="","",最佳化斷筋點!P352)</f>
        <v/>
      </c>
      <c r="AO352" s="6" t="str">
        <f>IF(最佳化斷筋點!Q352="","",最佳化斷筋點!Q352)</f>
        <v/>
      </c>
      <c r="AP352" s="6" t="str">
        <f>IF(最佳化斷筋點!R352="","",最佳化斷筋點!R352)</f>
        <v/>
      </c>
      <c r="AQ352" s="6" t="str">
        <f>IF(最佳化斷筋點!S352="","",最佳化斷筋點!S352)</f>
        <v/>
      </c>
      <c r="AR352" s="6" t="str">
        <f>IF(最佳化斷筋點!T352="","",最佳化斷筋點!T352)</f>
        <v/>
      </c>
      <c r="AS352" s="6" t="str">
        <f>IF(最佳化斷筋點!U352="","",最佳化斷筋點!U352)</f>
        <v/>
      </c>
      <c r="AT352" s="6" t="str">
        <f>IF(最佳化斷筋點!V352="","",最佳化斷筋點!V352)</f>
        <v/>
      </c>
      <c r="AU352" s="6" t="str">
        <f>IF(最佳化斷筋點!W352="","",最佳化斷筋點!W352)</f>
        <v/>
      </c>
      <c r="AV352" s="6" t="str">
        <f>IF(最佳化斷筋點!X352="","",最佳化斷筋點!X352)</f>
        <v/>
      </c>
    </row>
    <row r="353" spans="4:71" x14ac:dyDescent="0.25">
      <c r="D353" s="6" t="s">
        <v>51</v>
      </c>
      <c r="E353" s="6">
        <f t="shared" si="106"/>
        <v>0</v>
      </c>
      <c r="F353" s="6">
        <f t="shared" si="107"/>
        <v>0</v>
      </c>
      <c r="G353" s="6">
        <f t="shared" si="108"/>
        <v>0</v>
      </c>
      <c r="H353" s="6">
        <f t="shared" si="109"/>
        <v>0</v>
      </c>
      <c r="I353" s="6">
        <f t="shared" si="110"/>
        <v>0</v>
      </c>
      <c r="J353" s="6">
        <f t="shared" si="111"/>
        <v>0</v>
      </c>
      <c r="K353" s="6">
        <f t="shared" si="112"/>
        <v>0</v>
      </c>
      <c r="L353" s="6">
        <f t="shared" si="113"/>
        <v>0</v>
      </c>
      <c r="M353" s="6">
        <f t="shared" si="114"/>
        <v>0</v>
      </c>
      <c r="N353" s="6">
        <f t="shared" si="115"/>
        <v>0</v>
      </c>
      <c r="O353" s="6">
        <f t="shared" si="116"/>
        <v>0</v>
      </c>
      <c r="P353" s="6">
        <f t="shared" si="117"/>
        <v>0</v>
      </c>
      <c r="Q353" s="6">
        <f t="shared" si="118"/>
        <v>0</v>
      </c>
      <c r="R353" s="6">
        <f t="shared" si="119"/>
        <v>0</v>
      </c>
      <c r="S353" s="6">
        <f t="shared" si="120"/>
        <v>0</v>
      </c>
      <c r="T353" s="6">
        <f t="shared" si="121"/>
        <v>0</v>
      </c>
      <c r="U353" s="6">
        <f t="shared" si="122"/>
        <v>0</v>
      </c>
      <c r="V353" s="6">
        <f t="shared" si="123"/>
        <v>0</v>
      </c>
      <c r="W353" s="6">
        <f t="shared" si="124"/>
        <v>0</v>
      </c>
      <c r="X353" s="6">
        <f t="shared" si="125"/>
        <v>0</v>
      </c>
      <c r="Y353" s="6">
        <f t="shared" si="126"/>
        <v>0</v>
      </c>
      <c r="AA353" s="6" t="str">
        <f>IF(最佳化斷筋點!C353="","",最佳化斷筋點!C353)</f>
        <v>下層</v>
      </c>
      <c r="AB353" s="6">
        <f>IF(最佳化斷筋點!D353="","",最佳化斷筋點!D353)</f>
        <v>12</v>
      </c>
      <c r="AC353" s="6">
        <f>IF(最佳化斷筋點!E353="","",最佳化斷筋點!E353)</f>
        <v>11</v>
      </c>
      <c r="AD353" s="6">
        <f>IF(最佳化斷筋點!F353="","",最佳化斷筋點!F353)</f>
        <v>10</v>
      </c>
      <c r="AE353" s="6">
        <f>IF(最佳化斷筋點!G353="","",最佳化斷筋點!G353)</f>
        <v>9</v>
      </c>
      <c r="AF353" s="6">
        <f>IF(最佳化斷筋點!H353="","",最佳化斷筋點!H353)</f>
        <v>9</v>
      </c>
      <c r="AG353" s="6">
        <f>IF(最佳化斷筋點!I353="","",最佳化斷筋點!I353)</f>
        <v>11</v>
      </c>
      <c r="AH353" s="6">
        <f>IF(最佳化斷筋點!J353="","",最佳化斷筋點!J353)</f>
        <v>12</v>
      </c>
      <c r="AI353" s="6">
        <f>IF(最佳化斷筋點!K353="","",最佳化斷筋點!K353)</f>
        <v>13</v>
      </c>
      <c r="AJ353" s="6">
        <f>IF(最佳化斷筋點!L353="","",最佳化斷筋點!L353)</f>
        <v>14</v>
      </c>
      <c r="AK353" s="6">
        <f>IF(最佳化斷筋點!M353="","",最佳化斷筋點!M353)</f>
        <v>14</v>
      </c>
      <c r="AL353" s="6">
        <f>IF(最佳化斷筋點!N353="","",最佳化斷筋點!N353)</f>
        <v>14</v>
      </c>
      <c r="AM353" s="6">
        <f>IF(最佳化斷筋點!O353="","",最佳化斷筋點!O353)</f>
        <v>14</v>
      </c>
      <c r="AN353" s="6">
        <f>IF(最佳化斷筋點!P353="","",最佳化斷筋點!P353)</f>
        <v>14</v>
      </c>
      <c r="AO353" s="6">
        <f>IF(最佳化斷筋點!Q353="","",最佳化斷筋點!Q353)</f>
        <v>13</v>
      </c>
      <c r="AP353" s="6">
        <f>IF(最佳化斷筋點!R353="","",最佳化斷筋點!R353)</f>
        <v>12</v>
      </c>
      <c r="AQ353" s="6">
        <f>IF(最佳化斷筋點!S353="","",最佳化斷筋點!S353)</f>
        <v>11</v>
      </c>
      <c r="AR353" s="6">
        <f>IF(最佳化斷筋點!T353="","",最佳化斷筋點!T353)</f>
        <v>9</v>
      </c>
      <c r="AS353" s="6">
        <f>IF(最佳化斷筋點!U353="","",最佳化斷筋點!U353)</f>
        <v>9</v>
      </c>
      <c r="AT353" s="6">
        <f>IF(最佳化斷筋點!V353="","",最佳化斷筋點!V353)</f>
        <v>10</v>
      </c>
      <c r="AU353" s="6">
        <f>IF(最佳化斷筋點!W353="","",最佳化斷筋點!W353)</f>
        <v>11</v>
      </c>
      <c r="AV353" s="6">
        <f>IF(最佳化斷筋點!X353="","",最佳化斷筋點!X353)</f>
        <v>12</v>
      </c>
      <c r="AX353" s="6" t="s">
        <v>51</v>
      </c>
      <c r="AY353" s="6">
        <v>12</v>
      </c>
      <c r="AZ353" s="6">
        <v>11</v>
      </c>
      <c r="BA353" s="6">
        <v>10</v>
      </c>
      <c r="BB353" s="6">
        <v>9</v>
      </c>
      <c r="BC353" s="6">
        <v>9</v>
      </c>
      <c r="BD353" s="6">
        <v>11</v>
      </c>
      <c r="BE353" s="6">
        <v>12</v>
      </c>
      <c r="BF353" s="6">
        <v>13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13</v>
      </c>
      <c r="BM353" s="6">
        <v>12</v>
      </c>
      <c r="BN353" s="6">
        <v>11</v>
      </c>
      <c r="BO353" s="6">
        <v>9</v>
      </c>
      <c r="BP353" s="6">
        <v>9</v>
      </c>
      <c r="BQ353" s="6">
        <v>10</v>
      </c>
      <c r="BR353" s="6">
        <v>11</v>
      </c>
      <c r="BS353" s="6">
        <v>12</v>
      </c>
    </row>
    <row r="354" spans="4:71" x14ac:dyDescent="0.25">
      <c r="E354" s="6">
        <f t="shared" si="106"/>
        <v>0</v>
      </c>
      <c r="F354" s="6">
        <f t="shared" si="107"/>
        <v>0</v>
      </c>
      <c r="G354" s="6">
        <f t="shared" si="108"/>
        <v>0</v>
      </c>
      <c r="H354" s="6">
        <f t="shared" si="109"/>
        <v>0</v>
      </c>
      <c r="I354" s="6">
        <f t="shared" si="110"/>
        <v>0</v>
      </c>
      <c r="J354" s="6">
        <f t="shared" si="111"/>
        <v>0</v>
      </c>
      <c r="K354" s="6">
        <f t="shared" si="112"/>
        <v>0</v>
      </c>
      <c r="L354" s="6">
        <f t="shared" si="113"/>
        <v>0</v>
      </c>
      <c r="M354" s="6">
        <f t="shared" si="114"/>
        <v>0</v>
      </c>
      <c r="N354" s="6">
        <f t="shared" si="115"/>
        <v>0</v>
      </c>
      <c r="O354" s="6">
        <f t="shared" si="116"/>
        <v>0</v>
      </c>
      <c r="P354" s="6">
        <f t="shared" si="117"/>
        <v>0</v>
      </c>
      <c r="Q354" s="6">
        <f t="shared" si="118"/>
        <v>0</v>
      </c>
      <c r="R354" s="6">
        <f t="shared" si="119"/>
        <v>0</v>
      </c>
      <c r="S354" s="6">
        <f t="shared" si="120"/>
        <v>0</v>
      </c>
      <c r="T354" s="6">
        <f t="shared" si="121"/>
        <v>0</v>
      </c>
      <c r="U354" s="6">
        <f t="shared" si="122"/>
        <v>0</v>
      </c>
      <c r="V354" s="6">
        <f t="shared" si="123"/>
        <v>0</v>
      </c>
      <c r="W354" s="6">
        <f t="shared" si="124"/>
        <v>0</v>
      </c>
      <c r="X354" s="6">
        <f t="shared" si="125"/>
        <v>0</v>
      </c>
      <c r="Y354" s="6">
        <f t="shared" si="126"/>
        <v>0</v>
      </c>
      <c r="AA354" s="6" t="str">
        <f>IF(最佳化斷筋點!C354="","",最佳化斷筋點!C354)</f>
        <v/>
      </c>
      <c r="AB354" s="6" t="str">
        <f>IF(最佳化斷筋點!D354="","",最佳化斷筋點!D354)</f>
        <v/>
      </c>
      <c r="AC354" s="6" t="str">
        <f>IF(最佳化斷筋點!E354="","",最佳化斷筋點!E354)</f>
        <v/>
      </c>
      <c r="AD354" s="6" t="str">
        <f>IF(最佳化斷筋點!F354="","",最佳化斷筋點!F354)</f>
        <v/>
      </c>
      <c r="AE354" s="6" t="str">
        <f>IF(最佳化斷筋點!G354="","",最佳化斷筋點!G354)</f>
        <v/>
      </c>
      <c r="AF354" s="6" t="str">
        <f>IF(最佳化斷筋點!H354="","",最佳化斷筋點!H354)</f>
        <v/>
      </c>
      <c r="AG354" s="6" t="str">
        <f>IF(最佳化斷筋點!I354="","",最佳化斷筋點!I354)</f>
        <v/>
      </c>
      <c r="AH354" s="6" t="str">
        <f>IF(最佳化斷筋點!J354="","",最佳化斷筋點!J354)</f>
        <v/>
      </c>
      <c r="AI354" s="6" t="str">
        <f>IF(最佳化斷筋點!K354="","",最佳化斷筋點!K354)</f>
        <v/>
      </c>
      <c r="AJ354" s="6" t="str">
        <f>IF(最佳化斷筋點!L354="","",最佳化斷筋點!L354)</f>
        <v/>
      </c>
      <c r="AK354" s="6" t="str">
        <f>IF(最佳化斷筋點!M354="","",最佳化斷筋點!M354)</f>
        <v/>
      </c>
      <c r="AL354" s="6" t="str">
        <f>IF(最佳化斷筋點!N354="","",最佳化斷筋點!N354)</f>
        <v/>
      </c>
      <c r="AM354" s="6" t="str">
        <f>IF(最佳化斷筋點!O354="","",最佳化斷筋點!O354)</f>
        <v/>
      </c>
      <c r="AN354" s="6" t="str">
        <f>IF(最佳化斷筋點!P354="","",最佳化斷筋點!P354)</f>
        <v/>
      </c>
      <c r="AO354" s="6" t="str">
        <f>IF(最佳化斷筋點!Q354="","",最佳化斷筋點!Q354)</f>
        <v/>
      </c>
      <c r="AP354" s="6" t="str">
        <f>IF(最佳化斷筋點!R354="","",最佳化斷筋點!R354)</f>
        <v/>
      </c>
      <c r="AQ354" s="6" t="str">
        <f>IF(最佳化斷筋點!S354="","",最佳化斷筋點!S354)</f>
        <v/>
      </c>
      <c r="AR354" s="6" t="str">
        <f>IF(最佳化斷筋點!T354="","",最佳化斷筋點!T354)</f>
        <v/>
      </c>
      <c r="AS354" s="6" t="str">
        <f>IF(最佳化斷筋點!U354="","",最佳化斷筋點!U354)</f>
        <v/>
      </c>
      <c r="AT354" s="6" t="str">
        <f>IF(最佳化斷筋點!V354="","",最佳化斷筋點!V354)</f>
        <v/>
      </c>
      <c r="AU354" s="6" t="str">
        <f>IF(最佳化斷筋點!W354="","",最佳化斷筋點!W354)</f>
        <v/>
      </c>
      <c r="AV354" s="6" t="str">
        <f>IF(最佳化斷筋點!X354="","",最佳化斷筋點!X354)</f>
        <v/>
      </c>
    </row>
    <row r="355" spans="4:71" x14ac:dyDescent="0.25">
      <c r="D355" s="6" t="s">
        <v>50</v>
      </c>
      <c r="E355" s="6">
        <f t="shared" si="106"/>
        <v>0</v>
      </c>
      <c r="F355" s="6">
        <f t="shared" si="107"/>
        <v>0</v>
      </c>
      <c r="G355" s="6">
        <f t="shared" si="108"/>
        <v>0</v>
      </c>
      <c r="H355" s="6">
        <f t="shared" si="109"/>
        <v>0</v>
      </c>
      <c r="I355" s="6">
        <f t="shared" si="110"/>
        <v>0</v>
      </c>
      <c r="J355" s="6">
        <f t="shared" si="111"/>
        <v>0</v>
      </c>
      <c r="K355" s="6">
        <f t="shared" si="112"/>
        <v>0</v>
      </c>
      <c r="L355" s="6">
        <f t="shared" si="113"/>
        <v>0</v>
      </c>
      <c r="M355" s="6">
        <f t="shared" si="114"/>
        <v>0</v>
      </c>
      <c r="N355" s="6">
        <f t="shared" si="115"/>
        <v>0</v>
      </c>
      <c r="O355" s="6">
        <f t="shared" si="116"/>
        <v>0</v>
      </c>
      <c r="P355" s="6">
        <f t="shared" si="117"/>
        <v>0</v>
      </c>
      <c r="Q355" s="6">
        <f t="shared" si="118"/>
        <v>0</v>
      </c>
      <c r="R355" s="6">
        <f t="shared" si="119"/>
        <v>0</v>
      </c>
      <c r="S355" s="6">
        <f t="shared" si="120"/>
        <v>0</v>
      </c>
      <c r="T355" s="6">
        <f t="shared" si="121"/>
        <v>0</v>
      </c>
      <c r="U355" s="6">
        <f t="shared" si="122"/>
        <v>0</v>
      </c>
      <c r="V355" s="6">
        <f t="shared" si="123"/>
        <v>0</v>
      </c>
      <c r="W355" s="6">
        <f t="shared" si="124"/>
        <v>0</v>
      </c>
      <c r="X355" s="6">
        <f t="shared" si="125"/>
        <v>0</v>
      </c>
      <c r="Y355" s="6">
        <f t="shared" si="126"/>
        <v>0</v>
      </c>
      <c r="AA355" s="6" t="str">
        <f>IF(最佳化斷筋點!C355="","",最佳化斷筋點!C355)</f>
        <v>上層</v>
      </c>
      <c r="AB355" s="6">
        <f>IF(最佳化斷筋點!D355="","",最佳化斷筋點!D355)</f>
        <v>12</v>
      </c>
      <c r="AC355" s="6">
        <f>IF(最佳化斷筋點!E355="","",最佳化斷筋點!E355)</f>
        <v>11</v>
      </c>
      <c r="AD355" s="6">
        <f>IF(最佳化斷筋點!F355="","",最佳化斷筋點!F355)</f>
        <v>10</v>
      </c>
      <c r="AE355" s="6">
        <f>IF(最佳化斷筋點!G355="","",最佳化斷筋點!G355)</f>
        <v>9</v>
      </c>
      <c r="AF355" s="6">
        <f>IF(最佳化斷筋點!H355="","",最佳化斷筋點!H355)</f>
        <v>8</v>
      </c>
      <c r="AG355" s="6">
        <f>IF(最佳化斷筋點!I355="","",最佳化斷筋點!I355)</f>
        <v>7</v>
      </c>
      <c r="AH355" s="6">
        <f>IF(最佳化斷筋點!J355="","",最佳化斷筋點!J355)</f>
        <v>5</v>
      </c>
      <c r="AI355" s="6">
        <f>IF(最佳化斷筋點!K355="","",最佳化斷筋點!K355)</f>
        <v>4</v>
      </c>
      <c r="AJ355" s="6">
        <f>IF(最佳化斷筋點!L355="","",最佳化斷筋點!L355)</f>
        <v>3</v>
      </c>
      <c r="AK355" s="6">
        <f>IF(最佳化斷筋點!M355="","",最佳化斷筋點!M355)</f>
        <v>2</v>
      </c>
      <c r="AL355" s="6">
        <f>IF(最佳化斷筋點!N355="","",最佳化斷筋點!N355)</f>
        <v>2</v>
      </c>
      <c r="AM355" s="6">
        <f>IF(最佳化斷筋點!O355="","",最佳化斷筋點!O355)</f>
        <v>2</v>
      </c>
      <c r="AN355" s="6">
        <f>IF(最佳化斷筋點!P355="","",最佳化斷筋點!P355)</f>
        <v>3</v>
      </c>
      <c r="AO355" s="6">
        <f>IF(最佳化斷筋點!Q355="","",最佳化斷筋點!Q355)</f>
        <v>4</v>
      </c>
      <c r="AP355" s="6">
        <f>IF(最佳化斷筋點!R355="","",最佳化斷筋點!R355)</f>
        <v>5</v>
      </c>
      <c r="AQ355" s="6">
        <f>IF(最佳化斷筋點!S355="","",最佳化斷筋點!S355)</f>
        <v>6</v>
      </c>
      <c r="AR355" s="6">
        <f>IF(最佳化斷筋點!T355="","",最佳化斷筋點!T355)</f>
        <v>8</v>
      </c>
      <c r="AS355" s="6">
        <f>IF(最佳化斷筋點!U355="","",最佳化斷筋點!U355)</f>
        <v>9</v>
      </c>
      <c r="AT355" s="6">
        <f>IF(最佳化斷筋點!V355="","",最佳化斷筋點!V355)</f>
        <v>10</v>
      </c>
      <c r="AU355" s="6">
        <f>IF(最佳化斷筋點!W355="","",最佳化斷筋點!W355)</f>
        <v>11</v>
      </c>
      <c r="AV355" s="6">
        <f>IF(最佳化斷筋點!X355="","",最佳化斷筋點!X355)</f>
        <v>12</v>
      </c>
      <c r="AX355" s="6" t="s">
        <v>50</v>
      </c>
      <c r="AY355" s="6">
        <v>12</v>
      </c>
      <c r="AZ355" s="6">
        <v>11</v>
      </c>
      <c r="BA355" s="6">
        <v>10</v>
      </c>
      <c r="BB355" s="6">
        <v>9</v>
      </c>
      <c r="BC355" s="6">
        <v>8</v>
      </c>
      <c r="BD355" s="6">
        <v>7</v>
      </c>
      <c r="BE355" s="6">
        <v>5</v>
      </c>
      <c r="BF355" s="6">
        <v>4</v>
      </c>
      <c r="BG355" s="6">
        <v>3</v>
      </c>
      <c r="BH355" s="6">
        <v>2</v>
      </c>
      <c r="BI355" s="6">
        <v>2</v>
      </c>
      <c r="BJ355" s="6">
        <v>2</v>
      </c>
      <c r="BK355" s="6">
        <v>3</v>
      </c>
      <c r="BL355" s="6">
        <v>4</v>
      </c>
      <c r="BM355" s="6">
        <v>5</v>
      </c>
      <c r="BN355" s="6">
        <v>6</v>
      </c>
      <c r="BO355" s="6">
        <v>8</v>
      </c>
      <c r="BP355" s="6">
        <v>9</v>
      </c>
      <c r="BQ355" s="6">
        <v>10</v>
      </c>
      <c r="BR355" s="6">
        <v>11</v>
      </c>
      <c r="BS355" s="6">
        <v>12</v>
      </c>
    </row>
    <row r="356" spans="4:71" x14ac:dyDescent="0.25">
      <c r="E356" s="6">
        <f t="shared" si="106"/>
        <v>0</v>
      </c>
      <c r="F356" s="6">
        <f t="shared" si="107"/>
        <v>0</v>
      </c>
      <c r="G356" s="6">
        <f t="shared" si="108"/>
        <v>0</v>
      </c>
      <c r="H356" s="6">
        <f t="shared" si="109"/>
        <v>0</v>
      </c>
      <c r="I356" s="6">
        <f t="shared" si="110"/>
        <v>0</v>
      </c>
      <c r="J356" s="6">
        <f t="shared" si="111"/>
        <v>0</v>
      </c>
      <c r="K356" s="6">
        <f t="shared" si="112"/>
        <v>0</v>
      </c>
      <c r="L356" s="6">
        <f t="shared" si="113"/>
        <v>0</v>
      </c>
      <c r="M356" s="6">
        <f t="shared" si="114"/>
        <v>0</v>
      </c>
      <c r="N356" s="6">
        <f t="shared" si="115"/>
        <v>0</v>
      </c>
      <c r="O356" s="6">
        <f t="shared" si="116"/>
        <v>0</v>
      </c>
      <c r="P356" s="6">
        <f t="shared" si="117"/>
        <v>0</v>
      </c>
      <c r="Q356" s="6">
        <f t="shared" si="118"/>
        <v>0</v>
      </c>
      <c r="R356" s="6">
        <f t="shared" si="119"/>
        <v>0</v>
      </c>
      <c r="S356" s="6">
        <f t="shared" si="120"/>
        <v>0</v>
      </c>
      <c r="T356" s="6">
        <f t="shared" si="121"/>
        <v>0</v>
      </c>
      <c r="U356" s="6">
        <f t="shared" si="122"/>
        <v>0</v>
      </c>
      <c r="V356" s="6">
        <f t="shared" si="123"/>
        <v>0</v>
      </c>
      <c r="W356" s="6">
        <f t="shared" si="124"/>
        <v>0</v>
      </c>
      <c r="X356" s="6">
        <f t="shared" si="125"/>
        <v>0</v>
      </c>
      <c r="Y356" s="6">
        <f t="shared" si="126"/>
        <v>0</v>
      </c>
      <c r="AA356" s="6" t="str">
        <f>IF(最佳化斷筋點!C356="","",最佳化斷筋點!C356)</f>
        <v/>
      </c>
      <c r="AB356" s="6" t="str">
        <f>IF(最佳化斷筋點!D356="","",最佳化斷筋點!D356)</f>
        <v/>
      </c>
      <c r="AC356" s="6" t="str">
        <f>IF(最佳化斷筋點!E356="","",最佳化斷筋點!E356)</f>
        <v/>
      </c>
      <c r="AD356" s="6" t="str">
        <f>IF(最佳化斷筋點!F356="","",最佳化斷筋點!F356)</f>
        <v/>
      </c>
      <c r="AE356" s="6" t="str">
        <f>IF(最佳化斷筋點!G356="","",最佳化斷筋點!G356)</f>
        <v/>
      </c>
      <c r="AF356" s="6" t="str">
        <f>IF(最佳化斷筋點!H356="","",最佳化斷筋點!H356)</f>
        <v/>
      </c>
      <c r="AG356" s="6" t="str">
        <f>IF(最佳化斷筋點!I356="","",最佳化斷筋點!I356)</f>
        <v/>
      </c>
      <c r="AH356" s="6" t="str">
        <f>IF(最佳化斷筋點!J356="","",最佳化斷筋點!J356)</f>
        <v/>
      </c>
      <c r="AI356" s="6" t="str">
        <f>IF(最佳化斷筋點!K356="","",最佳化斷筋點!K356)</f>
        <v/>
      </c>
      <c r="AJ356" s="6" t="str">
        <f>IF(最佳化斷筋點!L356="","",最佳化斷筋點!L356)</f>
        <v/>
      </c>
      <c r="AK356" s="6" t="str">
        <f>IF(最佳化斷筋點!M356="","",最佳化斷筋點!M356)</f>
        <v/>
      </c>
      <c r="AL356" s="6" t="str">
        <f>IF(最佳化斷筋點!N356="","",最佳化斷筋點!N356)</f>
        <v/>
      </c>
      <c r="AM356" s="6" t="str">
        <f>IF(最佳化斷筋點!O356="","",最佳化斷筋點!O356)</f>
        <v/>
      </c>
      <c r="AN356" s="6" t="str">
        <f>IF(最佳化斷筋點!P356="","",最佳化斷筋點!P356)</f>
        <v/>
      </c>
      <c r="AO356" s="6" t="str">
        <f>IF(最佳化斷筋點!Q356="","",最佳化斷筋點!Q356)</f>
        <v/>
      </c>
      <c r="AP356" s="6" t="str">
        <f>IF(最佳化斷筋點!R356="","",最佳化斷筋點!R356)</f>
        <v/>
      </c>
      <c r="AQ356" s="6" t="str">
        <f>IF(最佳化斷筋點!S356="","",最佳化斷筋點!S356)</f>
        <v/>
      </c>
      <c r="AR356" s="6" t="str">
        <f>IF(最佳化斷筋點!T356="","",最佳化斷筋點!T356)</f>
        <v/>
      </c>
      <c r="AS356" s="6" t="str">
        <f>IF(最佳化斷筋點!U356="","",最佳化斷筋點!U356)</f>
        <v/>
      </c>
      <c r="AT356" s="6" t="str">
        <f>IF(最佳化斷筋點!V356="","",最佳化斷筋點!V356)</f>
        <v/>
      </c>
      <c r="AU356" s="6" t="str">
        <f>IF(最佳化斷筋點!W356="","",最佳化斷筋點!W356)</f>
        <v/>
      </c>
      <c r="AV356" s="6" t="str">
        <f>IF(最佳化斷筋點!X356="","",最佳化斷筋點!X356)</f>
        <v/>
      </c>
    </row>
    <row r="357" spans="4:71" x14ac:dyDescent="0.25">
      <c r="D357" s="6" t="s">
        <v>51</v>
      </c>
      <c r="E357" s="6">
        <f t="shared" si="106"/>
        <v>0</v>
      </c>
      <c r="F357" s="6">
        <f t="shared" si="107"/>
        <v>0</v>
      </c>
      <c r="G357" s="6">
        <f t="shared" si="108"/>
        <v>0</v>
      </c>
      <c r="H357" s="6">
        <f t="shared" si="109"/>
        <v>0</v>
      </c>
      <c r="I357" s="6">
        <f t="shared" si="110"/>
        <v>0</v>
      </c>
      <c r="J357" s="6">
        <f t="shared" si="111"/>
        <v>0</v>
      </c>
      <c r="K357" s="6">
        <f t="shared" si="112"/>
        <v>0</v>
      </c>
      <c r="L357" s="6">
        <f t="shared" si="113"/>
        <v>0</v>
      </c>
      <c r="M357" s="6">
        <f t="shared" si="114"/>
        <v>0</v>
      </c>
      <c r="N357" s="6">
        <f t="shared" si="115"/>
        <v>0</v>
      </c>
      <c r="O357" s="6">
        <f t="shared" si="116"/>
        <v>0</v>
      </c>
      <c r="P357" s="6">
        <f t="shared" si="117"/>
        <v>0</v>
      </c>
      <c r="Q357" s="6">
        <f t="shared" si="118"/>
        <v>0</v>
      </c>
      <c r="R357" s="6">
        <f t="shared" si="119"/>
        <v>0</v>
      </c>
      <c r="S357" s="6">
        <f t="shared" si="120"/>
        <v>0</v>
      </c>
      <c r="T357" s="6">
        <f t="shared" si="121"/>
        <v>0</v>
      </c>
      <c r="U357" s="6">
        <f t="shared" si="122"/>
        <v>0</v>
      </c>
      <c r="V357" s="6">
        <f t="shared" si="123"/>
        <v>0</v>
      </c>
      <c r="W357" s="6">
        <f t="shared" si="124"/>
        <v>0</v>
      </c>
      <c r="X357" s="6">
        <f t="shared" si="125"/>
        <v>0</v>
      </c>
      <c r="Y357" s="6">
        <f t="shared" si="126"/>
        <v>0</v>
      </c>
      <c r="AA357" s="6" t="str">
        <f>IF(最佳化斷筋點!C357="","",最佳化斷筋點!C357)</f>
        <v>下層</v>
      </c>
      <c r="AB357" s="6">
        <f>IF(最佳化斷筋點!D357="","",最佳化斷筋點!D357)</f>
        <v>12</v>
      </c>
      <c r="AC357" s="6">
        <f>IF(最佳化斷筋點!E357="","",最佳化斷筋點!E357)</f>
        <v>11</v>
      </c>
      <c r="AD357" s="6">
        <f>IF(最佳化斷筋點!F357="","",最佳化斷筋點!F357)</f>
        <v>10</v>
      </c>
      <c r="AE357" s="6">
        <f>IF(最佳化斷筋點!G357="","",最佳化斷筋點!G357)</f>
        <v>9</v>
      </c>
      <c r="AF357" s="6">
        <f>IF(最佳化斷筋點!H357="","",最佳化斷筋點!H357)</f>
        <v>9</v>
      </c>
      <c r="AG357" s="6">
        <f>IF(最佳化斷筋點!I357="","",最佳化斷筋點!I357)</f>
        <v>11</v>
      </c>
      <c r="AH357" s="6">
        <f>IF(最佳化斷筋點!J357="","",最佳化斷筋點!J357)</f>
        <v>12</v>
      </c>
      <c r="AI357" s="6">
        <f>IF(最佳化斷筋點!K357="","",最佳化斷筋點!K357)</f>
        <v>13</v>
      </c>
      <c r="AJ357" s="6">
        <f>IF(最佳化斷筋點!L357="","",最佳化斷筋點!L357)</f>
        <v>14</v>
      </c>
      <c r="AK357" s="6">
        <f>IF(最佳化斷筋點!M357="","",最佳化斷筋點!M357)</f>
        <v>14</v>
      </c>
      <c r="AL357" s="6">
        <f>IF(最佳化斷筋點!N357="","",最佳化斷筋點!N357)</f>
        <v>14</v>
      </c>
      <c r="AM357" s="6">
        <f>IF(最佳化斷筋點!O357="","",最佳化斷筋點!O357)</f>
        <v>14</v>
      </c>
      <c r="AN357" s="6">
        <f>IF(最佳化斷筋點!P357="","",最佳化斷筋點!P357)</f>
        <v>14</v>
      </c>
      <c r="AO357" s="6">
        <f>IF(最佳化斷筋點!Q357="","",最佳化斷筋點!Q357)</f>
        <v>13</v>
      </c>
      <c r="AP357" s="6">
        <f>IF(最佳化斷筋點!R357="","",最佳化斷筋點!R357)</f>
        <v>12</v>
      </c>
      <c r="AQ357" s="6">
        <f>IF(最佳化斷筋點!S357="","",最佳化斷筋點!S357)</f>
        <v>11</v>
      </c>
      <c r="AR357" s="6">
        <f>IF(最佳化斷筋點!T357="","",最佳化斷筋點!T357)</f>
        <v>9</v>
      </c>
      <c r="AS357" s="6">
        <f>IF(最佳化斷筋點!U357="","",最佳化斷筋點!U357)</f>
        <v>9</v>
      </c>
      <c r="AT357" s="6">
        <f>IF(最佳化斷筋點!V357="","",最佳化斷筋點!V357)</f>
        <v>10</v>
      </c>
      <c r="AU357" s="6">
        <f>IF(最佳化斷筋點!W357="","",最佳化斷筋點!W357)</f>
        <v>11</v>
      </c>
      <c r="AV357" s="6">
        <f>IF(最佳化斷筋點!X357="","",最佳化斷筋點!X357)</f>
        <v>12</v>
      </c>
      <c r="AX357" s="6" t="s">
        <v>51</v>
      </c>
      <c r="AY357" s="6">
        <v>12</v>
      </c>
      <c r="AZ357" s="6">
        <v>11</v>
      </c>
      <c r="BA357" s="6">
        <v>10</v>
      </c>
      <c r="BB357" s="6">
        <v>9</v>
      </c>
      <c r="BC357" s="6">
        <v>9</v>
      </c>
      <c r="BD357" s="6">
        <v>11</v>
      </c>
      <c r="BE357" s="6">
        <v>12</v>
      </c>
      <c r="BF357" s="6">
        <v>13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13</v>
      </c>
      <c r="BM357" s="6">
        <v>12</v>
      </c>
      <c r="BN357" s="6">
        <v>11</v>
      </c>
      <c r="BO357" s="6">
        <v>9</v>
      </c>
      <c r="BP357" s="6">
        <v>9</v>
      </c>
      <c r="BQ357" s="6">
        <v>10</v>
      </c>
      <c r="BR357" s="6">
        <v>11</v>
      </c>
      <c r="BS357" s="6">
        <v>12</v>
      </c>
    </row>
    <row r="358" spans="4:71" x14ac:dyDescent="0.25">
      <c r="E358" s="6">
        <f t="shared" si="106"/>
        <v>0</v>
      </c>
      <c r="F358" s="6">
        <f t="shared" si="107"/>
        <v>0</v>
      </c>
      <c r="G358" s="6">
        <f t="shared" si="108"/>
        <v>0</v>
      </c>
      <c r="H358" s="6">
        <f t="shared" si="109"/>
        <v>0</v>
      </c>
      <c r="I358" s="6">
        <f t="shared" si="110"/>
        <v>0</v>
      </c>
      <c r="J358" s="6">
        <f t="shared" si="111"/>
        <v>0</v>
      </c>
      <c r="K358" s="6">
        <f t="shared" si="112"/>
        <v>0</v>
      </c>
      <c r="L358" s="6">
        <f t="shared" si="113"/>
        <v>0</v>
      </c>
      <c r="M358" s="6">
        <f t="shared" si="114"/>
        <v>0</v>
      </c>
      <c r="N358" s="6">
        <f t="shared" si="115"/>
        <v>0</v>
      </c>
      <c r="O358" s="6">
        <f t="shared" si="116"/>
        <v>0</v>
      </c>
      <c r="P358" s="6">
        <f t="shared" si="117"/>
        <v>0</v>
      </c>
      <c r="Q358" s="6">
        <f t="shared" si="118"/>
        <v>0</v>
      </c>
      <c r="R358" s="6">
        <f t="shared" si="119"/>
        <v>0</v>
      </c>
      <c r="S358" s="6">
        <f t="shared" si="120"/>
        <v>0</v>
      </c>
      <c r="T358" s="6">
        <f t="shared" si="121"/>
        <v>0</v>
      </c>
      <c r="U358" s="6">
        <f t="shared" si="122"/>
        <v>0</v>
      </c>
      <c r="V358" s="6">
        <f t="shared" si="123"/>
        <v>0</v>
      </c>
      <c r="W358" s="6">
        <f t="shared" si="124"/>
        <v>0</v>
      </c>
      <c r="X358" s="6">
        <f t="shared" si="125"/>
        <v>0</v>
      </c>
      <c r="Y358" s="6">
        <f t="shared" si="126"/>
        <v>0</v>
      </c>
      <c r="AA358" s="6" t="str">
        <f>IF(最佳化斷筋點!C358="","",最佳化斷筋點!C358)</f>
        <v/>
      </c>
      <c r="AB358" s="6" t="str">
        <f>IF(最佳化斷筋點!D358="","",最佳化斷筋點!D358)</f>
        <v/>
      </c>
      <c r="AC358" s="6" t="str">
        <f>IF(最佳化斷筋點!E358="","",最佳化斷筋點!E358)</f>
        <v/>
      </c>
      <c r="AD358" s="6" t="str">
        <f>IF(最佳化斷筋點!F358="","",最佳化斷筋點!F358)</f>
        <v/>
      </c>
      <c r="AE358" s="6" t="str">
        <f>IF(最佳化斷筋點!G358="","",最佳化斷筋點!G358)</f>
        <v/>
      </c>
      <c r="AF358" s="6" t="str">
        <f>IF(最佳化斷筋點!H358="","",最佳化斷筋點!H358)</f>
        <v/>
      </c>
      <c r="AG358" s="6" t="str">
        <f>IF(最佳化斷筋點!I358="","",最佳化斷筋點!I358)</f>
        <v/>
      </c>
      <c r="AH358" s="6" t="str">
        <f>IF(最佳化斷筋點!J358="","",最佳化斷筋點!J358)</f>
        <v/>
      </c>
      <c r="AI358" s="6" t="str">
        <f>IF(最佳化斷筋點!K358="","",最佳化斷筋點!K358)</f>
        <v/>
      </c>
      <c r="AJ358" s="6" t="str">
        <f>IF(最佳化斷筋點!L358="","",最佳化斷筋點!L358)</f>
        <v/>
      </c>
      <c r="AK358" s="6" t="str">
        <f>IF(最佳化斷筋點!M358="","",最佳化斷筋點!M358)</f>
        <v/>
      </c>
      <c r="AL358" s="6" t="str">
        <f>IF(最佳化斷筋點!N358="","",最佳化斷筋點!N358)</f>
        <v/>
      </c>
      <c r="AM358" s="6" t="str">
        <f>IF(最佳化斷筋點!O358="","",最佳化斷筋點!O358)</f>
        <v/>
      </c>
      <c r="AN358" s="6" t="str">
        <f>IF(最佳化斷筋點!P358="","",最佳化斷筋點!P358)</f>
        <v/>
      </c>
      <c r="AO358" s="6" t="str">
        <f>IF(最佳化斷筋點!Q358="","",最佳化斷筋點!Q358)</f>
        <v/>
      </c>
      <c r="AP358" s="6" t="str">
        <f>IF(最佳化斷筋點!R358="","",最佳化斷筋點!R358)</f>
        <v/>
      </c>
      <c r="AQ358" s="6" t="str">
        <f>IF(最佳化斷筋點!S358="","",最佳化斷筋點!S358)</f>
        <v/>
      </c>
      <c r="AR358" s="6" t="str">
        <f>IF(最佳化斷筋點!T358="","",最佳化斷筋點!T358)</f>
        <v/>
      </c>
      <c r="AS358" s="6" t="str">
        <f>IF(最佳化斷筋點!U358="","",最佳化斷筋點!U358)</f>
        <v/>
      </c>
      <c r="AT358" s="6" t="str">
        <f>IF(最佳化斷筋點!V358="","",最佳化斷筋點!V358)</f>
        <v/>
      </c>
      <c r="AU358" s="6" t="str">
        <f>IF(最佳化斷筋點!W358="","",最佳化斷筋點!W358)</f>
        <v/>
      </c>
      <c r="AV358" s="6" t="str">
        <f>IF(最佳化斷筋點!X358="","",最佳化斷筋點!X358)</f>
        <v/>
      </c>
    </row>
    <row r="359" spans="4:71" x14ac:dyDescent="0.25">
      <c r="D359" s="6" t="s">
        <v>50</v>
      </c>
      <c r="E359" s="6">
        <f t="shared" si="106"/>
        <v>0</v>
      </c>
      <c r="F359" s="6">
        <f t="shared" si="107"/>
        <v>0</v>
      </c>
      <c r="G359" s="6">
        <f t="shared" si="108"/>
        <v>0</v>
      </c>
      <c r="H359" s="6">
        <f t="shared" si="109"/>
        <v>0</v>
      </c>
      <c r="I359" s="6">
        <f t="shared" si="110"/>
        <v>0</v>
      </c>
      <c r="J359" s="6">
        <f t="shared" si="111"/>
        <v>0</v>
      </c>
      <c r="K359" s="6">
        <f t="shared" si="112"/>
        <v>0</v>
      </c>
      <c r="L359" s="6">
        <f t="shared" si="113"/>
        <v>0</v>
      </c>
      <c r="M359" s="6">
        <f t="shared" si="114"/>
        <v>0</v>
      </c>
      <c r="N359" s="6">
        <f t="shared" si="115"/>
        <v>0</v>
      </c>
      <c r="O359" s="6">
        <f t="shared" si="116"/>
        <v>0</v>
      </c>
      <c r="P359" s="6">
        <f t="shared" si="117"/>
        <v>0</v>
      </c>
      <c r="Q359" s="6">
        <f t="shared" si="118"/>
        <v>0</v>
      </c>
      <c r="R359" s="6">
        <f t="shared" si="119"/>
        <v>0</v>
      </c>
      <c r="S359" s="6">
        <f t="shared" si="120"/>
        <v>0</v>
      </c>
      <c r="T359" s="6">
        <f t="shared" si="121"/>
        <v>0</v>
      </c>
      <c r="U359" s="6">
        <f t="shared" si="122"/>
        <v>0</v>
      </c>
      <c r="V359" s="6">
        <f t="shared" si="123"/>
        <v>0</v>
      </c>
      <c r="W359" s="6">
        <f t="shared" si="124"/>
        <v>0</v>
      </c>
      <c r="X359" s="6">
        <f t="shared" si="125"/>
        <v>0</v>
      </c>
      <c r="Y359" s="6">
        <f t="shared" si="126"/>
        <v>0</v>
      </c>
      <c r="AA359" s="6" t="str">
        <f>IF(最佳化斷筋點!C359="","",最佳化斷筋點!C359)</f>
        <v>上層</v>
      </c>
      <c r="AB359" s="6">
        <f>IF(最佳化斷筋點!D359="","",最佳化斷筋點!D359)</f>
        <v>12</v>
      </c>
      <c r="AC359" s="6">
        <f>IF(最佳化斷筋點!E359="","",最佳化斷筋點!E359)</f>
        <v>11</v>
      </c>
      <c r="AD359" s="6">
        <f>IF(最佳化斷筋點!F359="","",最佳化斷筋點!F359)</f>
        <v>10</v>
      </c>
      <c r="AE359" s="6">
        <f>IF(最佳化斷筋點!G359="","",最佳化斷筋點!G359)</f>
        <v>9</v>
      </c>
      <c r="AF359" s="6">
        <f>IF(最佳化斷筋點!H359="","",最佳化斷筋點!H359)</f>
        <v>8</v>
      </c>
      <c r="AG359" s="6">
        <f>IF(最佳化斷筋點!I359="","",最佳化斷筋點!I359)</f>
        <v>7</v>
      </c>
      <c r="AH359" s="6">
        <f>IF(最佳化斷筋點!J359="","",最佳化斷筋點!J359)</f>
        <v>5</v>
      </c>
      <c r="AI359" s="6">
        <f>IF(最佳化斷筋點!K359="","",最佳化斷筋點!K359)</f>
        <v>4</v>
      </c>
      <c r="AJ359" s="6">
        <f>IF(最佳化斷筋點!L359="","",最佳化斷筋點!L359)</f>
        <v>3</v>
      </c>
      <c r="AK359" s="6">
        <f>IF(最佳化斷筋點!M359="","",最佳化斷筋點!M359)</f>
        <v>2</v>
      </c>
      <c r="AL359" s="6">
        <f>IF(最佳化斷筋點!N359="","",最佳化斷筋點!N359)</f>
        <v>2</v>
      </c>
      <c r="AM359" s="6">
        <f>IF(最佳化斷筋點!O359="","",最佳化斷筋點!O359)</f>
        <v>2</v>
      </c>
      <c r="AN359" s="6">
        <f>IF(最佳化斷筋點!P359="","",最佳化斷筋點!P359)</f>
        <v>3</v>
      </c>
      <c r="AO359" s="6">
        <f>IF(最佳化斷筋點!Q359="","",最佳化斷筋點!Q359)</f>
        <v>4</v>
      </c>
      <c r="AP359" s="6">
        <f>IF(最佳化斷筋點!R359="","",最佳化斷筋點!R359)</f>
        <v>5</v>
      </c>
      <c r="AQ359" s="6">
        <f>IF(最佳化斷筋點!S359="","",最佳化斷筋點!S359)</f>
        <v>6</v>
      </c>
      <c r="AR359" s="6">
        <f>IF(最佳化斷筋點!T359="","",最佳化斷筋點!T359)</f>
        <v>8</v>
      </c>
      <c r="AS359" s="6">
        <f>IF(最佳化斷筋點!U359="","",最佳化斷筋點!U359)</f>
        <v>9</v>
      </c>
      <c r="AT359" s="6">
        <f>IF(最佳化斷筋點!V359="","",最佳化斷筋點!V359)</f>
        <v>10</v>
      </c>
      <c r="AU359" s="6">
        <f>IF(最佳化斷筋點!W359="","",最佳化斷筋點!W359)</f>
        <v>11</v>
      </c>
      <c r="AV359" s="6">
        <f>IF(最佳化斷筋點!X359="","",最佳化斷筋點!X359)</f>
        <v>12</v>
      </c>
      <c r="AX359" s="6" t="s">
        <v>50</v>
      </c>
      <c r="AY359" s="6">
        <v>12</v>
      </c>
      <c r="AZ359" s="6">
        <v>11</v>
      </c>
      <c r="BA359" s="6">
        <v>10</v>
      </c>
      <c r="BB359" s="6">
        <v>9</v>
      </c>
      <c r="BC359" s="6">
        <v>8</v>
      </c>
      <c r="BD359" s="6">
        <v>7</v>
      </c>
      <c r="BE359" s="6">
        <v>5</v>
      </c>
      <c r="BF359" s="6">
        <v>4</v>
      </c>
      <c r="BG359" s="6">
        <v>3</v>
      </c>
      <c r="BH359" s="6">
        <v>2</v>
      </c>
      <c r="BI359" s="6">
        <v>2</v>
      </c>
      <c r="BJ359" s="6">
        <v>2</v>
      </c>
      <c r="BK359" s="6">
        <v>3</v>
      </c>
      <c r="BL359" s="6">
        <v>4</v>
      </c>
      <c r="BM359" s="6">
        <v>5</v>
      </c>
      <c r="BN359" s="6">
        <v>6</v>
      </c>
      <c r="BO359" s="6">
        <v>8</v>
      </c>
      <c r="BP359" s="6">
        <v>9</v>
      </c>
      <c r="BQ359" s="6">
        <v>10</v>
      </c>
      <c r="BR359" s="6">
        <v>11</v>
      </c>
      <c r="BS359" s="6">
        <v>12</v>
      </c>
    </row>
    <row r="360" spans="4:71" x14ac:dyDescent="0.25">
      <c r="E360" s="6">
        <f t="shared" si="106"/>
        <v>0</v>
      </c>
      <c r="F360" s="6">
        <f t="shared" si="107"/>
        <v>0</v>
      </c>
      <c r="G360" s="6">
        <f t="shared" si="108"/>
        <v>0</v>
      </c>
      <c r="H360" s="6">
        <f t="shared" si="109"/>
        <v>0</v>
      </c>
      <c r="I360" s="6">
        <f t="shared" si="110"/>
        <v>0</v>
      </c>
      <c r="J360" s="6">
        <f t="shared" si="111"/>
        <v>0</v>
      </c>
      <c r="K360" s="6">
        <f t="shared" si="112"/>
        <v>0</v>
      </c>
      <c r="L360" s="6">
        <f t="shared" si="113"/>
        <v>0</v>
      </c>
      <c r="M360" s="6">
        <f t="shared" si="114"/>
        <v>0</v>
      </c>
      <c r="N360" s="6">
        <f t="shared" si="115"/>
        <v>0</v>
      </c>
      <c r="O360" s="6">
        <f t="shared" si="116"/>
        <v>0</v>
      </c>
      <c r="P360" s="6">
        <f t="shared" si="117"/>
        <v>0</v>
      </c>
      <c r="Q360" s="6">
        <f t="shared" si="118"/>
        <v>0</v>
      </c>
      <c r="R360" s="6">
        <f t="shared" si="119"/>
        <v>0</v>
      </c>
      <c r="S360" s="6">
        <f t="shared" si="120"/>
        <v>0</v>
      </c>
      <c r="T360" s="6">
        <f t="shared" si="121"/>
        <v>0</v>
      </c>
      <c r="U360" s="6">
        <f t="shared" si="122"/>
        <v>0</v>
      </c>
      <c r="V360" s="6">
        <f t="shared" si="123"/>
        <v>0</v>
      </c>
      <c r="W360" s="6">
        <f t="shared" si="124"/>
        <v>0</v>
      </c>
      <c r="X360" s="6">
        <f t="shared" si="125"/>
        <v>0</v>
      </c>
      <c r="Y360" s="6">
        <f t="shared" si="126"/>
        <v>0</v>
      </c>
      <c r="AA360" s="6" t="str">
        <f>IF(最佳化斷筋點!C360="","",最佳化斷筋點!C360)</f>
        <v/>
      </c>
      <c r="AB360" s="6" t="str">
        <f>IF(最佳化斷筋點!D360="","",最佳化斷筋點!D360)</f>
        <v/>
      </c>
      <c r="AC360" s="6" t="str">
        <f>IF(最佳化斷筋點!E360="","",最佳化斷筋點!E360)</f>
        <v/>
      </c>
      <c r="AD360" s="6" t="str">
        <f>IF(最佳化斷筋點!F360="","",最佳化斷筋點!F360)</f>
        <v/>
      </c>
      <c r="AE360" s="6" t="str">
        <f>IF(最佳化斷筋點!G360="","",最佳化斷筋點!G360)</f>
        <v/>
      </c>
      <c r="AF360" s="6" t="str">
        <f>IF(最佳化斷筋點!H360="","",最佳化斷筋點!H360)</f>
        <v/>
      </c>
      <c r="AG360" s="6" t="str">
        <f>IF(最佳化斷筋點!I360="","",最佳化斷筋點!I360)</f>
        <v/>
      </c>
      <c r="AH360" s="6" t="str">
        <f>IF(最佳化斷筋點!J360="","",最佳化斷筋點!J360)</f>
        <v/>
      </c>
      <c r="AI360" s="6" t="str">
        <f>IF(最佳化斷筋點!K360="","",最佳化斷筋點!K360)</f>
        <v/>
      </c>
      <c r="AJ360" s="6" t="str">
        <f>IF(最佳化斷筋點!L360="","",最佳化斷筋點!L360)</f>
        <v/>
      </c>
      <c r="AK360" s="6" t="str">
        <f>IF(最佳化斷筋點!M360="","",最佳化斷筋點!M360)</f>
        <v/>
      </c>
      <c r="AL360" s="6" t="str">
        <f>IF(最佳化斷筋點!N360="","",最佳化斷筋點!N360)</f>
        <v/>
      </c>
      <c r="AM360" s="6" t="str">
        <f>IF(最佳化斷筋點!O360="","",最佳化斷筋點!O360)</f>
        <v/>
      </c>
      <c r="AN360" s="6" t="str">
        <f>IF(最佳化斷筋點!P360="","",最佳化斷筋點!P360)</f>
        <v/>
      </c>
      <c r="AO360" s="6" t="str">
        <f>IF(最佳化斷筋點!Q360="","",最佳化斷筋點!Q360)</f>
        <v/>
      </c>
      <c r="AP360" s="6" t="str">
        <f>IF(最佳化斷筋點!R360="","",最佳化斷筋點!R360)</f>
        <v/>
      </c>
      <c r="AQ360" s="6" t="str">
        <f>IF(最佳化斷筋點!S360="","",最佳化斷筋點!S360)</f>
        <v/>
      </c>
      <c r="AR360" s="6" t="str">
        <f>IF(最佳化斷筋點!T360="","",最佳化斷筋點!T360)</f>
        <v/>
      </c>
      <c r="AS360" s="6" t="str">
        <f>IF(最佳化斷筋點!U360="","",最佳化斷筋點!U360)</f>
        <v/>
      </c>
      <c r="AT360" s="6" t="str">
        <f>IF(最佳化斷筋點!V360="","",最佳化斷筋點!V360)</f>
        <v/>
      </c>
      <c r="AU360" s="6" t="str">
        <f>IF(最佳化斷筋點!W360="","",最佳化斷筋點!W360)</f>
        <v/>
      </c>
      <c r="AV360" s="6" t="str">
        <f>IF(最佳化斷筋點!X360="","",最佳化斷筋點!X360)</f>
        <v/>
      </c>
    </row>
    <row r="361" spans="4:71" x14ac:dyDescent="0.25">
      <c r="D361" s="6" t="s">
        <v>51</v>
      </c>
      <c r="E361" s="6">
        <f t="shared" si="106"/>
        <v>0</v>
      </c>
      <c r="F361" s="6">
        <f t="shared" si="107"/>
        <v>0</v>
      </c>
      <c r="G361" s="6">
        <f t="shared" si="108"/>
        <v>0</v>
      </c>
      <c r="H361" s="6">
        <f t="shared" si="109"/>
        <v>0</v>
      </c>
      <c r="I361" s="6">
        <f t="shared" si="110"/>
        <v>0</v>
      </c>
      <c r="J361" s="6">
        <f t="shared" si="111"/>
        <v>0</v>
      </c>
      <c r="K361" s="6">
        <f t="shared" si="112"/>
        <v>0</v>
      </c>
      <c r="L361" s="6">
        <f t="shared" si="113"/>
        <v>0</v>
      </c>
      <c r="M361" s="6">
        <f t="shared" si="114"/>
        <v>0</v>
      </c>
      <c r="N361" s="6">
        <f t="shared" si="115"/>
        <v>0</v>
      </c>
      <c r="O361" s="6">
        <f t="shared" si="116"/>
        <v>0</v>
      </c>
      <c r="P361" s="6">
        <f t="shared" si="117"/>
        <v>0</v>
      </c>
      <c r="Q361" s="6">
        <f t="shared" si="118"/>
        <v>0</v>
      </c>
      <c r="R361" s="6">
        <f t="shared" si="119"/>
        <v>0</v>
      </c>
      <c r="S361" s="6">
        <f t="shared" si="120"/>
        <v>0</v>
      </c>
      <c r="T361" s="6">
        <f t="shared" si="121"/>
        <v>0</v>
      </c>
      <c r="U361" s="6">
        <f t="shared" si="122"/>
        <v>0</v>
      </c>
      <c r="V361" s="6">
        <f t="shared" si="123"/>
        <v>0</v>
      </c>
      <c r="W361" s="6">
        <f t="shared" si="124"/>
        <v>0</v>
      </c>
      <c r="X361" s="6">
        <f t="shared" si="125"/>
        <v>0</v>
      </c>
      <c r="Y361" s="6">
        <f t="shared" si="126"/>
        <v>0</v>
      </c>
      <c r="AA361" s="6" t="str">
        <f>IF(最佳化斷筋點!C361="","",最佳化斷筋點!C361)</f>
        <v>下層</v>
      </c>
      <c r="AB361" s="6">
        <f>IF(最佳化斷筋點!D361="","",最佳化斷筋點!D361)</f>
        <v>12</v>
      </c>
      <c r="AC361" s="6">
        <f>IF(最佳化斷筋點!E361="","",最佳化斷筋點!E361)</f>
        <v>11</v>
      </c>
      <c r="AD361" s="6">
        <f>IF(最佳化斷筋點!F361="","",最佳化斷筋點!F361)</f>
        <v>10</v>
      </c>
      <c r="AE361" s="6">
        <f>IF(最佳化斷筋點!G361="","",最佳化斷筋點!G361)</f>
        <v>9</v>
      </c>
      <c r="AF361" s="6">
        <f>IF(最佳化斷筋點!H361="","",最佳化斷筋點!H361)</f>
        <v>9</v>
      </c>
      <c r="AG361" s="6">
        <f>IF(最佳化斷筋點!I361="","",最佳化斷筋點!I361)</f>
        <v>11</v>
      </c>
      <c r="AH361" s="6">
        <f>IF(最佳化斷筋點!J361="","",最佳化斷筋點!J361)</f>
        <v>12</v>
      </c>
      <c r="AI361" s="6">
        <f>IF(最佳化斷筋點!K361="","",最佳化斷筋點!K361)</f>
        <v>13</v>
      </c>
      <c r="AJ361" s="6">
        <f>IF(最佳化斷筋點!L361="","",最佳化斷筋點!L361)</f>
        <v>14</v>
      </c>
      <c r="AK361" s="6">
        <f>IF(最佳化斷筋點!M361="","",最佳化斷筋點!M361)</f>
        <v>14</v>
      </c>
      <c r="AL361" s="6">
        <f>IF(最佳化斷筋點!N361="","",最佳化斷筋點!N361)</f>
        <v>14</v>
      </c>
      <c r="AM361" s="6">
        <f>IF(最佳化斷筋點!O361="","",最佳化斷筋點!O361)</f>
        <v>14</v>
      </c>
      <c r="AN361" s="6">
        <f>IF(最佳化斷筋點!P361="","",最佳化斷筋點!P361)</f>
        <v>14</v>
      </c>
      <c r="AO361" s="6">
        <f>IF(最佳化斷筋點!Q361="","",最佳化斷筋點!Q361)</f>
        <v>13</v>
      </c>
      <c r="AP361" s="6">
        <f>IF(最佳化斷筋點!R361="","",最佳化斷筋點!R361)</f>
        <v>12</v>
      </c>
      <c r="AQ361" s="6">
        <f>IF(最佳化斷筋點!S361="","",最佳化斷筋點!S361)</f>
        <v>11</v>
      </c>
      <c r="AR361" s="6">
        <f>IF(最佳化斷筋點!T361="","",最佳化斷筋點!T361)</f>
        <v>9</v>
      </c>
      <c r="AS361" s="6">
        <f>IF(最佳化斷筋點!U361="","",最佳化斷筋點!U361)</f>
        <v>9</v>
      </c>
      <c r="AT361" s="6">
        <f>IF(最佳化斷筋點!V361="","",最佳化斷筋點!V361)</f>
        <v>10</v>
      </c>
      <c r="AU361" s="6">
        <f>IF(最佳化斷筋點!W361="","",最佳化斷筋點!W361)</f>
        <v>11</v>
      </c>
      <c r="AV361" s="6">
        <f>IF(最佳化斷筋點!X361="","",最佳化斷筋點!X361)</f>
        <v>12</v>
      </c>
      <c r="AX361" s="6" t="s">
        <v>51</v>
      </c>
      <c r="AY361" s="6">
        <v>12</v>
      </c>
      <c r="AZ361" s="6">
        <v>11</v>
      </c>
      <c r="BA361" s="6">
        <v>10</v>
      </c>
      <c r="BB361" s="6">
        <v>9</v>
      </c>
      <c r="BC361" s="6">
        <v>9</v>
      </c>
      <c r="BD361" s="6">
        <v>11</v>
      </c>
      <c r="BE361" s="6">
        <v>12</v>
      </c>
      <c r="BF361" s="6">
        <v>13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13</v>
      </c>
      <c r="BM361" s="6">
        <v>12</v>
      </c>
      <c r="BN361" s="6">
        <v>11</v>
      </c>
      <c r="BO361" s="6">
        <v>9</v>
      </c>
      <c r="BP361" s="6">
        <v>9</v>
      </c>
      <c r="BQ361" s="6">
        <v>10</v>
      </c>
      <c r="BR361" s="6">
        <v>11</v>
      </c>
      <c r="BS361" s="6">
        <v>12</v>
      </c>
    </row>
    <row r="362" spans="4:71" x14ac:dyDescent="0.25">
      <c r="E362" s="6">
        <f t="shared" si="106"/>
        <v>0</v>
      </c>
      <c r="F362" s="6">
        <f t="shared" si="107"/>
        <v>0</v>
      </c>
      <c r="G362" s="6">
        <f t="shared" si="108"/>
        <v>0</v>
      </c>
      <c r="H362" s="6">
        <f t="shared" si="109"/>
        <v>0</v>
      </c>
      <c r="I362" s="6">
        <f t="shared" si="110"/>
        <v>0</v>
      </c>
      <c r="J362" s="6">
        <f t="shared" si="111"/>
        <v>0</v>
      </c>
      <c r="K362" s="6">
        <f t="shared" si="112"/>
        <v>0</v>
      </c>
      <c r="L362" s="6">
        <f t="shared" si="113"/>
        <v>0</v>
      </c>
      <c r="M362" s="6">
        <f t="shared" si="114"/>
        <v>0</v>
      </c>
      <c r="N362" s="6">
        <f t="shared" si="115"/>
        <v>0</v>
      </c>
      <c r="O362" s="6">
        <f t="shared" si="116"/>
        <v>0</v>
      </c>
      <c r="P362" s="6">
        <f t="shared" si="117"/>
        <v>0</v>
      </c>
      <c r="Q362" s="6">
        <f t="shared" si="118"/>
        <v>0</v>
      </c>
      <c r="R362" s="6">
        <f t="shared" si="119"/>
        <v>0</v>
      </c>
      <c r="S362" s="6">
        <f t="shared" si="120"/>
        <v>0</v>
      </c>
      <c r="T362" s="6">
        <f t="shared" si="121"/>
        <v>0</v>
      </c>
      <c r="U362" s="6">
        <f t="shared" si="122"/>
        <v>0</v>
      </c>
      <c r="V362" s="6">
        <f t="shared" si="123"/>
        <v>0</v>
      </c>
      <c r="W362" s="6">
        <f t="shared" si="124"/>
        <v>0</v>
      </c>
      <c r="X362" s="6">
        <f t="shared" si="125"/>
        <v>0</v>
      </c>
      <c r="Y362" s="6">
        <f t="shared" si="126"/>
        <v>0</v>
      </c>
      <c r="AA362" s="6" t="str">
        <f>IF(最佳化斷筋點!C362="","",最佳化斷筋點!C362)</f>
        <v/>
      </c>
      <c r="AB362" s="6" t="str">
        <f>IF(最佳化斷筋點!D362="","",最佳化斷筋點!D362)</f>
        <v/>
      </c>
      <c r="AC362" s="6" t="str">
        <f>IF(最佳化斷筋點!E362="","",最佳化斷筋點!E362)</f>
        <v/>
      </c>
      <c r="AD362" s="6" t="str">
        <f>IF(最佳化斷筋點!F362="","",最佳化斷筋點!F362)</f>
        <v/>
      </c>
      <c r="AE362" s="6" t="str">
        <f>IF(最佳化斷筋點!G362="","",最佳化斷筋點!G362)</f>
        <v/>
      </c>
      <c r="AF362" s="6" t="str">
        <f>IF(最佳化斷筋點!H362="","",最佳化斷筋點!H362)</f>
        <v/>
      </c>
      <c r="AG362" s="6" t="str">
        <f>IF(最佳化斷筋點!I362="","",最佳化斷筋點!I362)</f>
        <v/>
      </c>
      <c r="AH362" s="6" t="str">
        <f>IF(最佳化斷筋點!J362="","",最佳化斷筋點!J362)</f>
        <v/>
      </c>
      <c r="AI362" s="6" t="str">
        <f>IF(最佳化斷筋點!K362="","",最佳化斷筋點!K362)</f>
        <v/>
      </c>
      <c r="AJ362" s="6" t="str">
        <f>IF(最佳化斷筋點!L362="","",最佳化斷筋點!L362)</f>
        <v/>
      </c>
      <c r="AK362" s="6" t="str">
        <f>IF(最佳化斷筋點!M362="","",最佳化斷筋點!M362)</f>
        <v/>
      </c>
      <c r="AL362" s="6" t="str">
        <f>IF(最佳化斷筋點!N362="","",最佳化斷筋點!N362)</f>
        <v/>
      </c>
      <c r="AM362" s="6" t="str">
        <f>IF(最佳化斷筋點!O362="","",最佳化斷筋點!O362)</f>
        <v/>
      </c>
      <c r="AN362" s="6" t="str">
        <f>IF(最佳化斷筋點!P362="","",最佳化斷筋點!P362)</f>
        <v/>
      </c>
      <c r="AO362" s="6" t="str">
        <f>IF(最佳化斷筋點!Q362="","",最佳化斷筋點!Q362)</f>
        <v/>
      </c>
      <c r="AP362" s="6" t="str">
        <f>IF(最佳化斷筋點!R362="","",最佳化斷筋點!R362)</f>
        <v/>
      </c>
      <c r="AQ362" s="6" t="str">
        <f>IF(最佳化斷筋點!S362="","",最佳化斷筋點!S362)</f>
        <v/>
      </c>
      <c r="AR362" s="6" t="str">
        <f>IF(最佳化斷筋點!T362="","",最佳化斷筋點!T362)</f>
        <v/>
      </c>
      <c r="AS362" s="6" t="str">
        <f>IF(最佳化斷筋點!U362="","",最佳化斷筋點!U362)</f>
        <v/>
      </c>
      <c r="AT362" s="6" t="str">
        <f>IF(最佳化斷筋點!V362="","",最佳化斷筋點!V362)</f>
        <v/>
      </c>
      <c r="AU362" s="6" t="str">
        <f>IF(最佳化斷筋點!W362="","",最佳化斷筋點!W362)</f>
        <v/>
      </c>
      <c r="AV362" s="6" t="str">
        <f>IF(最佳化斷筋點!X362="","",最佳化斷筋點!X362)</f>
        <v/>
      </c>
    </row>
    <row r="363" spans="4:71" x14ac:dyDescent="0.25">
      <c r="D363" s="6" t="s">
        <v>50</v>
      </c>
      <c r="E363" s="6">
        <f t="shared" si="106"/>
        <v>0</v>
      </c>
      <c r="F363" s="6">
        <f t="shared" si="107"/>
        <v>0</v>
      </c>
      <c r="G363" s="6">
        <f t="shared" si="108"/>
        <v>0</v>
      </c>
      <c r="H363" s="6">
        <f t="shared" si="109"/>
        <v>0</v>
      </c>
      <c r="I363" s="6">
        <f t="shared" si="110"/>
        <v>0</v>
      </c>
      <c r="J363" s="6">
        <f t="shared" si="111"/>
        <v>0</v>
      </c>
      <c r="K363" s="6">
        <f t="shared" si="112"/>
        <v>0</v>
      </c>
      <c r="L363" s="6">
        <f t="shared" si="113"/>
        <v>0</v>
      </c>
      <c r="M363" s="6">
        <f t="shared" si="114"/>
        <v>0</v>
      </c>
      <c r="N363" s="6">
        <f t="shared" si="115"/>
        <v>0</v>
      </c>
      <c r="O363" s="6">
        <f t="shared" si="116"/>
        <v>0</v>
      </c>
      <c r="P363" s="6">
        <f t="shared" si="117"/>
        <v>0</v>
      </c>
      <c r="Q363" s="6">
        <f t="shared" si="118"/>
        <v>0</v>
      </c>
      <c r="R363" s="6">
        <f t="shared" si="119"/>
        <v>0</v>
      </c>
      <c r="S363" s="6">
        <f t="shared" si="120"/>
        <v>0</v>
      </c>
      <c r="T363" s="6">
        <f t="shared" si="121"/>
        <v>0</v>
      </c>
      <c r="U363" s="6">
        <f t="shared" si="122"/>
        <v>0</v>
      </c>
      <c r="V363" s="6">
        <f t="shared" si="123"/>
        <v>0</v>
      </c>
      <c r="W363" s="6">
        <f t="shared" si="124"/>
        <v>0</v>
      </c>
      <c r="X363" s="6">
        <f t="shared" si="125"/>
        <v>0</v>
      </c>
      <c r="Y363" s="6">
        <f t="shared" si="126"/>
        <v>0</v>
      </c>
      <c r="AA363" s="6" t="str">
        <f>IF(最佳化斷筋點!C363="","",最佳化斷筋點!C363)</f>
        <v>上層</v>
      </c>
      <c r="AB363" s="6">
        <f>IF(最佳化斷筋點!D363="","",最佳化斷筋點!D363)</f>
        <v>12</v>
      </c>
      <c r="AC363" s="6">
        <f>IF(最佳化斷筋點!E363="","",最佳化斷筋點!E363)</f>
        <v>11</v>
      </c>
      <c r="AD363" s="6">
        <f>IF(最佳化斷筋點!F363="","",最佳化斷筋點!F363)</f>
        <v>10</v>
      </c>
      <c r="AE363" s="6">
        <f>IF(最佳化斷筋點!G363="","",最佳化斷筋點!G363)</f>
        <v>9</v>
      </c>
      <c r="AF363" s="6">
        <f>IF(最佳化斷筋點!H363="","",最佳化斷筋點!H363)</f>
        <v>8</v>
      </c>
      <c r="AG363" s="6">
        <f>IF(最佳化斷筋點!I363="","",最佳化斷筋點!I363)</f>
        <v>7</v>
      </c>
      <c r="AH363" s="6">
        <f>IF(最佳化斷筋點!J363="","",最佳化斷筋點!J363)</f>
        <v>5</v>
      </c>
      <c r="AI363" s="6">
        <f>IF(最佳化斷筋點!K363="","",最佳化斷筋點!K363)</f>
        <v>4</v>
      </c>
      <c r="AJ363" s="6">
        <f>IF(最佳化斷筋點!L363="","",最佳化斷筋點!L363)</f>
        <v>3</v>
      </c>
      <c r="AK363" s="6">
        <f>IF(最佳化斷筋點!M363="","",最佳化斷筋點!M363)</f>
        <v>2</v>
      </c>
      <c r="AL363" s="6">
        <f>IF(最佳化斷筋點!N363="","",最佳化斷筋點!N363)</f>
        <v>2</v>
      </c>
      <c r="AM363" s="6">
        <f>IF(最佳化斷筋點!O363="","",最佳化斷筋點!O363)</f>
        <v>2</v>
      </c>
      <c r="AN363" s="6">
        <f>IF(最佳化斷筋點!P363="","",最佳化斷筋點!P363)</f>
        <v>3</v>
      </c>
      <c r="AO363" s="6">
        <f>IF(最佳化斷筋點!Q363="","",最佳化斷筋點!Q363)</f>
        <v>4</v>
      </c>
      <c r="AP363" s="6">
        <f>IF(最佳化斷筋點!R363="","",最佳化斷筋點!R363)</f>
        <v>5</v>
      </c>
      <c r="AQ363" s="6">
        <f>IF(最佳化斷筋點!S363="","",最佳化斷筋點!S363)</f>
        <v>6</v>
      </c>
      <c r="AR363" s="6">
        <f>IF(最佳化斷筋點!T363="","",最佳化斷筋點!T363)</f>
        <v>8</v>
      </c>
      <c r="AS363" s="6">
        <f>IF(最佳化斷筋點!U363="","",最佳化斷筋點!U363)</f>
        <v>9</v>
      </c>
      <c r="AT363" s="6">
        <f>IF(最佳化斷筋點!V363="","",最佳化斷筋點!V363)</f>
        <v>10</v>
      </c>
      <c r="AU363" s="6">
        <f>IF(最佳化斷筋點!W363="","",最佳化斷筋點!W363)</f>
        <v>11</v>
      </c>
      <c r="AV363" s="6">
        <f>IF(最佳化斷筋點!X363="","",最佳化斷筋點!X363)</f>
        <v>12</v>
      </c>
      <c r="AX363" s="6" t="s">
        <v>50</v>
      </c>
      <c r="AY363" s="6">
        <v>12</v>
      </c>
      <c r="AZ363" s="6">
        <v>11</v>
      </c>
      <c r="BA363" s="6">
        <v>10</v>
      </c>
      <c r="BB363" s="6">
        <v>9</v>
      </c>
      <c r="BC363" s="6">
        <v>8</v>
      </c>
      <c r="BD363" s="6">
        <v>7</v>
      </c>
      <c r="BE363" s="6">
        <v>5</v>
      </c>
      <c r="BF363" s="6">
        <v>4</v>
      </c>
      <c r="BG363" s="6">
        <v>3</v>
      </c>
      <c r="BH363" s="6">
        <v>2</v>
      </c>
      <c r="BI363" s="6">
        <v>2</v>
      </c>
      <c r="BJ363" s="6">
        <v>2</v>
      </c>
      <c r="BK363" s="6">
        <v>3</v>
      </c>
      <c r="BL363" s="6">
        <v>4</v>
      </c>
      <c r="BM363" s="6">
        <v>5</v>
      </c>
      <c r="BN363" s="6">
        <v>6</v>
      </c>
      <c r="BO363" s="6">
        <v>8</v>
      </c>
      <c r="BP363" s="6">
        <v>9</v>
      </c>
      <c r="BQ363" s="6">
        <v>10</v>
      </c>
      <c r="BR363" s="6">
        <v>11</v>
      </c>
      <c r="BS363" s="6">
        <v>12</v>
      </c>
    </row>
    <row r="364" spans="4:71" x14ac:dyDescent="0.25">
      <c r="E364" s="6">
        <f t="shared" si="106"/>
        <v>0</v>
      </c>
      <c r="F364" s="6">
        <f t="shared" si="107"/>
        <v>0</v>
      </c>
      <c r="G364" s="6">
        <f t="shared" si="108"/>
        <v>0</v>
      </c>
      <c r="H364" s="6">
        <f t="shared" si="109"/>
        <v>0</v>
      </c>
      <c r="I364" s="6">
        <f t="shared" si="110"/>
        <v>0</v>
      </c>
      <c r="J364" s="6">
        <f t="shared" si="111"/>
        <v>0</v>
      </c>
      <c r="K364" s="6">
        <f t="shared" si="112"/>
        <v>0</v>
      </c>
      <c r="L364" s="6">
        <f t="shared" si="113"/>
        <v>0</v>
      </c>
      <c r="M364" s="6">
        <f t="shared" si="114"/>
        <v>0</v>
      </c>
      <c r="N364" s="6">
        <f t="shared" si="115"/>
        <v>0</v>
      </c>
      <c r="O364" s="6">
        <f t="shared" si="116"/>
        <v>0</v>
      </c>
      <c r="P364" s="6">
        <f t="shared" si="117"/>
        <v>0</v>
      </c>
      <c r="Q364" s="6">
        <f t="shared" si="118"/>
        <v>0</v>
      </c>
      <c r="R364" s="6">
        <f t="shared" si="119"/>
        <v>0</v>
      </c>
      <c r="S364" s="6">
        <f t="shared" si="120"/>
        <v>0</v>
      </c>
      <c r="T364" s="6">
        <f t="shared" si="121"/>
        <v>0</v>
      </c>
      <c r="U364" s="6">
        <f t="shared" si="122"/>
        <v>0</v>
      </c>
      <c r="V364" s="6">
        <f t="shared" si="123"/>
        <v>0</v>
      </c>
      <c r="W364" s="6">
        <f t="shared" si="124"/>
        <v>0</v>
      </c>
      <c r="X364" s="6">
        <f t="shared" si="125"/>
        <v>0</v>
      </c>
      <c r="Y364" s="6">
        <f t="shared" si="126"/>
        <v>0</v>
      </c>
      <c r="AA364" s="6" t="str">
        <f>IF(最佳化斷筋點!C364="","",最佳化斷筋點!C364)</f>
        <v/>
      </c>
      <c r="AB364" s="6" t="str">
        <f>IF(最佳化斷筋點!D364="","",最佳化斷筋點!D364)</f>
        <v/>
      </c>
      <c r="AC364" s="6" t="str">
        <f>IF(最佳化斷筋點!E364="","",最佳化斷筋點!E364)</f>
        <v/>
      </c>
      <c r="AD364" s="6" t="str">
        <f>IF(最佳化斷筋點!F364="","",最佳化斷筋點!F364)</f>
        <v/>
      </c>
      <c r="AE364" s="6" t="str">
        <f>IF(最佳化斷筋點!G364="","",最佳化斷筋點!G364)</f>
        <v/>
      </c>
      <c r="AF364" s="6" t="str">
        <f>IF(最佳化斷筋點!H364="","",最佳化斷筋點!H364)</f>
        <v/>
      </c>
      <c r="AG364" s="6" t="str">
        <f>IF(最佳化斷筋點!I364="","",最佳化斷筋點!I364)</f>
        <v/>
      </c>
      <c r="AH364" s="6" t="str">
        <f>IF(最佳化斷筋點!J364="","",最佳化斷筋點!J364)</f>
        <v/>
      </c>
      <c r="AI364" s="6" t="str">
        <f>IF(最佳化斷筋點!K364="","",最佳化斷筋點!K364)</f>
        <v/>
      </c>
      <c r="AJ364" s="6" t="str">
        <f>IF(最佳化斷筋點!L364="","",最佳化斷筋點!L364)</f>
        <v/>
      </c>
      <c r="AK364" s="6" t="str">
        <f>IF(最佳化斷筋點!M364="","",最佳化斷筋點!M364)</f>
        <v/>
      </c>
      <c r="AL364" s="6" t="str">
        <f>IF(最佳化斷筋點!N364="","",最佳化斷筋點!N364)</f>
        <v/>
      </c>
      <c r="AM364" s="6" t="str">
        <f>IF(最佳化斷筋點!O364="","",最佳化斷筋點!O364)</f>
        <v/>
      </c>
      <c r="AN364" s="6" t="str">
        <f>IF(最佳化斷筋點!P364="","",最佳化斷筋點!P364)</f>
        <v/>
      </c>
      <c r="AO364" s="6" t="str">
        <f>IF(最佳化斷筋點!Q364="","",最佳化斷筋點!Q364)</f>
        <v/>
      </c>
      <c r="AP364" s="6" t="str">
        <f>IF(最佳化斷筋點!R364="","",最佳化斷筋點!R364)</f>
        <v/>
      </c>
      <c r="AQ364" s="6" t="str">
        <f>IF(最佳化斷筋點!S364="","",最佳化斷筋點!S364)</f>
        <v/>
      </c>
      <c r="AR364" s="6" t="str">
        <f>IF(最佳化斷筋點!T364="","",最佳化斷筋點!T364)</f>
        <v/>
      </c>
      <c r="AS364" s="6" t="str">
        <f>IF(最佳化斷筋點!U364="","",最佳化斷筋點!U364)</f>
        <v/>
      </c>
      <c r="AT364" s="6" t="str">
        <f>IF(最佳化斷筋點!V364="","",最佳化斷筋點!V364)</f>
        <v/>
      </c>
      <c r="AU364" s="6" t="str">
        <f>IF(最佳化斷筋點!W364="","",最佳化斷筋點!W364)</f>
        <v/>
      </c>
      <c r="AV364" s="6" t="str">
        <f>IF(最佳化斷筋點!X364="","",最佳化斷筋點!X364)</f>
        <v/>
      </c>
    </row>
    <row r="365" spans="4:71" x14ac:dyDescent="0.25">
      <c r="D365" s="6" t="s">
        <v>51</v>
      </c>
      <c r="E365" s="6">
        <f t="shared" si="106"/>
        <v>0</v>
      </c>
      <c r="F365" s="6">
        <f t="shared" si="107"/>
        <v>0</v>
      </c>
      <c r="G365" s="6">
        <f t="shared" si="108"/>
        <v>0</v>
      </c>
      <c r="H365" s="6">
        <f t="shared" si="109"/>
        <v>0</v>
      </c>
      <c r="I365" s="6">
        <f t="shared" si="110"/>
        <v>0</v>
      </c>
      <c r="J365" s="6">
        <f t="shared" si="111"/>
        <v>0</v>
      </c>
      <c r="K365" s="6">
        <f t="shared" si="112"/>
        <v>0</v>
      </c>
      <c r="L365" s="6">
        <f t="shared" si="113"/>
        <v>0</v>
      </c>
      <c r="M365" s="6">
        <f t="shared" si="114"/>
        <v>0</v>
      </c>
      <c r="N365" s="6">
        <f t="shared" si="115"/>
        <v>0</v>
      </c>
      <c r="O365" s="6">
        <f t="shared" si="116"/>
        <v>0</v>
      </c>
      <c r="P365" s="6">
        <f t="shared" si="117"/>
        <v>0</v>
      </c>
      <c r="Q365" s="6">
        <f t="shared" si="118"/>
        <v>0</v>
      </c>
      <c r="R365" s="6">
        <f t="shared" si="119"/>
        <v>0</v>
      </c>
      <c r="S365" s="6">
        <f t="shared" si="120"/>
        <v>0</v>
      </c>
      <c r="T365" s="6">
        <f t="shared" si="121"/>
        <v>0</v>
      </c>
      <c r="U365" s="6">
        <f t="shared" si="122"/>
        <v>0</v>
      </c>
      <c r="V365" s="6">
        <f t="shared" si="123"/>
        <v>0</v>
      </c>
      <c r="W365" s="6">
        <f t="shared" si="124"/>
        <v>0</v>
      </c>
      <c r="X365" s="6">
        <f t="shared" si="125"/>
        <v>0</v>
      </c>
      <c r="Y365" s="6">
        <f t="shared" si="126"/>
        <v>0</v>
      </c>
      <c r="AA365" s="6" t="str">
        <f>IF(最佳化斷筋點!C365="","",最佳化斷筋點!C365)</f>
        <v>下層</v>
      </c>
      <c r="AB365" s="6">
        <f>IF(最佳化斷筋點!D365="","",最佳化斷筋點!D365)</f>
        <v>12</v>
      </c>
      <c r="AC365" s="6">
        <f>IF(最佳化斷筋點!E365="","",最佳化斷筋點!E365)</f>
        <v>11</v>
      </c>
      <c r="AD365" s="6">
        <f>IF(最佳化斷筋點!F365="","",最佳化斷筋點!F365)</f>
        <v>10</v>
      </c>
      <c r="AE365" s="6">
        <f>IF(最佳化斷筋點!G365="","",最佳化斷筋點!G365)</f>
        <v>9</v>
      </c>
      <c r="AF365" s="6">
        <f>IF(最佳化斷筋點!H365="","",最佳化斷筋點!H365)</f>
        <v>9</v>
      </c>
      <c r="AG365" s="6">
        <f>IF(最佳化斷筋點!I365="","",最佳化斷筋點!I365)</f>
        <v>11</v>
      </c>
      <c r="AH365" s="6">
        <f>IF(最佳化斷筋點!J365="","",最佳化斷筋點!J365)</f>
        <v>12</v>
      </c>
      <c r="AI365" s="6">
        <f>IF(最佳化斷筋點!K365="","",最佳化斷筋點!K365)</f>
        <v>13</v>
      </c>
      <c r="AJ365" s="6">
        <f>IF(最佳化斷筋點!L365="","",最佳化斷筋點!L365)</f>
        <v>14</v>
      </c>
      <c r="AK365" s="6">
        <f>IF(最佳化斷筋點!M365="","",最佳化斷筋點!M365)</f>
        <v>14</v>
      </c>
      <c r="AL365" s="6">
        <f>IF(最佳化斷筋點!N365="","",最佳化斷筋點!N365)</f>
        <v>14</v>
      </c>
      <c r="AM365" s="6">
        <f>IF(最佳化斷筋點!O365="","",最佳化斷筋點!O365)</f>
        <v>14</v>
      </c>
      <c r="AN365" s="6">
        <f>IF(最佳化斷筋點!P365="","",最佳化斷筋點!P365)</f>
        <v>14</v>
      </c>
      <c r="AO365" s="6">
        <f>IF(最佳化斷筋點!Q365="","",最佳化斷筋點!Q365)</f>
        <v>13</v>
      </c>
      <c r="AP365" s="6">
        <f>IF(最佳化斷筋點!R365="","",最佳化斷筋點!R365)</f>
        <v>12</v>
      </c>
      <c r="AQ365" s="6">
        <f>IF(最佳化斷筋點!S365="","",最佳化斷筋點!S365)</f>
        <v>11</v>
      </c>
      <c r="AR365" s="6">
        <f>IF(最佳化斷筋點!T365="","",最佳化斷筋點!T365)</f>
        <v>9</v>
      </c>
      <c r="AS365" s="6">
        <f>IF(最佳化斷筋點!U365="","",最佳化斷筋點!U365)</f>
        <v>9</v>
      </c>
      <c r="AT365" s="6">
        <f>IF(最佳化斷筋點!V365="","",最佳化斷筋點!V365)</f>
        <v>10</v>
      </c>
      <c r="AU365" s="6">
        <f>IF(最佳化斷筋點!W365="","",最佳化斷筋點!W365)</f>
        <v>11</v>
      </c>
      <c r="AV365" s="6">
        <f>IF(最佳化斷筋點!X365="","",最佳化斷筋點!X365)</f>
        <v>12</v>
      </c>
      <c r="AX365" s="6" t="s">
        <v>51</v>
      </c>
      <c r="AY365" s="6">
        <v>12</v>
      </c>
      <c r="AZ365" s="6">
        <v>11</v>
      </c>
      <c r="BA365" s="6">
        <v>10</v>
      </c>
      <c r="BB365" s="6">
        <v>9</v>
      </c>
      <c r="BC365" s="6">
        <v>9</v>
      </c>
      <c r="BD365" s="6">
        <v>11</v>
      </c>
      <c r="BE365" s="6">
        <v>12</v>
      </c>
      <c r="BF365" s="6">
        <v>13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13</v>
      </c>
      <c r="BM365" s="6">
        <v>12</v>
      </c>
      <c r="BN365" s="6">
        <v>11</v>
      </c>
      <c r="BO365" s="6">
        <v>9</v>
      </c>
      <c r="BP365" s="6">
        <v>9</v>
      </c>
      <c r="BQ365" s="6">
        <v>10</v>
      </c>
      <c r="BR365" s="6">
        <v>11</v>
      </c>
      <c r="BS365" s="6">
        <v>12</v>
      </c>
    </row>
    <row r="366" spans="4:71" x14ac:dyDescent="0.25">
      <c r="E366" s="6">
        <f t="shared" si="106"/>
        <v>0</v>
      </c>
      <c r="F366" s="6">
        <f t="shared" si="107"/>
        <v>0</v>
      </c>
      <c r="G366" s="6">
        <f t="shared" si="108"/>
        <v>0</v>
      </c>
      <c r="H366" s="6">
        <f t="shared" si="109"/>
        <v>0</v>
      </c>
      <c r="I366" s="6">
        <f t="shared" si="110"/>
        <v>0</v>
      </c>
      <c r="J366" s="6">
        <f t="shared" si="111"/>
        <v>0</v>
      </c>
      <c r="K366" s="6">
        <f t="shared" si="112"/>
        <v>0</v>
      </c>
      <c r="L366" s="6">
        <f t="shared" si="113"/>
        <v>0</v>
      </c>
      <c r="M366" s="6">
        <f t="shared" si="114"/>
        <v>0</v>
      </c>
      <c r="N366" s="6">
        <f t="shared" si="115"/>
        <v>0</v>
      </c>
      <c r="O366" s="6">
        <f t="shared" si="116"/>
        <v>0</v>
      </c>
      <c r="P366" s="6">
        <f t="shared" si="117"/>
        <v>0</v>
      </c>
      <c r="Q366" s="6">
        <f t="shared" si="118"/>
        <v>0</v>
      </c>
      <c r="R366" s="6">
        <f t="shared" si="119"/>
        <v>0</v>
      </c>
      <c r="S366" s="6">
        <f t="shared" si="120"/>
        <v>0</v>
      </c>
      <c r="T366" s="6">
        <f t="shared" si="121"/>
        <v>0</v>
      </c>
      <c r="U366" s="6">
        <f t="shared" si="122"/>
        <v>0</v>
      </c>
      <c r="V366" s="6">
        <f t="shared" si="123"/>
        <v>0</v>
      </c>
      <c r="W366" s="6">
        <f t="shared" si="124"/>
        <v>0</v>
      </c>
      <c r="X366" s="6">
        <f t="shared" si="125"/>
        <v>0</v>
      </c>
      <c r="Y366" s="6">
        <f t="shared" si="126"/>
        <v>0</v>
      </c>
      <c r="AA366" s="6" t="str">
        <f>IF(最佳化斷筋點!C366="","",最佳化斷筋點!C366)</f>
        <v/>
      </c>
      <c r="AB366" s="6" t="str">
        <f>IF(最佳化斷筋點!D366="","",最佳化斷筋點!D366)</f>
        <v/>
      </c>
      <c r="AC366" s="6" t="str">
        <f>IF(最佳化斷筋點!E366="","",最佳化斷筋點!E366)</f>
        <v/>
      </c>
      <c r="AD366" s="6" t="str">
        <f>IF(最佳化斷筋點!F366="","",最佳化斷筋點!F366)</f>
        <v/>
      </c>
      <c r="AE366" s="6" t="str">
        <f>IF(最佳化斷筋點!G366="","",最佳化斷筋點!G366)</f>
        <v/>
      </c>
      <c r="AF366" s="6" t="str">
        <f>IF(最佳化斷筋點!H366="","",最佳化斷筋點!H366)</f>
        <v/>
      </c>
      <c r="AG366" s="6" t="str">
        <f>IF(最佳化斷筋點!I366="","",最佳化斷筋點!I366)</f>
        <v/>
      </c>
      <c r="AH366" s="6" t="str">
        <f>IF(最佳化斷筋點!J366="","",最佳化斷筋點!J366)</f>
        <v/>
      </c>
      <c r="AI366" s="6" t="str">
        <f>IF(最佳化斷筋點!K366="","",最佳化斷筋點!K366)</f>
        <v/>
      </c>
      <c r="AJ366" s="6" t="str">
        <f>IF(最佳化斷筋點!L366="","",最佳化斷筋點!L366)</f>
        <v/>
      </c>
      <c r="AK366" s="6" t="str">
        <f>IF(最佳化斷筋點!M366="","",最佳化斷筋點!M366)</f>
        <v/>
      </c>
      <c r="AL366" s="6" t="str">
        <f>IF(最佳化斷筋點!N366="","",最佳化斷筋點!N366)</f>
        <v/>
      </c>
      <c r="AM366" s="6" t="str">
        <f>IF(最佳化斷筋點!O366="","",最佳化斷筋點!O366)</f>
        <v/>
      </c>
      <c r="AN366" s="6" t="str">
        <f>IF(最佳化斷筋點!P366="","",最佳化斷筋點!P366)</f>
        <v/>
      </c>
      <c r="AO366" s="6" t="str">
        <f>IF(最佳化斷筋點!Q366="","",最佳化斷筋點!Q366)</f>
        <v/>
      </c>
      <c r="AP366" s="6" t="str">
        <f>IF(最佳化斷筋點!R366="","",最佳化斷筋點!R366)</f>
        <v/>
      </c>
      <c r="AQ366" s="6" t="str">
        <f>IF(最佳化斷筋點!S366="","",最佳化斷筋點!S366)</f>
        <v/>
      </c>
      <c r="AR366" s="6" t="str">
        <f>IF(最佳化斷筋點!T366="","",最佳化斷筋點!T366)</f>
        <v/>
      </c>
      <c r="AS366" s="6" t="str">
        <f>IF(最佳化斷筋點!U366="","",最佳化斷筋點!U366)</f>
        <v/>
      </c>
      <c r="AT366" s="6" t="str">
        <f>IF(最佳化斷筋點!V366="","",最佳化斷筋點!V366)</f>
        <v/>
      </c>
      <c r="AU366" s="6" t="str">
        <f>IF(最佳化斷筋點!W366="","",最佳化斷筋點!W366)</f>
        <v/>
      </c>
      <c r="AV366" s="6" t="str">
        <f>IF(最佳化斷筋點!X366="","",最佳化斷筋點!X366)</f>
        <v/>
      </c>
    </row>
    <row r="367" spans="4:71" x14ac:dyDescent="0.25">
      <c r="D367" s="6" t="s">
        <v>50</v>
      </c>
      <c r="E367" s="6">
        <f t="shared" si="106"/>
        <v>0</v>
      </c>
      <c r="F367" s="6">
        <f t="shared" si="107"/>
        <v>0</v>
      </c>
      <c r="G367" s="6">
        <f t="shared" si="108"/>
        <v>0</v>
      </c>
      <c r="H367" s="6">
        <f t="shared" si="109"/>
        <v>0</v>
      </c>
      <c r="I367" s="6">
        <f t="shared" si="110"/>
        <v>0</v>
      </c>
      <c r="J367" s="6">
        <f t="shared" si="111"/>
        <v>0</v>
      </c>
      <c r="K367" s="6">
        <f t="shared" si="112"/>
        <v>0</v>
      </c>
      <c r="L367" s="6">
        <f t="shared" si="113"/>
        <v>0</v>
      </c>
      <c r="M367" s="6">
        <f t="shared" si="114"/>
        <v>0</v>
      </c>
      <c r="N367" s="6">
        <f t="shared" si="115"/>
        <v>0</v>
      </c>
      <c r="O367" s="6">
        <f t="shared" si="116"/>
        <v>0</v>
      </c>
      <c r="P367" s="6">
        <f t="shared" si="117"/>
        <v>0</v>
      </c>
      <c r="Q367" s="6">
        <f t="shared" si="118"/>
        <v>0</v>
      </c>
      <c r="R367" s="6">
        <f t="shared" si="119"/>
        <v>0</v>
      </c>
      <c r="S367" s="6">
        <f t="shared" si="120"/>
        <v>0</v>
      </c>
      <c r="T367" s="6">
        <f t="shared" si="121"/>
        <v>0</v>
      </c>
      <c r="U367" s="6">
        <f t="shared" si="122"/>
        <v>0</v>
      </c>
      <c r="V367" s="6">
        <f t="shared" si="123"/>
        <v>0</v>
      </c>
      <c r="W367" s="6">
        <f t="shared" si="124"/>
        <v>0</v>
      </c>
      <c r="X367" s="6">
        <f t="shared" si="125"/>
        <v>0</v>
      </c>
      <c r="Y367" s="6">
        <f t="shared" si="126"/>
        <v>0</v>
      </c>
      <c r="AA367" s="6" t="str">
        <f>IF(最佳化斷筋點!C367="","",最佳化斷筋點!C367)</f>
        <v>上層</v>
      </c>
      <c r="AB367" s="6">
        <f>IF(最佳化斷筋點!D367="","",最佳化斷筋點!D367)</f>
        <v>12</v>
      </c>
      <c r="AC367" s="6">
        <f>IF(最佳化斷筋點!E367="","",最佳化斷筋點!E367)</f>
        <v>11</v>
      </c>
      <c r="AD367" s="6">
        <f>IF(最佳化斷筋點!F367="","",最佳化斷筋點!F367)</f>
        <v>10</v>
      </c>
      <c r="AE367" s="6">
        <f>IF(最佳化斷筋點!G367="","",最佳化斷筋點!G367)</f>
        <v>9</v>
      </c>
      <c r="AF367" s="6">
        <f>IF(最佳化斷筋點!H367="","",最佳化斷筋點!H367)</f>
        <v>8</v>
      </c>
      <c r="AG367" s="6">
        <f>IF(最佳化斷筋點!I367="","",最佳化斷筋點!I367)</f>
        <v>7</v>
      </c>
      <c r="AH367" s="6">
        <f>IF(最佳化斷筋點!J367="","",最佳化斷筋點!J367)</f>
        <v>5</v>
      </c>
      <c r="AI367" s="6">
        <f>IF(最佳化斷筋點!K367="","",最佳化斷筋點!K367)</f>
        <v>4</v>
      </c>
      <c r="AJ367" s="6">
        <f>IF(最佳化斷筋點!L367="","",最佳化斷筋點!L367)</f>
        <v>3</v>
      </c>
      <c r="AK367" s="6">
        <f>IF(最佳化斷筋點!M367="","",最佳化斷筋點!M367)</f>
        <v>2</v>
      </c>
      <c r="AL367" s="6">
        <f>IF(最佳化斷筋點!N367="","",最佳化斷筋點!N367)</f>
        <v>2</v>
      </c>
      <c r="AM367" s="6">
        <f>IF(最佳化斷筋點!O367="","",最佳化斷筋點!O367)</f>
        <v>2</v>
      </c>
      <c r="AN367" s="6">
        <f>IF(最佳化斷筋點!P367="","",最佳化斷筋點!P367)</f>
        <v>3</v>
      </c>
      <c r="AO367" s="6">
        <f>IF(最佳化斷筋點!Q367="","",最佳化斷筋點!Q367)</f>
        <v>4</v>
      </c>
      <c r="AP367" s="6">
        <f>IF(最佳化斷筋點!R367="","",最佳化斷筋點!R367)</f>
        <v>5</v>
      </c>
      <c r="AQ367" s="6">
        <f>IF(最佳化斷筋點!S367="","",最佳化斷筋點!S367)</f>
        <v>6</v>
      </c>
      <c r="AR367" s="6">
        <f>IF(最佳化斷筋點!T367="","",最佳化斷筋點!T367)</f>
        <v>8</v>
      </c>
      <c r="AS367" s="6">
        <f>IF(最佳化斷筋點!U367="","",最佳化斷筋點!U367)</f>
        <v>9</v>
      </c>
      <c r="AT367" s="6">
        <f>IF(最佳化斷筋點!V367="","",最佳化斷筋點!V367)</f>
        <v>10</v>
      </c>
      <c r="AU367" s="6">
        <f>IF(最佳化斷筋點!W367="","",最佳化斷筋點!W367)</f>
        <v>11</v>
      </c>
      <c r="AV367" s="6">
        <f>IF(最佳化斷筋點!X367="","",最佳化斷筋點!X367)</f>
        <v>12</v>
      </c>
      <c r="AX367" s="6" t="s">
        <v>50</v>
      </c>
      <c r="AY367" s="6">
        <v>12</v>
      </c>
      <c r="AZ367" s="6">
        <v>11</v>
      </c>
      <c r="BA367" s="6">
        <v>10</v>
      </c>
      <c r="BB367" s="6">
        <v>9</v>
      </c>
      <c r="BC367" s="6">
        <v>8</v>
      </c>
      <c r="BD367" s="6">
        <v>7</v>
      </c>
      <c r="BE367" s="6">
        <v>5</v>
      </c>
      <c r="BF367" s="6">
        <v>4</v>
      </c>
      <c r="BG367" s="6">
        <v>3</v>
      </c>
      <c r="BH367" s="6">
        <v>2</v>
      </c>
      <c r="BI367" s="6">
        <v>2</v>
      </c>
      <c r="BJ367" s="6">
        <v>2</v>
      </c>
      <c r="BK367" s="6">
        <v>3</v>
      </c>
      <c r="BL367" s="6">
        <v>4</v>
      </c>
      <c r="BM367" s="6">
        <v>5</v>
      </c>
      <c r="BN367" s="6">
        <v>6</v>
      </c>
      <c r="BO367" s="6">
        <v>8</v>
      </c>
      <c r="BP367" s="6">
        <v>9</v>
      </c>
      <c r="BQ367" s="6">
        <v>10</v>
      </c>
      <c r="BR367" s="6">
        <v>11</v>
      </c>
      <c r="BS367" s="6">
        <v>12</v>
      </c>
    </row>
    <row r="368" spans="4:71" x14ac:dyDescent="0.25">
      <c r="E368" s="6">
        <f t="shared" si="106"/>
        <v>0</v>
      </c>
      <c r="F368" s="6">
        <f t="shared" si="107"/>
        <v>0</v>
      </c>
      <c r="G368" s="6">
        <f t="shared" si="108"/>
        <v>0</v>
      </c>
      <c r="H368" s="6">
        <f t="shared" si="109"/>
        <v>0</v>
      </c>
      <c r="I368" s="6">
        <f t="shared" si="110"/>
        <v>0</v>
      </c>
      <c r="J368" s="6">
        <f t="shared" si="111"/>
        <v>0</v>
      </c>
      <c r="K368" s="6">
        <f t="shared" si="112"/>
        <v>0</v>
      </c>
      <c r="L368" s="6">
        <f t="shared" si="113"/>
        <v>0</v>
      </c>
      <c r="M368" s="6">
        <f t="shared" si="114"/>
        <v>0</v>
      </c>
      <c r="N368" s="6">
        <f t="shared" si="115"/>
        <v>0</v>
      </c>
      <c r="O368" s="6">
        <f t="shared" si="116"/>
        <v>0</v>
      </c>
      <c r="P368" s="6">
        <f t="shared" si="117"/>
        <v>0</v>
      </c>
      <c r="Q368" s="6">
        <f t="shared" si="118"/>
        <v>0</v>
      </c>
      <c r="R368" s="6">
        <f t="shared" si="119"/>
        <v>0</v>
      </c>
      <c r="S368" s="6">
        <f t="shared" si="120"/>
        <v>0</v>
      </c>
      <c r="T368" s="6">
        <f t="shared" si="121"/>
        <v>0</v>
      </c>
      <c r="U368" s="6">
        <f t="shared" si="122"/>
        <v>0</v>
      </c>
      <c r="V368" s="6">
        <f t="shared" si="123"/>
        <v>0</v>
      </c>
      <c r="W368" s="6">
        <f t="shared" si="124"/>
        <v>0</v>
      </c>
      <c r="X368" s="6">
        <f t="shared" si="125"/>
        <v>0</v>
      </c>
      <c r="Y368" s="6">
        <f t="shared" si="126"/>
        <v>0</v>
      </c>
      <c r="AA368" s="6" t="str">
        <f>IF(最佳化斷筋點!C368="","",最佳化斷筋點!C368)</f>
        <v/>
      </c>
      <c r="AB368" s="6" t="str">
        <f>IF(最佳化斷筋點!D368="","",最佳化斷筋點!D368)</f>
        <v/>
      </c>
      <c r="AC368" s="6" t="str">
        <f>IF(最佳化斷筋點!E368="","",最佳化斷筋點!E368)</f>
        <v/>
      </c>
      <c r="AD368" s="6" t="str">
        <f>IF(最佳化斷筋點!F368="","",最佳化斷筋點!F368)</f>
        <v/>
      </c>
      <c r="AE368" s="6" t="str">
        <f>IF(最佳化斷筋點!G368="","",最佳化斷筋點!G368)</f>
        <v/>
      </c>
      <c r="AF368" s="6" t="str">
        <f>IF(最佳化斷筋點!H368="","",最佳化斷筋點!H368)</f>
        <v/>
      </c>
      <c r="AG368" s="6" t="str">
        <f>IF(最佳化斷筋點!I368="","",最佳化斷筋點!I368)</f>
        <v/>
      </c>
      <c r="AH368" s="6" t="str">
        <f>IF(最佳化斷筋點!J368="","",最佳化斷筋點!J368)</f>
        <v/>
      </c>
      <c r="AI368" s="6" t="str">
        <f>IF(最佳化斷筋點!K368="","",最佳化斷筋點!K368)</f>
        <v/>
      </c>
      <c r="AJ368" s="6" t="str">
        <f>IF(最佳化斷筋點!L368="","",最佳化斷筋點!L368)</f>
        <v/>
      </c>
      <c r="AK368" s="6" t="str">
        <f>IF(最佳化斷筋點!M368="","",最佳化斷筋點!M368)</f>
        <v/>
      </c>
      <c r="AL368" s="6" t="str">
        <f>IF(最佳化斷筋點!N368="","",最佳化斷筋點!N368)</f>
        <v/>
      </c>
      <c r="AM368" s="6" t="str">
        <f>IF(最佳化斷筋點!O368="","",最佳化斷筋點!O368)</f>
        <v/>
      </c>
      <c r="AN368" s="6" t="str">
        <f>IF(最佳化斷筋點!P368="","",最佳化斷筋點!P368)</f>
        <v/>
      </c>
      <c r="AO368" s="6" t="str">
        <f>IF(最佳化斷筋點!Q368="","",最佳化斷筋點!Q368)</f>
        <v/>
      </c>
      <c r="AP368" s="6" t="str">
        <f>IF(最佳化斷筋點!R368="","",最佳化斷筋點!R368)</f>
        <v/>
      </c>
      <c r="AQ368" s="6" t="str">
        <f>IF(最佳化斷筋點!S368="","",最佳化斷筋點!S368)</f>
        <v/>
      </c>
      <c r="AR368" s="6" t="str">
        <f>IF(最佳化斷筋點!T368="","",最佳化斷筋點!T368)</f>
        <v/>
      </c>
      <c r="AS368" s="6" t="str">
        <f>IF(最佳化斷筋點!U368="","",最佳化斷筋點!U368)</f>
        <v/>
      </c>
      <c r="AT368" s="6" t="str">
        <f>IF(最佳化斷筋點!V368="","",最佳化斷筋點!V368)</f>
        <v/>
      </c>
      <c r="AU368" s="6" t="str">
        <f>IF(最佳化斷筋點!W368="","",最佳化斷筋點!W368)</f>
        <v/>
      </c>
      <c r="AV368" s="6" t="str">
        <f>IF(最佳化斷筋點!X368="","",最佳化斷筋點!X368)</f>
        <v/>
      </c>
    </row>
    <row r="369" spans="4:71" x14ac:dyDescent="0.25">
      <c r="D369" s="6" t="s">
        <v>51</v>
      </c>
      <c r="E369" s="6">
        <f t="shared" si="106"/>
        <v>0</v>
      </c>
      <c r="F369" s="6">
        <f t="shared" si="107"/>
        <v>0</v>
      </c>
      <c r="G369" s="6">
        <f t="shared" si="108"/>
        <v>0</v>
      </c>
      <c r="H369" s="6">
        <f t="shared" si="109"/>
        <v>0</v>
      </c>
      <c r="I369" s="6">
        <f t="shared" si="110"/>
        <v>0</v>
      </c>
      <c r="J369" s="6">
        <f t="shared" si="111"/>
        <v>0</v>
      </c>
      <c r="K369" s="6">
        <f t="shared" si="112"/>
        <v>0</v>
      </c>
      <c r="L369" s="6">
        <f t="shared" si="113"/>
        <v>0</v>
      </c>
      <c r="M369" s="6">
        <f t="shared" si="114"/>
        <v>0</v>
      </c>
      <c r="N369" s="6">
        <f t="shared" si="115"/>
        <v>0</v>
      </c>
      <c r="O369" s="6">
        <f t="shared" si="116"/>
        <v>0</v>
      </c>
      <c r="P369" s="6">
        <f t="shared" si="117"/>
        <v>0</v>
      </c>
      <c r="Q369" s="6">
        <f t="shared" si="118"/>
        <v>0</v>
      </c>
      <c r="R369" s="6">
        <f t="shared" si="119"/>
        <v>0</v>
      </c>
      <c r="S369" s="6">
        <f t="shared" si="120"/>
        <v>0</v>
      </c>
      <c r="T369" s="6">
        <f t="shared" si="121"/>
        <v>0</v>
      </c>
      <c r="U369" s="6">
        <f t="shared" si="122"/>
        <v>0</v>
      </c>
      <c r="V369" s="6">
        <f t="shared" si="123"/>
        <v>0</v>
      </c>
      <c r="W369" s="6">
        <f t="shared" si="124"/>
        <v>0</v>
      </c>
      <c r="X369" s="6">
        <f t="shared" si="125"/>
        <v>0</v>
      </c>
      <c r="Y369" s="6">
        <f t="shared" si="126"/>
        <v>0</v>
      </c>
      <c r="AA369" s="6" t="str">
        <f>IF(最佳化斷筋點!C369="","",最佳化斷筋點!C369)</f>
        <v>下層</v>
      </c>
      <c r="AB369" s="6">
        <f>IF(最佳化斷筋點!D369="","",最佳化斷筋點!D369)</f>
        <v>12</v>
      </c>
      <c r="AC369" s="6">
        <f>IF(最佳化斷筋點!E369="","",最佳化斷筋點!E369)</f>
        <v>11</v>
      </c>
      <c r="AD369" s="6">
        <f>IF(最佳化斷筋點!F369="","",最佳化斷筋點!F369)</f>
        <v>10</v>
      </c>
      <c r="AE369" s="6">
        <f>IF(最佳化斷筋點!G369="","",最佳化斷筋點!G369)</f>
        <v>9</v>
      </c>
      <c r="AF369" s="6">
        <f>IF(最佳化斷筋點!H369="","",最佳化斷筋點!H369)</f>
        <v>9</v>
      </c>
      <c r="AG369" s="6">
        <f>IF(最佳化斷筋點!I369="","",最佳化斷筋點!I369)</f>
        <v>11</v>
      </c>
      <c r="AH369" s="6">
        <f>IF(最佳化斷筋點!J369="","",最佳化斷筋點!J369)</f>
        <v>12</v>
      </c>
      <c r="AI369" s="6">
        <f>IF(最佳化斷筋點!K369="","",最佳化斷筋點!K369)</f>
        <v>13</v>
      </c>
      <c r="AJ369" s="6">
        <f>IF(最佳化斷筋點!L369="","",最佳化斷筋點!L369)</f>
        <v>14</v>
      </c>
      <c r="AK369" s="6">
        <f>IF(最佳化斷筋點!M369="","",最佳化斷筋點!M369)</f>
        <v>14</v>
      </c>
      <c r="AL369" s="6">
        <f>IF(最佳化斷筋點!N369="","",最佳化斷筋點!N369)</f>
        <v>14</v>
      </c>
      <c r="AM369" s="6">
        <f>IF(最佳化斷筋點!O369="","",最佳化斷筋點!O369)</f>
        <v>14</v>
      </c>
      <c r="AN369" s="6">
        <f>IF(最佳化斷筋點!P369="","",最佳化斷筋點!P369)</f>
        <v>14</v>
      </c>
      <c r="AO369" s="6">
        <f>IF(最佳化斷筋點!Q369="","",最佳化斷筋點!Q369)</f>
        <v>13</v>
      </c>
      <c r="AP369" s="6">
        <f>IF(最佳化斷筋點!R369="","",最佳化斷筋點!R369)</f>
        <v>12</v>
      </c>
      <c r="AQ369" s="6">
        <f>IF(最佳化斷筋點!S369="","",最佳化斷筋點!S369)</f>
        <v>11</v>
      </c>
      <c r="AR369" s="6">
        <f>IF(最佳化斷筋點!T369="","",最佳化斷筋點!T369)</f>
        <v>9</v>
      </c>
      <c r="AS369" s="6">
        <f>IF(最佳化斷筋點!U369="","",最佳化斷筋點!U369)</f>
        <v>9</v>
      </c>
      <c r="AT369" s="6">
        <f>IF(最佳化斷筋點!V369="","",最佳化斷筋點!V369)</f>
        <v>10</v>
      </c>
      <c r="AU369" s="6">
        <f>IF(最佳化斷筋點!W369="","",最佳化斷筋點!W369)</f>
        <v>11</v>
      </c>
      <c r="AV369" s="6">
        <f>IF(最佳化斷筋點!X369="","",最佳化斷筋點!X369)</f>
        <v>12</v>
      </c>
      <c r="AX369" s="6" t="s">
        <v>51</v>
      </c>
      <c r="AY369" s="6">
        <v>12</v>
      </c>
      <c r="AZ369" s="6">
        <v>11</v>
      </c>
      <c r="BA369" s="6">
        <v>10</v>
      </c>
      <c r="BB369" s="6">
        <v>9</v>
      </c>
      <c r="BC369" s="6">
        <v>9</v>
      </c>
      <c r="BD369" s="6">
        <v>11</v>
      </c>
      <c r="BE369" s="6">
        <v>12</v>
      </c>
      <c r="BF369" s="6">
        <v>13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13</v>
      </c>
      <c r="BM369" s="6">
        <v>12</v>
      </c>
      <c r="BN369" s="6">
        <v>11</v>
      </c>
      <c r="BO369" s="6">
        <v>9</v>
      </c>
      <c r="BP369" s="6">
        <v>9</v>
      </c>
      <c r="BQ369" s="6">
        <v>10</v>
      </c>
      <c r="BR369" s="6">
        <v>11</v>
      </c>
      <c r="BS369" s="6">
        <v>12</v>
      </c>
    </row>
    <row r="370" spans="4:71" x14ac:dyDescent="0.25">
      <c r="E370" s="6">
        <f t="shared" si="106"/>
        <v>0</v>
      </c>
      <c r="F370" s="6">
        <f t="shared" si="107"/>
        <v>0</v>
      </c>
      <c r="G370" s="6">
        <f t="shared" si="108"/>
        <v>0</v>
      </c>
      <c r="H370" s="6">
        <f t="shared" si="109"/>
        <v>0</v>
      </c>
      <c r="I370" s="6">
        <f t="shared" si="110"/>
        <v>0</v>
      </c>
      <c r="J370" s="6">
        <f t="shared" si="111"/>
        <v>0</v>
      </c>
      <c r="K370" s="6">
        <f t="shared" si="112"/>
        <v>0</v>
      </c>
      <c r="L370" s="6">
        <f t="shared" si="113"/>
        <v>0</v>
      </c>
      <c r="M370" s="6">
        <f t="shared" si="114"/>
        <v>0</v>
      </c>
      <c r="N370" s="6">
        <f t="shared" si="115"/>
        <v>0</v>
      </c>
      <c r="O370" s="6">
        <f t="shared" si="116"/>
        <v>0</v>
      </c>
      <c r="P370" s="6">
        <f t="shared" si="117"/>
        <v>0</v>
      </c>
      <c r="Q370" s="6">
        <f t="shared" si="118"/>
        <v>0</v>
      </c>
      <c r="R370" s="6">
        <f t="shared" si="119"/>
        <v>0</v>
      </c>
      <c r="S370" s="6">
        <f t="shared" si="120"/>
        <v>0</v>
      </c>
      <c r="T370" s="6">
        <f t="shared" si="121"/>
        <v>0</v>
      </c>
      <c r="U370" s="6">
        <f t="shared" si="122"/>
        <v>0</v>
      </c>
      <c r="V370" s="6">
        <f t="shared" si="123"/>
        <v>0</v>
      </c>
      <c r="W370" s="6">
        <f t="shared" si="124"/>
        <v>0</v>
      </c>
      <c r="X370" s="6">
        <f t="shared" si="125"/>
        <v>0</v>
      </c>
      <c r="Y370" s="6">
        <f t="shared" si="126"/>
        <v>0</v>
      </c>
      <c r="AA370" s="6" t="str">
        <f>IF(最佳化斷筋點!C370="","",最佳化斷筋點!C370)</f>
        <v/>
      </c>
      <c r="AB370" s="6" t="str">
        <f>IF(最佳化斷筋點!D370="","",最佳化斷筋點!D370)</f>
        <v/>
      </c>
      <c r="AC370" s="6" t="str">
        <f>IF(最佳化斷筋點!E370="","",最佳化斷筋點!E370)</f>
        <v/>
      </c>
      <c r="AD370" s="6" t="str">
        <f>IF(最佳化斷筋點!F370="","",最佳化斷筋點!F370)</f>
        <v/>
      </c>
      <c r="AE370" s="6" t="str">
        <f>IF(最佳化斷筋點!G370="","",最佳化斷筋點!G370)</f>
        <v/>
      </c>
      <c r="AF370" s="6" t="str">
        <f>IF(最佳化斷筋點!H370="","",最佳化斷筋點!H370)</f>
        <v/>
      </c>
      <c r="AG370" s="6" t="str">
        <f>IF(最佳化斷筋點!I370="","",最佳化斷筋點!I370)</f>
        <v/>
      </c>
      <c r="AH370" s="6" t="str">
        <f>IF(最佳化斷筋點!J370="","",最佳化斷筋點!J370)</f>
        <v/>
      </c>
      <c r="AI370" s="6" t="str">
        <f>IF(最佳化斷筋點!K370="","",最佳化斷筋點!K370)</f>
        <v/>
      </c>
      <c r="AJ370" s="6" t="str">
        <f>IF(最佳化斷筋點!L370="","",最佳化斷筋點!L370)</f>
        <v/>
      </c>
      <c r="AK370" s="6" t="str">
        <f>IF(最佳化斷筋點!M370="","",最佳化斷筋點!M370)</f>
        <v/>
      </c>
      <c r="AL370" s="6" t="str">
        <f>IF(最佳化斷筋點!N370="","",最佳化斷筋點!N370)</f>
        <v/>
      </c>
      <c r="AM370" s="6" t="str">
        <f>IF(最佳化斷筋點!O370="","",最佳化斷筋點!O370)</f>
        <v/>
      </c>
      <c r="AN370" s="6" t="str">
        <f>IF(最佳化斷筋點!P370="","",最佳化斷筋點!P370)</f>
        <v/>
      </c>
      <c r="AO370" s="6" t="str">
        <f>IF(最佳化斷筋點!Q370="","",最佳化斷筋點!Q370)</f>
        <v/>
      </c>
      <c r="AP370" s="6" t="str">
        <f>IF(最佳化斷筋點!R370="","",最佳化斷筋點!R370)</f>
        <v/>
      </c>
      <c r="AQ370" s="6" t="str">
        <f>IF(最佳化斷筋點!S370="","",最佳化斷筋點!S370)</f>
        <v/>
      </c>
      <c r="AR370" s="6" t="str">
        <f>IF(最佳化斷筋點!T370="","",最佳化斷筋點!T370)</f>
        <v/>
      </c>
      <c r="AS370" s="6" t="str">
        <f>IF(最佳化斷筋點!U370="","",最佳化斷筋點!U370)</f>
        <v/>
      </c>
      <c r="AT370" s="6" t="str">
        <f>IF(最佳化斷筋點!V370="","",最佳化斷筋點!V370)</f>
        <v/>
      </c>
      <c r="AU370" s="6" t="str">
        <f>IF(最佳化斷筋點!W370="","",最佳化斷筋點!W370)</f>
        <v/>
      </c>
      <c r="AV370" s="6" t="str">
        <f>IF(最佳化斷筋點!X370="","",最佳化斷筋點!X370)</f>
        <v/>
      </c>
    </row>
    <row r="371" spans="4:71" x14ac:dyDescent="0.25">
      <c r="D371" s="6" t="s">
        <v>50</v>
      </c>
      <c r="E371" s="6">
        <f t="shared" si="106"/>
        <v>0</v>
      </c>
      <c r="F371" s="6">
        <f t="shared" si="107"/>
        <v>0</v>
      </c>
      <c r="G371" s="6">
        <f t="shared" si="108"/>
        <v>0</v>
      </c>
      <c r="H371" s="6">
        <f t="shared" si="109"/>
        <v>0</v>
      </c>
      <c r="I371" s="6">
        <f t="shared" si="110"/>
        <v>0</v>
      </c>
      <c r="J371" s="6">
        <f t="shared" si="111"/>
        <v>0</v>
      </c>
      <c r="K371" s="6">
        <f t="shared" si="112"/>
        <v>0</v>
      </c>
      <c r="L371" s="6">
        <f t="shared" si="113"/>
        <v>0</v>
      </c>
      <c r="M371" s="6">
        <f t="shared" si="114"/>
        <v>0</v>
      </c>
      <c r="N371" s="6">
        <f t="shared" si="115"/>
        <v>0</v>
      </c>
      <c r="O371" s="6">
        <f t="shared" si="116"/>
        <v>0</v>
      </c>
      <c r="P371" s="6">
        <f t="shared" si="117"/>
        <v>0</v>
      </c>
      <c r="Q371" s="6">
        <f t="shared" si="118"/>
        <v>0</v>
      </c>
      <c r="R371" s="6">
        <f t="shared" si="119"/>
        <v>0</v>
      </c>
      <c r="S371" s="6">
        <f t="shared" si="120"/>
        <v>0</v>
      </c>
      <c r="T371" s="6">
        <f t="shared" si="121"/>
        <v>0</v>
      </c>
      <c r="U371" s="6">
        <f t="shared" si="122"/>
        <v>0</v>
      </c>
      <c r="V371" s="6">
        <f t="shared" si="123"/>
        <v>0</v>
      </c>
      <c r="W371" s="6">
        <f t="shared" si="124"/>
        <v>0</v>
      </c>
      <c r="X371" s="6">
        <f t="shared" si="125"/>
        <v>0</v>
      </c>
      <c r="Y371" s="6">
        <f t="shared" si="126"/>
        <v>0</v>
      </c>
      <c r="AA371" s="6" t="str">
        <f>IF(最佳化斷筋點!C371="","",最佳化斷筋點!C371)</f>
        <v>上層</v>
      </c>
      <c r="AB371" s="6">
        <f>IF(最佳化斷筋點!D371="","",最佳化斷筋點!D371)</f>
        <v>12</v>
      </c>
      <c r="AC371" s="6">
        <f>IF(最佳化斷筋點!E371="","",最佳化斷筋點!E371)</f>
        <v>11</v>
      </c>
      <c r="AD371" s="6">
        <f>IF(最佳化斷筋點!F371="","",最佳化斷筋點!F371)</f>
        <v>10</v>
      </c>
      <c r="AE371" s="6">
        <f>IF(最佳化斷筋點!G371="","",最佳化斷筋點!G371)</f>
        <v>9</v>
      </c>
      <c r="AF371" s="6">
        <f>IF(最佳化斷筋點!H371="","",最佳化斷筋點!H371)</f>
        <v>8</v>
      </c>
      <c r="AG371" s="6">
        <f>IF(最佳化斷筋點!I371="","",最佳化斷筋點!I371)</f>
        <v>7</v>
      </c>
      <c r="AH371" s="6">
        <f>IF(最佳化斷筋點!J371="","",最佳化斷筋點!J371)</f>
        <v>5</v>
      </c>
      <c r="AI371" s="6">
        <f>IF(最佳化斷筋點!K371="","",最佳化斷筋點!K371)</f>
        <v>4</v>
      </c>
      <c r="AJ371" s="6">
        <f>IF(最佳化斷筋點!L371="","",最佳化斷筋點!L371)</f>
        <v>3</v>
      </c>
      <c r="AK371" s="6">
        <f>IF(最佳化斷筋點!M371="","",最佳化斷筋點!M371)</f>
        <v>2</v>
      </c>
      <c r="AL371" s="6">
        <f>IF(最佳化斷筋點!N371="","",最佳化斷筋點!N371)</f>
        <v>2</v>
      </c>
      <c r="AM371" s="6">
        <f>IF(最佳化斷筋點!O371="","",最佳化斷筋點!O371)</f>
        <v>2</v>
      </c>
      <c r="AN371" s="6">
        <f>IF(最佳化斷筋點!P371="","",最佳化斷筋點!P371)</f>
        <v>3</v>
      </c>
      <c r="AO371" s="6">
        <f>IF(最佳化斷筋點!Q371="","",最佳化斷筋點!Q371)</f>
        <v>4</v>
      </c>
      <c r="AP371" s="6">
        <f>IF(最佳化斷筋點!R371="","",最佳化斷筋點!R371)</f>
        <v>5</v>
      </c>
      <c r="AQ371" s="6">
        <f>IF(最佳化斷筋點!S371="","",最佳化斷筋點!S371)</f>
        <v>6</v>
      </c>
      <c r="AR371" s="6">
        <f>IF(最佳化斷筋點!T371="","",最佳化斷筋點!T371)</f>
        <v>8</v>
      </c>
      <c r="AS371" s="6">
        <f>IF(最佳化斷筋點!U371="","",最佳化斷筋點!U371)</f>
        <v>9</v>
      </c>
      <c r="AT371" s="6">
        <f>IF(最佳化斷筋點!V371="","",最佳化斷筋點!V371)</f>
        <v>10</v>
      </c>
      <c r="AU371" s="6">
        <f>IF(最佳化斷筋點!W371="","",最佳化斷筋點!W371)</f>
        <v>11</v>
      </c>
      <c r="AV371" s="6">
        <f>IF(最佳化斷筋點!X371="","",最佳化斷筋點!X371)</f>
        <v>12</v>
      </c>
      <c r="AX371" s="6" t="s">
        <v>50</v>
      </c>
      <c r="AY371" s="6">
        <v>12</v>
      </c>
      <c r="AZ371" s="6">
        <v>11</v>
      </c>
      <c r="BA371" s="6">
        <v>10</v>
      </c>
      <c r="BB371" s="6">
        <v>9</v>
      </c>
      <c r="BC371" s="6">
        <v>8</v>
      </c>
      <c r="BD371" s="6">
        <v>7</v>
      </c>
      <c r="BE371" s="6">
        <v>5</v>
      </c>
      <c r="BF371" s="6">
        <v>4</v>
      </c>
      <c r="BG371" s="6">
        <v>3</v>
      </c>
      <c r="BH371" s="6">
        <v>2</v>
      </c>
      <c r="BI371" s="6">
        <v>2</v>
      </c>
      <c r="BJ371" s="6">
        <v>2</v>
      </c>
      <c r="BK371" s="6">
        <v>3</v>
      </c>
      <c r="BL371" s="6">
        <v>4</v>
      </c>
      <c r="BM371" s="6">
        <v>5</v>
      </c>
      <c r="BN371" s="6">
        <v>6</v>
      </c>
      <c r="BO371" s="6">
        <v>8</v>
      </c>
      <c r="BP371" s="6">
        <v>9</v>
      </c>
      <c r="BQ371" s="6">
        <v>10</v>
      </c>
      <c r="BR371" s="6">
        <v>11</v>
      </c>
      <c r="BS371" s="6">
        <v>12</v>
      </c>
    </row>
    <row r="372" spans="4:71" x14ac:dyDescent="0.25">
      <c r="E372" s="6">
        <f t="shared" si="106"/>
        <v>0</v>
      </c>
      <c r="F372" s="6">
        <f t="shared" si="107"/>
        <v>0</v>
      </c>
      <c r="G372" s="6">
        <f t="shared" si="108"/>
        <v>0</v>
      </c>
      <c r="H372" s="6">
        <f t="shared" si="109"/>
        <v>0</v>
      </c>
      <c r="I372" s="6">
        <f t="shared" si="110"/>
        <v>0</v>
      </c>
      <c r="J372" s="6">
        <f t="shared" si="111"/>
        <v>0</v>
      </c>
      <c r="K372" s="6">
        <f t="shared" si="112"/>
        <v>0</v>
      </c>
      <c r="L372" s="6">
        <f t="shared" si="113"/>
        <v>0</v>
      </c>
      <c r="M372" s="6">
        <f t="shared" si="114"/>
        <v>0</v>
      </c>
      <c r="N372" s="6">
        <f t="shared" si="115"/>
        <v>0</v>
      </c>
      <c r="O372" s="6">
        <f t="shared" si="116"/>
        <v>0</v>
      </c>
      <c r="P372" s="6">
        <f t="shared" si="117"/>
        <v>0</v>
      </c>
      <c r="Q372" s="6">
        <f t="shared" si="118"/>
        <v>0</v>
      </c>
      <c r="R372" s="6">
        <f t="shared" si="119"/>
        <v>0</v>
      </c>
      <c r="S372" s="6">
        <f t="shared" si="120"/>
        <v>0</v>
      </c>
      <c r="T372" s="6">
        <f t="shared" si="121"/>
        <v>0</v>
      </c>
      <c r="U372" s="6">
        <f t="shared" si="122"/>
        <v>0</v>
      </c>
      <c r="V372" s="6">
        <f t="shared" si="123"/>
        <v>0</v>
      </c>
      <c r="W372" s="6">
        <f t="shared" si="124"/>
        <v>0</v>
      </c>
      <c r="X372" s="6">
        <f t="shared" si="125"/>
        <v>0</v>
      </c>
      <c r="Y372" s="6">
        <f t="shared" si="126"/>
        <v>0</v>
      </c>
      <c r="AA372" s="6" t="str">
        <f>IF(最佳化斷筋點!C372="","",最佳化斷筋點!C372)</f>
        <v/>
      </c>
      <c r="AB372" s="6" t="str">
        <f>IF(最佳化斷筋點!D372="","",最佳化斷筋點!D372)</f>
        <v/>
      </c>
      <c r="AC372" s="6" t="str">
        <f>IF(最佳化斷筋點!E372="","",最佳化斷筋點!E372)</f>
        <v/>
      </c>
      <c r="AD372" s="6" t="str">
        <f>IF(最佳化斷筋點!F372="","",最佳化斷筋點!F372)</f>
        <v/>
      </c>
      <c r="AE372" s="6" t="str">
        <f>IF(最佳化斷筋點!G372="","",最佳化斷筋點!G372)</f>
        <v/>
      </c>
      <c r="AF372" s="6" t="str">
        <f>IF(最佳化斷筋點!H372="","",最佳化斷筋點!H372)</f>
        <v/>
      </c>
      <c r="AG372" s="6" t="str">
        <f>IF(最佳化斷筋點!I372="","",最佳化斷筋點!I372)</f>
        <v/>
      </c>
      <c r="AH372" s="6" t="str">
        <f>IF(最佳化斷筋點!J372="","",最佳化斷筋點!J372)</f>
        <v/>
      </c>
      <c r="AI372" s="6" t="str">
        <f>IF(最佳化斷筋點!K372="","",最佳化斷筋點!K372)</f>
        <v/>
      </c>
      <c r="AJ372" s="6" t="str">
        <f>IF(最佳化斷筋點!L372="","",最佳化斷筋點!L372)</f>
        <v/>
      </c>
      <c r="AK372" s="6" t="str">
        <f>IF(最佳化斷筋點!M372="","",最佳化斷筋點!M372)</f>
        <v/>
      </c>
      <c r="AL372" s="6" t="str">
        <f>IF(最佳化斷筋點!N372="","",最佳化斷筋點!N372)</f>
        <v/>
      </c>
      <c r="AM372" s="6" t="str">
        <f>IF(最佳化斷筋點!O372="","",最佳化斷筋點!O372)</f>
        <v/>
      </c>
      <c r="AN372" s="6" t="str">
        <f>IF(最佳化斷筋點!P372="","",最佳化斷筋點!P372)</f>
        <v/>
      </c>
      <c r="AO372" s="6" t="str">
        <f>IF(最佳化斷筋點!Q372="","",最佳化斷筋點!Q372)</f>
        <v/>
      </c>
      <c r="AP372" s="6" t="str">
        <f>IF(最佳化斷筋點!R372="","",最佳化斷筋點!R372)</f>
        <v/>
      </c>
      <c r="AQ372" s="6" t="str">
        <f>IF(最佳化斷筋點!S372="","",最佳化斷筋點!S372)</f>
        <v/>
      </c>
      <c r="AR372" s="6" t="str">
        <f>IF(最佳化斷筋點!T372="","",最佳化斷筋點!T372)</f>
        <v/>
      </c>
      <c r="AS372" s="6" t="str">
        <f>IF(最佳化斷筋點!U372="","",最佳化斷筋點!U372)</f>
        <v/>
      </c>
      <c r="AT372" s="6" t="str">
        <f>IF(最佳化斷筋點!V372="","",最佳化斷筋點!V372)</f>
        <v/>
      </c>
      <c r="AU372" s="6" t="str">
        <f>IF(最佳化斷筋點!W372="","",最佳化斷筋點!W372)</f>
        <v/>
      </c>
      <c r="AV372" s="6" t="str">
        <f>IF(最佳化斷筋點!X372="","",最佳化斷筋點!X372)</f>
        <v/>
      </c>
    </row>
    <row r="373" spans="4:71" x14ac:dyDescent="0.25">
      <c r="D373" s="6" t="s">
        <v>51</v>
      </c>
      <c r="E373" s="6">
        <f t="shared" si="106"/>
        <v>0</v>
      </c>
      <c r="F373" s="6">
        <f t="shared" si="107"/>
        <v>0</v>
      </c>
      <c r="G373" s="6">
        <f t="shared" si="108"/>
        <v>0</v>
      </c>
      <c r="H373" s="6">
        <f t="shared" si="109"/>
        <v>0</v>
      </c>
      <c r="I373" s="6">
        <f t="shared" si="110"/>
        <v>0</v>
      </c>
      <c r="J373" s="6">
        <f t="shared" si="111"/>
        <v>0</v>
      </c>
      <c r="K373" s="6">
        <f t="shared" si="112"/>
        <v>0</v>
      </c>
      <c r="L373" s="6">
        <f t="shared" si="113"/>
        <v>0</v>
      </c>
      <c r="M373" s="6">
        <f t="shared" si="114"/>
        <v>0</v>
      </c>
      <c r="N373" s="6">
        <f t="shared" si="115"/>
        <v>0</v>
      </c>
      <c r="O373" s="6">
        <f t="shared" si="116"/>
        <v>0</v>
      </c>
      <c r="P373" s="6">
        <f t="shared" si="117"/>
        <v>0</v>
      </c>
      <c r="Q373" s="6">
        <f t="shared" si="118"/>
        <v>0</v>
      </c>
      <c r="R373" s="6">
        <f t="shared" si="119"/>
        <v>0</v>
      </c>
      <c r="S373" s="6">
        <f t="shared" si="120"/>
        <v>0</v>
      </c>
      <c r="T373" s="6">
        <f t="shared" si="121"/>
        <v>0</v>
      </c>
      <c r="U373" s="6">
        <f t="shared" si="122"/>
        <v>0</v>
      </c>
      <c r="V373" s="6">
        <f t="shared" si="123"/>
        <v>0</v>
      </c>
      <c r="W373" s="6">
        <f t="shared" si="124"/>
        <v>0</v>
      </c>
      <c r="X373" s="6">
        <f t="shared" si="125"/>
        <v>0</v>
      </c>
      <c r="Y373" s="6">
        <f t="shared" si="126"/>
        <v>0</v>
      </c>
      <c r="AA373" s="6" t="str">
        <f>IF(最佳化斷筋點!C373="","",最佳化斷筋點!C373)</f>
        <v>下層</v>
      </c>
      <c r="AB373" s="6">
        <f>IF(最佳化斷筋點!D373="","",最佳化斷筋點!D373)</f>
        <v>12</v>
      </c>
      <c r="AC373" s="6">
        <f>IF(最佳化斷筋點!E373="","",最佳化斷筋點!E373)</f>
        <v>11</v>
      </c>
      <c r="AD373" s="6">
        <f>IF(最佳化斷筋點!F373="","",最佳化斷筋點!F373)</f>
        <v>10</v>
      </c>
      <c r="AE373" s="6">
        <f>IF(最佳化斷筋點!G373="","",最佳化斷筋點!G373)</f>
        <v>9</v>
      </c>
      <c r="AF373" s="6">
        <f>IF(最佳化斷筋點!H373="","",最佳化斷筋點!H373)</f>
        <v>9</v>
      </c>
      <c r="AG373" s="6">
        <f>IF(最佳化斷筋點!I373="","",最佳化斷筋點!I373)</f>
        <v>11</v>
      </c>
      <c r="AH373" s="6">
        <f>IF(最佳化斷筋點!J373="","",最佳化斷筋點!J373)</f>
        <v>12</v>
      </c>
      <c r="AI373" s="6">
        <f>IF(最佳化斷筋點!K373="","",最佳化斷筋點!K373)</f>
        <v>13</v>
      </c>
      <c r="AJ373" s="6">
        <f>IF(最佳化斷筋點!L373="","",最佳化斷筋點!L373)</f>
        <v>14</v>
      </c>
      <c r="AK373" s="6">
        <f>IF(最佳化斷筋點!M373="","",最佳化斷筋點!M373)</f>
        <v>14</v>
      </c>
      <c r="AL373" s="6">
        <f>IF(最佳化斷筋點!N373="","",最佳化斷筋點!N373)</f>
        <v>14</v>
      </c>
      <c r="AM373" s="6">
        <f>IF(最佳化斷筋點!O373="","",最佳化斷筋點!O373)</f>
        <v>14</v>
      </c>
      <c r="AN373" s="6">
        <f>IF(最佳化斷筋點!P373="","",最佳化斷筋點!P373)</f>
        <v>14</v>
      </c>
      <c r="AO373" s="6">
        <f>IF(最佳化斷筋點!Q373="","",最佳化斷筋點!Q373)</f>
        <v>13</v>
      </c>
      <c r="AP373" s="6">
        <f>IF(最佳化斷筋點!R373="","",最佳化斷筋點!R373)</f>
        <v>12</v>
      </c>
      <c r="AQ373" s="6">
        <f>IF(最佳化斷筋點!S373="","",最佳化斷筋點!S373)</f>
        <v>11</v>
      </c>
      <c r="AR373" s="6">
        <f>IF(最佳化斷筋點!T373="","",最佳化斷筋點!T373)</f>
        <v>9</v>
      </c>
      <c r="AS373" s="6">
        <f>IF(最佳化斷筋點!U373="","",最佳化斷筋點!U373)</f>
        <v>9</v>
      </c>
      <c r="AT373" s="6">
        <f>IF(最佳化斷筋點!V373="","",最佳化斷筋點!V373)</f>
        <v>10</v>
      </c>
      <c r="AU373" s="6">
        <f>IF(最佳化斷筋點!W373="","",最佳化斷筋點!W373)</f>
        <v>11</v>
      </c>
      <c r="AV373" s="6">
        <f>IF(最佳化斷筋點!X373="","",最佳化斷筋點!X373)</f>
        <v>12</v>
      </c>
      <c r="AX373" s="6" t="s">
        <v>51</v>
      </c>
      <c r="AY373" s="6">
        <v>12</v>
      </c>
      <c r="AZ373" s="6">
        <v>11</v>
      </c>
      <c r="BA373" s="6">
        <v>10</v>
      </c>
      <c r="BB373" s="6">
        <v>9</v>
      </c>
      <c r="BC373" s="6">
        <v>9</v>
      </c>
      <c r="BD373" s="6">
        <v>11</v>
      </c>
      <c r="BE373" s="6">
        <v>12</v>
      </c>
      <c r="BF373" s="6">
        <v>13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13</v>
      </c>
      <c r="BM373" s="6">
        <v>12</v>
      </c>
      <c r="BN373" s="6">
        <v>11</v>
      </c>
      <c r="BO373" s="6">
        <v>9</v>
      </c>
      <c r="BP373" s="6">
        <v>9</v>
      </c>
      <c r="BQ373" s="6">
        <v>10</v>
      </c>
      <c r="BR373" s="6">
        <v>11</v>
      </c>
      <c r="BS373" s="6">
        <v>12</v>
      </c>
    </row>
    <row r="374" spans="4:71" x14ac:dyDescent="0.25">
      <c r="E374" s="6">
        <f t="shared" si="106"/>
        <v>0</v>
      </c>
      <c r="F374" s="6">
        <f t="shared" si="107"/>
        <v>0</v>
      </c>
      <c r="G374" s="6">
        <f t="shared" si="108"/>
        <v>0</v>
      </c>
      <c r="H374" s="6">
        <f t="shared" si="109"/>
        <v>0</v>
      </c>
      <c r="I374" s="6">
        <f t="shared" si="110"/>
        <v>0</v>
      </c>
      <c r="J374" s="6">
        <f t="shared" si="111"/>
        <v>0</v>
      </c>
      <c r="K374" s="6">
        <f t="shared" si="112"/>
        <v>0</v>
      </c>
      <c r="L374" s="6">
        <f t="shared" si="113"/>
        <v>0</v>
      </c>
      <c r="M374" s="6">
        <f t="shared" si="114"/>
        <v>0</v>
      </c>
      <c r="N374" s="6">
        <f t="shared" si="115"/>
        <v>0</v>
      </c>
      <c r="O374" s="6">
        <f t="shared" si="116"/>
        <v>0</v>
      </c>
      <c r="P374" s="6">
        <f t="shared" si="117"/>
        <v>0</v>
      </c>
      <c r="Q374" s="6">
        <f t="shared" si="118"/>
        <v>0</v>
      </c>
      <c r="R374" s="6">
        <f t="shared" si="119"/>
        <v>0</v>
      </c>
      <c r="S374" s="6">
        <f t="shared" si="120"/>
        <v>0</v>
      </c>
      <c r="T374" s="6">
        <f t="shared" si="121"/>
        <v>0</v>
      </c>
      <c r="U374" s="6">
        <f t="shared" si="122"/>
        <v>0</v>
      </c>
      <c r="V374" s="6">
        <f t="shared" si="123"/>
        <v>0</v>
      </c>
      <c r="W374" s="6">
        <f t="shared" si="124"/>
        <v>0</v>
      </c>
      <c r="X374" s="6">
        <f t="shared" si="125"/>
        <v>0</v>
      </c>
      <c r="Y374" s="6">
        <f t="shared" si="126"/>
        <v>0</v>
      </c>
      <c r="AA374" s="6" t="str">
        <f>IF(最佳化斷筋點!C374="","",最佳化斷筋點!C374)</f>
        <v/>
      </c>
      <c r="AB374" s="6" t="str">
        <f>IF(最佳化斷筋點!D374="","",最佳化斷筋點!D374)</f>
        <v/>
      </c>
      <c r="AC374" s="6" t="str">
        <f>IF(最佳化斷筋點!E374="","",最佳化斷筋點!E374)</f>
        <v/>
      </c>
      <c r="AD374" s="6" t="str">
        <f>IF(最佳化斷筋點!F374="","",最佳化斷筋點!F374)</f>
        <v/>
      </c>
      <c r="AE374" s="6" t="str">
        <f>IF(最佳化斷筋點!G374="","",最佳化斷筋點!G374)</f>
        <v/>
      </c>
      <c r="AF374" s="6" t="str">
        <f>IF(最佳化斷筋點!H374="","",最佳化斷筋點!H374)</f>
        <v/>
      </c>
      <c r="AG374" s="6" t="str">
        <f>IF(最佳化斷筋點!I374="","",最佳化斷筋點!I374)</f>
        <v/>
      </c>
      <c r="AH374" s="6" t="str">
        <f>IF(最佳化斷筋點!J374="","",最佳化斷筋點!J374)</f>
        <v/>
      </c>
      <c r="AI374" s="6" t="str">
        <f>IF(最佳化斷筋點!K374="","",最佳化斷筋點!K374)</f>
        <v/>
      </c>
      <c r="AJ374" s="6" t="str">
        <f>IF(最佳化斷筋點!L374="","",最佳化斷筋點!L374)</f>
        <v/>
      </c>
      <c r="AK374" s="6" t="str">
        <f>IF(最佳化斷筋點!M374="","",最佳化斷筋點!M374)</f>
        <v/>
      </c>
      <c r="AL374" s="6" t="str">
        <f>IF(最佳化斷筋點!N374="","",最佳化斷筋點!N374)</f>
        <v/>
      </c>
      <c r="AM374" s="6" t="str">
        <f>IF(最佳化斷筋點!O374="","",最佳化斷筋點!O374)</f>
        <v/>
      </c>
      <c r="AN374" s="6" t="str">
        <f>IF(最佳化斷筋點!P374="","",最佳化斷筋點!P374)</f>
        <v/>
      </c>
      <c r="AO374" s="6" t="str">
        <f>IF(最佳化斷筋點!Q374="","",最佳化斷筋點!Q374)</f>
        <v/>
      </c>
      <c r="AP374" s="6" t="str">
        <f>IF(最佳化斷筋點!R374="","",最佳化斷筋點!R374)</f>
        <v/>
      </c>
      <c r="AQ374" s="6" t="str">
        <f>IF(最佳化斷筋點!S374="","",最佳化斷筋點!S374)</f>
        <v/>
      </c>
      <c r="AR374" s="6" t="str">
        <f>IF(最佳化斷筋點!T374="","",最佳化斷筋點!T374)</f>
        <v/>
      </c>
      <c r="AS374" s="6" t="str">
        <f>IF(最佳化斷筋點!U374="","",最佳化斷筋點!U374)</f>
        <v/>
      </c>
      <c r="AT374" s="6" t="str">
        <f>IF(最佳化斷筋點!V374="","",最佳化斷筋點!V374)</f>
        <v/>
      </c>
      <c r="AU374" s="6" t="str">
        <f>IF(最佳化斷筋點!W374="","",最佳化斷筋點!W374)</f>
        <v/>
      </c>
      <c r="AV374" s="6" t="str">
        <f>IF(最佳化斷筋點!X374="","",最佳化斷筋點!X374)</f>
        <v/>
      </c>
    </row>
    <row r="375" spans="4:71" x14ac:dyDescent="0.25">
      <c r="D375" s="6" t="s">
        <v>50</v>
      </c>
      <c r="E375" s="6">
        <f t="shared" si="106"/>
        <v>0</v>
      </c>
      <c r="F375" s="6">
        <f t="shared" si="107"/>
        <v>0</v>
      </c>
      <c r="G375" s="6">
        <f t="shared" si="108"/>
        <v>0</v>
      </c>
      <c r="H375" s="6">
        <f t="shared" si="109"/>
        <v>0</v>
      </c>
      <c r="I375" s="6">
        <f t="shared" si="110"/>
        <v>0</v>
      </c>
      <c r="J375" s="6">
        <f t="shared" si="111"/>
        <v>0</v>
      </c>
      <c r="K375" s="6">
        <f t="shared" si="112"/>
        <v>0</v>
      </c>
      <c r="L375" s="6">
        <f t="shared" si="113"/>
        <v>0</v>
      </c>
      <c r="M375" s="6">
        <f t="shared" si="114"/>
        <v>0</v>
      </c>
      <c r="N375" s="6">
        <f t="shared" si="115"/>
        <v>0</v>
      </c>
      <c r="O375" s="6">
        <f t="shared" si="116"/>
        <v>0</v>
      </c>
      <c r="P375" s="6">
        <f t="shared" si="117"/>
        <v>0</v>
      </c>
      <c r="Q375" s="6">
        <f t="shared" si="118"/>
        <v>0</v>
      </c>
      <c r="R375" s="6">
        <f t="shared" si="119"/>
        <v>0</v>
      </c>
      <c r="S375" s="6">
        <f t="shared" si="120"/>
        <v>0</v>
      </c>
      <c r="T375" s="6">
        <f t="shared" si="121"/>
        <v>0</v>
      </c>
      <c r="U375" s="6">
        <f t="shared" si="122"/>
        <v>0</v>
      </c>
      <c r="V375" s="6">
        <f t="shared" si="123"/>
        <v>0</v>
      </c>
      <c r="W375" s="6">
        <f t="shared" si="124"/>
        <v>0</v>
      </c>
      <c r="X375" s="6">
        <f t="shared" si="125"/>
        <v>0</v>
      </c>
      <c r="Y375" s="6">
        <f t="shared" si="126"/>
        <v>0</v>
      </c>
      <c r="AA375" s="6" t="str">
        <f>IF(最佳化斷筋點!C375="","",最佳化斷筋點!C375)</f>
        <v>上層</v>
      </c>
      <c r="AB375" s="6">
        <f>IF(最佳化斷筋點!D375="","",最佳化斷筋點!D375)</f>
        <v>2</v>
      </c>
      <c r="AC375" s="6">
        <f>IF(最佳化斷筋點!E375="","",最佳化斷筋點!E375)</f>
        <v>2</v>
      </c>
      <c r="AD375" s="6">
        <f>IF(最佳化斷筋點!F375="","",最佳化斷筋點!F375)</f>
        <v>2</v>
      </c>
      <c r="AE375" s="6">
        <f>IF(最佳化斷筋點!G375="","",最佳化斷筋點!G375)</f>
        <v>2</v>
      </c>
      <c r="AF375" s="6">
        <f>IF(最佳化斷筋點!H375="","",最佳化斷筋點!H375)</f>
        <v>2</v>
      </c>
      <c r="AG375" s="6">
        <f>IF(最佳化斷筋點!I375="","",最佳化斷筋點!I375)</f>
        <v>2</v>
      </c>
      <c r="AH375" s="6">
        <f>IF(最佳化斷筋點!J375="","",最佳化斷筋點!J375)</f>
        <v>2</v>
      </c>
      <c r="AI375" s="6">
        <f>IF(最佳化斷筋點!K375="","",最佳化斷筋點!K375)</f>
        <v>2</v>
      </c>
      <c r="AJ375" s="6">
        <f>IF(最佳化斷筋點!L375="","",最佳化斷筋點!L375)</f>
        <v>2</v>
      </c>
      <c r="AK375" s="6">
        <f>IF(最佳化斷筋點!M375="","",最佳化斷筋點!M375)</f>
        <v>2</v>
      </c>
      <c r="AL375" s="6">
        <f>IF(最佳化斷筋點!N375="","",最佳化斷筋點!N375)</f>
        <v>2</v>
      </c>
      <c r="AM375" s="6">
        <f>IF(最佳化斷筋點!O375="","",最佳化斷筋點!O375)</f>
        <v>2</v>
      </c>
      <c r="AN375" s="6">
        <f>IF(最佳化斷筋點!P375="","",最佳化斷筋點!P375)</f>
        <v>2</v>
      </c>
      <c r="AO375" s="6">
        <f>IF(最佳化斷筋點!Q375="","",最佳化斷筋點!Q375)</f>
        <v>3</v>
      </c>
      <c r="AP375" s="6">
        <f>IF(最佳化斷筋點!R375="","",最佳化斷筋點!R375)</f>
        <v>3</v>
      </c>
      <c r="AQ375" s="6">
        <f>IF(最佳化斷筋點!S375="","",最佳化斷筋點!S375)</f>
        <v>4</v>
      </c>
      <c r="AR375" s="6">
        <f>IF(最佳化斷筋點!T375="","",最佳化斷筋點!T375)</f>
        <v>5</v>
      </c>
      <c r="AS375" s="6">
        <f>IF(最佳化斷筋點!U375="","",最佳化斷筋點!U375)</f>
        <v>5</v>
      </c>
      <c r="AT375" s="6">
        <f>IF(最佳化斷筋點!V375="","",最佳化斷筋點!V375)</f>
        <v>6</v>
      </c>
      <c r="AU375" s="6">
        <f>IF(最佳化斷筋點!W375="","",最佳化斷筋點!W375)</f>
        <v>7</v>
      </c>
      <c r="AV375" s="6">
        <f>IF(最佳化斷筋點!X375="","",最佳化斷筋點!X375)</f>
        <v>7</v>
      </c>
      <c r="AX375" s="6" t="s">
        <v>50</v>
      </c>
      <c r="AY375" s="6">
        <v>2</v>
      </c>
      <c r="AZ375" s="6">
        <v>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2</v>
      </c>
      <c r="BL375" s="6">
        <v>3</v>
      </c>
      <c r="BM375" s="6">
        <v>3</v>
      </c>
      <c r="BN375" s="6">
        <v>4</v>
      </c>
      <c r="BO375" s="6">
        <v>5</v>
      </c>
      <c r="BP375" s="6">
        <v>5</v>
      </c>
      <c r="BQ375" s="6">
        <v>6</v>
      </c>
      <c r="BR375" s="6">
        <v>7</v>
      </c>
      <c r="BS375" s="6">
        <v>7</v>
      </c>
    </row>
    <row r="376" spans="4:71" x14ac:dyDescent="0.25">
      <c r="E376" s="6">
        <f t="shared" si="106"/>
        <v>0</v>
      </c>
      <c r="F376" s="6">
        <f t="shared" si="107"/>
        <v>0</v>
      </c>
      <c r="G376" s="6">
        <f t="shared" si="108"/>
        <v>0</v>
      </c>
      <c r="H376" s="6">
        <f t="shared" si="109"/>
        <v>0</v>
      </c>
      <c r="I376" s="6">
        <f t="shared" si="110"/>
        <v>0</v>
      </c>
      <c r="J376" s="6">
        <f t="shared" si="111"/>
        <v>0</v>
      </c>
      <c r="K376" s="6">
        <f t="shared" si="112"/>
        <v>0</v>
      </c>
      <c r="L376" s="6">
        <f t="shared" si="113"/>
        <v>0</v>
      </c>
      <c r="M376" s="6">
        <f t="shared" si="114"/>
        <v>0</v>
      </c>
      <c r="N376" s="6">
        <f t="shared" si="115"/>
        <v>0</v>
      </c>
      <c r="O376" s="6">
        <f t="shared" si="116"/>
        <v>0</v>
      </c>
      <c r="P376" s="6">
        <f t="shared" si="117"/>
        <v>0</v>
      </c>
      <c r="Q376" s="6">
        <f t="shared" si="118"/>
        <v>0</v>
      </c>
      <c r="R376" s="6">
        <f t="shared" si="119"/>
        <v>0</v>
      </c>
      <c r="S376" s="6">
        <f t="shared" si="120"/>
        <v>0</v>
      </c>
      <c r="T376" s="6">
        <f t="shared" si="121"/>
        <v>0</v>
      </c>
      <c r="U376" s="6">
        <f t="shared" si="122"/>
        <v>0</v>
      </c>
      <c r="V376" s="6">
        <f t="shared" si="123"/>
        <v>0</v>
      </c>
      <c r="W376" s="6">
        <f t="shared" si="124"/>
        <v>0</v>
      </c>
      <c r="X376" s="6">
        <f t="shared" si="125"/>
        <v>0</v>
      </c>
      <c r="Y376" s="6">
        <f t="shared" si="126"/>
        <v>0</v>
      </c>
      <c r="AA376" s="6" t="str">
        <f>IF(最佳化斷筋點!C376="","",最佳化斷筋點!C376)</f>
        <v/>
      </c>
      <c r="AB376" s="6" t="str">
        <f>IF(最佳化斷筋點!D376="","",最佳化斷筋點!D376)</f>
        <v/>
      </c>
      <c r="AC376" s="6" t="str">
        <f>IF(最佳化斷筋點!E376="","",最佳化斷筋點!E376)</f>
        <v/>
      </c>
      <c r="AD376" s="6" t="str">
        <f>IF(最佳化斷筋點!F376="","",最佳化斷筋點!F376)</f>
        <v/>
      </c>
      <c r="AE376" s="6" t="str">
        <f>IF(最佳化斷筋點!G376="","",最佳化斷筋點!G376)</f>
        <v/>
      </c>
      <c r="AF376" s="6" t="str">
        <f>IF(最佳化斷筋點!H376="","",最佳化斷筋點!H376)</f>
        <v/>
      </c>
      <c r="AG376" s="6" t="str">
        <f>IF(最佳化斷筋點!I376="","",最佳化斷筋點!I376)</f>
        <v/>
      </c>
      <c r="AH376" s="6" t="str">
        <f>IF(最佳化斷筋點!J376="","",最佳化斷筋點!J376)</f>
        <v/>
      </c>
      <c r="AI376" s="6" t="str">
        <f>IF(最佳化斷筋點!K376="","",最佳化斷筋點!K376)</f>
        <v/>
      </c>
      <c r="AJ376" s="6" t="str">
        <f>IF(最佳化斷筋點!L376="","",最佳化斷筋點!L376)</f>
        <v/>
      </c>
      <c r="AK376" s="6" t="str">
        <f>IF(最佳化斷筋點!M376="","",最佳化斷筋點!M376)</f>
        <v/>
      </c>
      <c r="AL376" s="6" t="str">
        <f>IF(最佳化斷筋點!N376="","",最佳化斷筋點!N376)</f>
        <v/>
      </c>
      <c r="AM376" s="6" t="str">
        <f>IF(最佳化斷筋點!O376="","",最佳化斷筋點!O376)</f>
        <v/>
      </c>
      <c r="AN376" s="6" t="str">
        <f>IF(最佳化斷筋點!P376="","",最佳化斷筋點!P376)</f>
        <v/>
      </c>
      <c r="AO376" s="6" t="str">
        <f>IF(最佳化斷筋點!Q376="","",最佳化斷筋點!Q376)</f>
        <v/>
      </c>
      <c r="AP376" s="6" t="str">
        <f>IF(最佳化斷筋點!R376="","",最佳化斷筋點!R376)</f>
        <v/>
      </c>
      <c r="AQ376" s="6" t="str">
        <f>IF(最佳化斷筋點!S376="","",最佳化斷筋點!S376)</f>
        <v/>
      </c>
      <c r="AR376" s="6" t="str">
        <f>IF(最佳化斷筋點!T376="","",最佳化斷筋點!T376)</f>
        <v/>
      </c>
      <c r="AS376" s="6" t="str">
        <f>IF(最佳化斷筋點!U376="","",最佳化斷筋點!U376)</f>
        <v/>
      </c>
      <c r="AT376" s="6" t="str">
        <f>IF(最佳化斷筋點!V376="","",最佳化斷筋點!V376)</f>
        <v/>
      </c>
      <c r="AU376" s="6" t="str">
        <f>IF(最佳化斷筋點!W376="","",最佳化斷筋點!W376)</f>
        <v/>
      </c>
      <c r="AV376" s="6" t="str">
        <f>IF(最佳化斷筋點!X376="","",最佳化斷筋點!X376)</f>
        <v/>
      </c>
    </row>
    <row r="377" spans="4:71" x14ac:dyDescent="0.25">
      <c r="D377" s="6" t="s">
        <v>51</v>
      </c>
      <c r="E377" s="6">
        <f t="shared" si="106"/>
        <v>0</v>
      </c>
      <c r="F377" s="6">
        <f t="shared" si="107"/>
        <v>0</v>
      </c>
      <c r="G377" s="6">
        <f t="shared" si="108"/>
        <v>0</v>
      </c>
      <c r="H377" s="6">
        <f t="shared" si="109"/>
        <v>0</v>
      </c>
      <c r="I377" s="6">
        <f t="shared" si="110"/>
        <v>0</v>
      </c>
      <c r="J377" s="6">
        <f t="shared" si="111"/>
        <v>0</v>
      </c>
      <c r="K377" s="6">
        <f t="shared" si="112"/>
        <v>0</v>
      </c>
      <c r="L377" s="6">
        <f t="shared" si="113"/>
        <v>0</v>
      </c>
      <c r="M377" s="6">
        <f t="shared" si="114"/>
        <v>0</v>
      </c>
      <c r="N377" s="6">
        <f t="shared" si="115"/>
        <v>0</v>
      </c>
      <c r="O377" s="6">
        <f t="shared" si="116"/>
        <v>0</v>
      </c>
      <c r="P377" s="6">
        <f t="shared" si="117"/>
        <v>0</v>
      </c>
      <c r="Q377" s="6">
        <f t="shared" si="118"/>
        <v>0</v>
      </c>
      <c r="R377" s="6">
        <f t="shared" si="119"/>
        <v>0</v>
      </c>
      <c r="S377" s="6">
        <f t="shared" si="120"/>
        <v>0</v>
      </c>
      <c r="T377" s="6">
        <f t="shared" si="121"/>
        <v>0</v>
      </c>
      <c r="U377" s="6">
        <f t="shared" si="122"/>
        <v>0</v>
      </c>
      <c r="V377" s="6">
        <f t="shared" si="123"/>
        <v>0</v>
      </c>
      <c r="W377" s="6">
        <f t="shared" si="124"/>
        <v>0</v>
      </c>
      <c r="X377" s="6">
        <f t="shared" si="125"/>
        <v>0</v>
      </c>
      <c r="Y377" s="6">
        <f t="shared" si="126"/>
        <v>0</v>
      </c>
      <c r="AA377" s="6" t="str">
        <f>IF(最佳化斷筋點!C377="","",最佳化斷筋點!C377)</f>
        <v>下層</v>
      </c>
      <c r="AB377" s="6">
        <f>IF(最佳化斷筋點!D377="","",最佳化斷筋點!D377)</f>
        <v>5</v>
      </c>
      <c r="AC377" s="6">
        <f>IF(最佳化斷筋點!E377="","",最佳化斷筋點!E377)</f>
        <v>5</v>
      </c>
      <c r="AD377" s="6">
        <f>IF(最佳化斷筋點!F377="","",最佳化斷筋點!F377)</f>
        <v>4</v>
      </c>
      <c r="AE377" s="6">
        <f>IF(最佳化斷筋點!G377="","",最佳化斷筋點!G377)</f>
        <v>4</v>
      </c>
      <c r="AF377" s="6">
        <f>IF(最佳化斷筋點!H377="","",最佳化斷筋點!H377)</f>
        <v>4</v>
      </c>
      <c r="AG377" s="6">
        <f>IF(最佳化斷筋點!I377="","",最佳化斷筋點!I377)</f>
        <v>5</v>
      </c>
      <c r="AH377" s="6">
        <f>IF(最佳化斷筋點!J377="","",最佳化斷筋點!J377)</f>
        <v>6</v>
      </c>
      <c r="AI377" s="6">
        <f>IF(最佳化斷筋點!K377="","",最佳化斷筋點!K377)</f>
        <v>6</v>
      </c>
      <c r="AJ377" s="6">
        <f>IF(最佳化斷筋點!L377="","",最佳化斷筋點!L377)</f>
        <v>6</v>
      </c>
      <c r="AK377" s="6">
        <f>IF(最佳化斷筋點!M377="","",最佳化斷筋點!M377)</f>
        <v>6</v>
      </c>
      <c r="AL377" s="6">
        <f>IF(最佳化斷筋點!N377="","",最佳化斷筋點!N377)</f>
        <v>6</v>
      </c>
      <c r="AM377" s="6">
        <f>IF(最佳化斷筋點!O377="","",最佳化斷筋點!O377)</f>
        <v>6</v>
      </c>
      <c r="AN377" s="6">
        <f>IF(最佳化斷筋點!P377="","",最佳化斷筋點!P377)</f>
        <v>6</v>
      </c>
      <c r="AO377" s="6">
        <f>IF(最佳化斷筋點!Q377="","",最佳化斷筋點!Q377)</f>
        <v>6</v>
      </c>
      <c r="AP377" s="6">
        <f>IF(最佳化斷筋點!R377="","",最佳化斷筋點!R377)</f>
        <v>6</v>
      </c>
      <c r="AQ377" s="6">
        <f>IF(最佳化斷筋點!S377="","",最佳化斷筋點!S377)</f>
        <v>5</v>
      </c>
      <c r="AR377" s="6">
        <f>IF(最佳化斷筋點!T377="","",最佳化斷筋點!T377)</f>
        <v>4</v>
      </c>
      <c r="AS377" s="6">
        <f>IF(最佳化斷筋點!U377="","",最佳化斷筋點!U377)</f>
        <v>4</v>
      </c>
      <c r="AT377" s="6">
        <f>IF(最佳化斷筋點!V377="","",最佳化斷筋點!V377)</f>
        <v>4</v>
      </c>
      <c r="AU377" s="6">
        <f>IF(最佳化斷筋點!W377="","",最佳化斷筋點!W377)</f>
        <v>5</v>
      </c>
      <c r="AV377" s="6">
        <f>IF(最佳化斷筋點!X377="","",最佳化斷筋點!X377)</f>
        <v>5</v>
      </c>
      <c r="AX377" s="6" t="s">
        <v>51</v>
      </c>
      <c r="AY377" s="6">
        <v>5</v>
      </c>
      <c r="AZ377" s="6">
        <v>5</v>
      </c>
      <c r="BA377" s="6">
        <v>4</v>
      </c>
      <c r="BB377" s="6">
        <v>4</v>
      </c>
      <c r="BC377" s="6">
        <v>4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5</v>
      </c>
      <c r="BO377" s="6">
        <v>4</v>
      </c>
      <c r="BP377" s="6">
        <v>4</v>
      </c>
      <c r="BQ377" s="6">
        <v>4</v>
      </c>
      <c r="BR377" s="6">
        <v>5</v>
      </c>
      <c r="BS377" s="6">
        <v>5</v>
      </c>
    </row>
    <row r="378" spans="4:71" x14ac:dyDescent="0.25">
      <c r="E378" s="6">
        <f t="shared" si="106"/>
        <v>0</v>
      </c>
      <c r="F378" s="6">
        <f t="shared" si="107"/>
        <v>0</v>
      </c>
      <c r="G378" s="6">
        <f t="shared" si="108"/>
        <v>0</v>
      </c>
      <c r="H378" s="6">
        <f t="shared" si="109"/>
        <v>0</v>
      </c>
      <c r="I378" s="6">
        <f t="shared" si="110"/>
        <v>0</v>
      </c>
      <c r="J378" s="6">
        <f t="shared" si="111"/>
        <v>0</v>
      </c>
      <c r="K378" s="6">
        <f t="shared" si="112"/>
        <v>0</v>
      </c>
      <c r="L378" s="6">
        <f t="shared" si="113"/>
        <v>0</v>
      </c>
      <c r="M378" s="6">
        <f t="shared" si="114"/>
        <v>0</v>
      </c>
      <c r="N378" s="6">
        <f t="shared" si="115"/>
        <v>0</v>
      </c>
      <c r="O378" s="6">
        <f t="shared" si="116"/>
        <v>0</v>
      </c>
      <c r="P378" s="6">
        <f t="shared" si="117"/>
        <v>0</v>
      </c>
      <c r="Q378" s="6">
        <f t="shared" si="118"/>
        <v>0</v>
      </c>
      <c r="R378" s="6">
        <f t="shared" si="119"/>
        <v>0</v>
      </c>
      <c r="S378" s="6">
        <f t="shared" si="120"/>
        <v>0</v>
      </c>
      <c r="T378" s="6">
        <f t="shared" si="121"/>
        <v>0</v>
      </c>
      <c r="U378" s="6">
        <f t="shared" si="122"/>
        <v>0</v>
      </c>
      <c r="V378" s="6">
        <f t="shared" si="123"/>
        <v>0</v>
      </c>
      <c r="W378" s="6">
        <f t="shared" si="124"/>
        <v>0</v>
      </c>
      <c r="X378" s="6">
        <f t="shared" si="125"/>
        <v>0</v>
      </c>
      <c r="Y378" s="6">
        <f t="shared" si="126"/>
        <v>0</v>
      </c>
      <c r="AA378" s="6" t="str">
        <f>IF(最佳化斷筋點!C378="","",最佳化斷筋點!C378)</f>
        <v/>
      </c>
      <c r="AB378" s="6" t="str">
        <f>IF(最佳化斷筋點!D378="","",最佳化斷筋點!D378)</f>
        <v/>
      </c>
      <c r="AC378" s="6" t="str">
        <f>IF(最佳化斷筋點!E378="","",最佳化斷筋點!E378)</f>
        <v/>
      </c>
      <c r="AD378" s="6" t="str">
        <f>IF(最佳化斷筋點!F378="","",最佳化斷筋點!F378)</f>
        <v/>
      </c>
      <c r="AE378" s="6" t="str">
        <f>IF(最佳化斷筋點!G378="","",最佳化斷筋點!G378)</f>
        <v/>
      </c>
      <c r="AF378" s="6" t="str">
        <f>IF(最佳化斷筋點!H378="","",最佳化斷筋點!H378)</f>
        <v/>
      </c>
      <c r="AG378" s="6" t="str">
        <f>IF(最佳化斷筋點!I378="","",最佳化斷筋點!I378)</f>
        <v/>
      </c>
      <c r="AH378" s="6" t="str">
        <f>IF(最佳化斷筋點!J378="","",最佳化斷筋點!J378)</f>
        <v/>
      </c>
      <c r="AI378" s="6" t="str">
        <f>IF(最佳化斷筋點!K378="","",最佳化斷筋點!K378)</f>
        <v/>
      </c>
      <c r="AJ378" s="6" t="str">
        <f>IF(最佳化斷筋點!L378="","",最佳化斷筋點!L378)</f>
        <v/>
      </c>
      <c r="AK378" s="6" t="str">
        <f>IF(最佳化斷筋點!M378="","",最佳化斷筋點!M378)</f>
        <v/>
      </c>
      <c r="AL378" s="6" t="str">
        <f>IF(最佳化斷筋點!N378="","",最佳化斷筋點!N378)</f>
        <v/>
      </c>
      <c r="AM378" s="6" t="str">
        <f>IF(最佳化斷筋點!O378="","",最佳化斷筋點!O378)</f>
        <v/>
      </c>
      <c r="AN378" s="6" t="str">
        <f>IF(最佳化斷筋點!P378="","",最佳化斷筋點!P378)</f>
        <v/>
      </c>
      <c r="AO378" s="6" t="str">
        <f>IF(最佳化斷筋點!Q378="","",最佳化斷筋點!Q378)</f>
        <v/>
      </c>
      <c r="AP378" s="6" t="str">
        <f>IF(最佳化斷筋點!R378="","",最佳化斷筋點!R378)</f>
        <v/>
      </c>
      <c r="AQ378" s="6" t="str">
        <f>IF(最佳化斷筋點!S378="","",最佳化斷筋點!S378)</f>
        <v/>
      </c>
      <c r="AR378" s="6" t="str">
        <f>IF(最佳化斷筋點!T378="","",最佳化斷筋點!T378)</f>
        <v/>
      </c>
      <c r="AS378" s="6" t="str">
        <f>IF(最佳化斷筋點!U378="","",最佳化斷筋點!U378)</f>
        <v/>
      </c>
      <c r="AT378" s="6" t="str">
        <f>IF(最佳化斷筋點!V378="","",最佳化斷筋點!V378)</f>
        <v/>
      </c>
      <c r="AU378" s="6" t="str">
        <f>IF(最佳化斷筋點!W378="","",最佳化斷筋點!W378)</f>
        <v/>
      </c>
      <c r="AV378" s="6" t="str">
        <f>IF(最佳化斷筋點!X378="","",最佳化斷筋點!X378)</f>
        <v/>
      </c>
    </row>
    <row r="379" spans="4:71" x14ac:dyDescent="0.25">
      <c r="D379" s="6" t="s">
        <v>50</v>
      </c>
      <c r="E379" s="6">
        <f t="shared" si="106"/>
        <v>0</v>
      </c>
      <c r="F379" s="6">
        <f t="shared" si="107"/>
        <v>0</v>
      </c>
      <c r="G379" s="6">
        <f t="shared" si="108"/>
        <v>0</v>
      </c>
      <c r="H379" s="6">
        <f t="shared" si="109"/>
        <v>0</v>
      </c>
      <c r="I379" s="6">
        <f t="shared" si="110"/>
        <v>0</v>
      </c>
      <c r="J379" s="6">
        <f t="shared" si="111"/>
        <v>0</v>
      </c>
      <c r="K379" s="6">
        <f t="shared" si="112"/>
        <v>0</v>
      </c>
      <c r="L379" s="6">
        <f t="shared" si="113"/>
        <v>0</v>
      </c>
      <c r="M379" s="6">
        <f t="shared" si="114"/>
        <v>0</v>
      </c>
      <c r="N379" s="6">
        <f t="shared" si="115"/>
        <v>0</v>
      </c>
      <c r="O379" s="6">
        <f t="shared" si="116"/>
        <v>0</v>
      </c>
      <c r="P379" s="6">
        <f t="shared" si="117"/>
        <v>0</v>
      </c>
      <c r="Q379" s="6">
        <f t="shared" si="118"/>
        <v>0</v>
      </c>
      <c r="R379" s="6">
        <f t="shared" si="119"/>
        <v>0</v>
      </c>
      <c r="S379" s="6">
        <f t="shared" si="120"/>
        <v>0</v>
      </c>
      <c r="T379" s="6">
        <f t="shared" si="121"/>
        <v>0</v>
      </c>
      <c r="U379" s="6">
        <f t="shared" si="122"/>
        <v>0</v>
      </c>
      <c r="V379" s="6">
        <f t="shared" si="123"/>
        <v>0</v>
      </c>
      <c r="W379" s="6">
        <f t="shared" si="124"/>
        <v>0</v>
      </c>
      <c r="X379" s="6">
        <f t="shared" si="125"/>
        <v>0</v>
      </c>
      <c r="Y379" s="6">
        <f t="shared" si="126"/>
        <v>0</v>
      </c>
      <c r="AA379" s="6" t="str">
        <f>IF(最佳化斷筋點!C379="","",最佳化斷筋點!C379)</f>
        <v>上層</v>
      </c>
      <c r="AB379" s="6">
        <f>IF(最佳化斷筋點!D379="","",最佳化斷筋點!D379)</f>
        <v>7</v>
      </c>
      <c r="AC379" s="6">
        <f>IF(最佳化斷筋點!E379="","",最佳化斷筋點!E379)</f>
        <v>7</v>
      </c>
      <c r="AD379" s="6">
        <f>IF(最佳化斷筋點!F379="","",最佳化斷筋點!F379)</f>
        <v>6</v>
      </c>
      <c r="AE379" s="6">
        <f>IF(最佳化斷筋點!G379="","",最佳化斷筋點!G379)</f>
        <v>5</v>
      </c>
      <c r="AF379" s="6">
        <f>IF(最佳化斷筋點!H379="","",最佳化斷筋點!H379)</f>
        <v>5</v>
      </c>
      <c r="AG379" s="6">
        <f>IF(最佳化斷筋點!I379="","",最佳化斷筋點!I379)</f>
        <v>4</v>
      </c>
      <c r="AH379" s="6">
        <f>IF(最佳化斷筋點!J379="","",最佳化斷筋點!J379)</f>
        <v>3</v>
      </c>
      <c r="AI379" s="6">
        <f>IF(最佳化斷筋點!K379="","",最佳化斷筋點!K379)</f>
        <v>3</v>
      </c>
      <c r="AJ379" s="6">
        <f>IF(最佳化斷筋點!L379="","",最佳化斷筋點!L379)</f>
        <v>2</v>
      </c>
      <c r="AK379" s="6">
        <f>IF(最佳化斷筋點!M379="","",最佳化斷筋點!M379)</f>
        <v>2</v>
      </c>
      <c r="AL379" s="6">
        <f>IF(最佳化斷筋點!N379="","",最佳化斷筋點!N379)</f>
        <v>2</v>
      </c>
      <c r="AM379" s="6">
        <f>IF(最佳化斷筋點!O379="","",最佳化斷筋點!O379)</f>
        <v>2</v>
      </c>
      <c r="AN379" s="6">
        <f>IF(最佳化斷筋點!P379="","",最佳化斷筋點!P379)</f>
        <v>3</v>
      </c>
      <c r="AO379" s="6">
        <f>IF(最佳化斷筋點!Q379="","",最佳化斷筋點!Q379)</f>
        <v>4</v>
      </c>
      <c r="AP379" s="6">
        <f>IF(最佳化斷筋點!R379="","",最佳化斷筋點!R379)</f>
        <v>5</v>
      </c>
      <c r="AQ379" s="6">
        <f>IF(最佳化斷筋點!S379="","",最佳化斷筋點!S379)</f>
        <v>6</v>
      </c>
      <c r="AR379" s="6">
        <f>IF(最佳化斷筋點!T379="","",最佳化斷筋點!T379)</f>
        <v>7</v>
      </c>
      <c r="AS379" s="6">
        <f>IF(最佳化斷筋點!U379="","",最佳化斷筋點!U379)</f>
        <v>8</v>
      </c>
      <c r="AT379" s="6">
        <f>IF(最佳化斷筋點!V379="","",最佳化斷筋點!V379)</f>
        <v>9</v>
      </c>
      <c r="AU379" s="6">
        <f>IF(最佳化斷筋點!W379="","",最佳化斷筋點!W379)</f>
        <v>10</v>
      </c>
      <c r="AV379" s="6">
        <f>IF(最佳化斷筋點!X379="","",最佳化斷筋點!X379)</f>
        <v>11</v>
      </c>
      <c r="AX379" s="6" t="s">
        <v>50</v>
      </c>
      <c r="AY379" s="6">
        <v>7</v>
      </c>
      <c r="AZ379" s="6">
        <v>7</v>
      </c>
      <c r="BA379" s="6">
        <v>6</v>
      </c>
      <c r="BB379" s="6">
        <v>5</v>
      </c>
      <c r="BC379" s="6">
        <v>5</v>
      </c>
      <c r="BD379" s="6">
        <v>4</v>
      </c>
      <c r="BE379" s="6">
        <v>3</v>
      </c>
      <c r="BF379" s="6">
        <v>3</v>
      </c>
      <c r="BG379" s="6">
        <v>2</v>
      </c>
      <c r="BH379" s="6">
        <v>2</v>
      </c>
      <c r="BI379" s="6">
        <v>2</v>
      </c>
      <c r="BJ379" s="6">
        <v>2</v>
      </c>
      <c r="BK379" s="6">
        <v>3</v>
      </c>
      <c r="BL379" s="6">
        <v>4</v>
      </c>
      <c r="BM379" s="6">
        <v>5</v>
      </c>
      <c r="BN379" s="6">
        <v>6</v>
      </c>
      <c r="BO379" s="6">
        <v>7</v>
      </c>
      <c r="BP379" s="6">
        <v>8</v>
      </c>
      <c r="BQ379" s="6">
        <v>9</v>
      </c>
      <c r="BR379" s="6">
        <v>10</v>
      </c>
      <c r="BS379" s="6">
        <v>11</v>
      </c>
    </row>
    <row r="380" spans="4:71" x14ac:dyDescent="0.25">
      <c r="E380" s="6">
        <f t="shared" si="106"/>
        <v>0</v>
      </c>
      <c r="F380" s="6">
        <f t="shared" si="107"/>
        <v>0</v>
      </c>
      <c r="G380" s="6">
        <f t="shared" si="108"/>
        <v>0</v>
      </c>
      <c r="H380" s="6">
        <f t="shared" si="109"/>
        <v>0</v>
      </c>
      <c r="I380" s="6">
        <f t="shared" si="110"/>
        <v>0</v>
      </c>
      <c r="J380" s="6">
        <f t="shared" si="111"/>
        <v>0</v>
      </c>
      <c r="K380" s="6">
        <f t="shared" si="112"/>
        <v>0</v>
      </c>
      <c r="L380" s="6">
        <f t="shared" si="113"/>
        <v>0</v>
      </c>
      <c r="M380" s="6">
        <f t="shared" si="114"/>
        <v>0</v>
      </c>
      <c r="N380" s="6">
        <f t="shared" si="115"/>
        <v>0</v>
      </c>
      <c r="O380" s="6">
        <f t="shared" si="116"/>
        <v>0</v>
      </c>
      <c r="P380" s="6">
        <f t="shared" si="117"/>
        <v>0</v>
      </c>
      <c r="Q380" s="6">
        <f t="shared" si="118"/>
        <v>0</v>
      </c>
      <c r="R380" s="6">
        <f t="shared" si="119"/>
        <v>0</v>
      </c>
      <c r="S380" s="6">
        <f t="shared" si="120"/>
        <v>0</v>
      </c>
      <c r="T380" s="6">
        <f t="shared" si="121"/>
        <v>0</v>
      </c>
      <c r="U380" s="6">
        <f t="shared" si="122"/>
        <v>0</v>
      </c>
      <c r="V380" s="6">
        <f t="shared" si="123"/>
        <v>0</v>
      </c>
      <c r="W380" s="6">
        <f t="shared" si="124"/>
        <v>0</v>
      </c>
      <c r="X380" s="6">
        <f t="shared" si="125"/>
        <v>0</v>
      </c>
      <c r="Y380" s="6">
        <f t="shared" si="126"/>
        <v>0</v>
      </c>
      <c r="AA380" s="6" t="str">
        <f>IF(最佳化斷筋點!C380="","",最佳化斷筋點!C380)</f>
        <v/>
      </c>
      <c r="AB380" s="6" t="str">
        <f>IF(最佳化斷筋點!D380="","",最佳化斷筋點!D380)</f>
        <v/>
      </c>
      <c r="AC380" s="6" t="str">
        <f>IF(最佳化斷筋點!E380="","",最佳化斷筋點!E380)</f>
        <v/>
      </c>
      <c r="AD380" s="6" t="str">
        <f>IF(最佳化斷筋點!F380="","",最佳化斷筋點!F380)</f>
        <v/>
      </c>
      <c r="AE380" s="6" t="str">
        <f>IF(最佳化斷筋點!G380="","",最佳化斷筋點!G380)</f>
        <v/>
      </c>
      <c r="AF380" s="6" t="str">
        <f>IF(最佳化斷筋點!H380="","",最佳化斷筋點!H380)</f>
        <v/>
      </c>
      <c r="AG380" s="6" t="str">
        <f>IF(最佳化斷筋點!I380="","",最佳化斷筋點!I380)</f>
        <v/>
      </c>
      <c r="AH380" s="6" t="str">
        <f>IF(最佳化斷筋點!J380="","",最佳化斷筋點!J380)</f>
        <v/>
      </c>
      <c r="AI380" s="6" t="str">
        <f>IF(最佳化斷筋點!K380="","",最佳化斷筋點!K380)</f>
        <v/>
      </c>
      <c r="AJ380" s="6" t="str">
        <f>IF(最佳化斷筋點!L380="","",最佳化斷筋點!L380)</f>
        <v/>
      </c>
      <c r="AK380" s="6" t="str">
        <f>IF(最佳化斷筋點!M380="","",最佳化斷筋點!M380)</f>
        <v/>
      </c>
      <c r="AL380" s="6" t="str">
        <f>IF(最佳化斷筋點!N380="","",最佳化斷筋點!N380)</f>
        <v/>
      </c>
      <c r="AM380" s="6" t="str">
        <f>IF(最佳化斷筋點!O380="","",最佳化斷筋點!O380)</f>
        <v/>
      </c>
      <c r="AN380" s="6" t="str">
        <f>IF(最佳化斷筋點!P380="","",最佳化斷筋點!P380)</f>
        <v/>
      </c>
      <c r="AO380" s="6" t="str">
        <f>IF(最佳化斷筋點!Q380="","",最佳化斷筋點!Q380)</f>
        <v/>
      </c>
      <c r="AP380" s="6" t="str">
        <f>IF(最佳化斷筋點!R380="","",最佳化斷筋點!R380)</f>
        <v/>
      </c>
      <c r="AQ380" s="6" t="str">
        <f>IF(最佳化斷筋點!S380="","",最佳化斷筋點!S380)</f>
        <v/>
      </c>
      <c r="AR380" s="6" t="str">
        <f>IF(最佳化斷筋點!T380="","",最佳化斷筋點!T380)</f>
        <v/>
      </c>
      <c r="AS380" s="6" t="str">
        <f>IF(最佳化斷筋點!U380="","",最佳化斷筋點!U380)</f>
        <v/>
      </c>
      <c r="AT380" s="6" t="str">
        <f>IF(最佳化斷筋點!V380="","",最佳化斷筋點!V380)</f>
        <v/>
      </c>
      <c r="AU380" s="6" t="str">
        <f>IF(最佳化斷筋點!W380="","",最佳化斷筋點!W380)</f>
        <v/>
      </c>
      <c r="AV380" s="6" t="str">
        <f>IF(最佳化斷筋點!X380="","",最佳化斷筋點!X380)</f>
        <v/>
      </c>
    </row>
    <row r="381" spans="4:71" x14ac:dyDescent="0.25">
      <c r="D381" s="6" t="s">
        <v>51</v>
      </c>
      <c r="E381" s="6">
        <f t="shared" si="106"/>
        <v>0</v>
      </c>
      <c r="F381" s="6">
        <f t="shared" si="107"/>
        <v>0</v>
      </c>
      <c r="G381" s="6">
        <f t="shared" si="108"/>
        <v>0</v>
      </c>
      <c r="H381" s="6">
        <f t="shared" si="109"/>
        <v>0</v>
      </c>
      <c r="I381" s="6">
        <f t="shared" si="110"/>
        <v>0</v>
      </c>
      <c r="J381" s="6">
        <f t="shared" si="111"/>
        <v>0</v>
      </c>
      <c r="K381" s="6">
        <f t="shared" si="112"/>
        <v>0</v>
      </c>
      <c r="L381" s="6">
        <f t="shared" si="113"/>
        <v>0</v>
      </c>
      <c r="M381" s="6">
        <f t="shared" si="114"/>
        <v>0</v>
      </c>
      <c r="N381" s="6">
        <f t="shared" si="115"/>
        <v>0</v>
      </c>
      <c r="O381" s="6">
        <f t="shared" si="116"/>
        <v>0</v>
      </c>
      <c r="P381" s="6">
        <f t="shared" si="117"/>
        <v>0</v>
      </c>
      <c r="Q381" s="6">
        <f t="shared" si="118"/>
        <v>0</v>
      </c>
      <c r="R381" s="6">
        <f t="shared" si="119"/>
        <v>0</v>
      </c>
      <c r="S381" s="6">
        <f t="shared" si="120"/>
        <v>0</v>
      </c>
      <c r="T381" s="6">
        <f t="shared" si="121"/>
        <v>0</v>
      </c>
      <c r="U381" s="6">
        <f t="shared" si="122"/>
        <v>0</v>
      </c>
      <c r="V381" s="6">
        <f t="shared" si="123"/>
        <v>0</v>
      </c>
      <c r="W381" s="6">
        <f t="shared" si="124"/>
        <v>0</v>
      </c>
      <c r="X381" s="6">
        <f t="shared" si="125"/>
        <v>0</v>
      </c>
      <c r="Y381" s="6">
        <f t="shared" si="126"/>
        <v>0</v>
      </c>
      <c r="AA381" s="6" t="str">
        <f>IF(最佳化斷筋點!C381="","",最佳化斷筋點!C381)</f>
        <v>下層</v>
      </c>
      <c r="AB381" s="6">
        <f>IF(最佳化斷筋點!D381="","",最佳化斷筋點!D381)</f>
        <v>5</v>
      </c>
      <c r="AC381" s="6">
        <f>IF(最佳化斷筋點!E381="","",最佳化斷筋點!E381)</f>
        <v>5</v>
      </c>
      <c r="AD381" s="6">
        <f>IF(最佳化斷筋點!F381="","",最佳化斷筋點!F381)</f>
        <v>4</v>
      </c>
      <c r="AE381" s="6">
        <f>IF(最佳化斷筋點!G381="","",最佳化斷筋點!G381)</f>
        <v>4</v>
      </c>
      <c r="AF381" s="6">
        <f>IF(最佳化斷筋點!H381="","",最佳化斷筋點!H381)</f>
        <v>4</v>
      </c>
      <c r="AG381" s="6">
        <f>IF(最佳化斷筋點!I381="","",最佳化斷筋點!I381)</f>
        <v>5</v>
      </c>
      <c r="AH381" s="6">
        <f>IF(最佳化斷筋點!J381="","",最佳化斷筋點!J381)</f>
        <v>6</v>
      </c>
      <c r="AI381" s="6">
        <f>IF(最佳化斷筋點!K381="","",最佳化斷筋點!K381)</f>
        <v>6</v>
      </c>
      <c r="AJ381" s="6">
        <f>IF(最佳化斷筋點!L381="","",最佳化斷筋點!L381)</f>
        <v>6</v>
      </c>
      <c r="AK381" s="6">
        <f>IF(最佳化斷筋點!M381="","",最佳化斷筋點!M381)</f>
        <v>6</v>
      </c>
      <c r="AL381" s="6">
        <f>IF(最佳化斷筋點!N381="","",最佳化斷筋點!N381)</f>
        <v>6</v>
      </c>
      <c r="AM381" s="6">
        <f>IF(最佳化斷筋點!O381="","",最佳化斷筋點!O381)</f>
        <v>6</v>
      </c>
      <c r="AN381" s="6">
        <f>IF(最佳化斷筋點!P381="","",最佳化斷筋點!P381)</f>
        <v>6</v>
      </c>
      <c r="AO381" s="6">
        <f>IF(最佳化斷筋點!Q381="","",最佳化斷筋點!Q381)</f>
        <v>6</v>
      </c>
      <c r="AP381" s="6">
        <f>IF(最佳化斷筋點!R381="","",最佳化斷筋點!R381)</f>
        <v>6</v>
      </c>
      <c r="AQ381" s="6">
        <f>IF(最佳化斷筋點!S381="","",最佳化斷筋點!S381)</f>
        <v>5</v>
      </c>
      <c r="AR381" s="6">
        <f>IF(最佳化斷筋點!T381="","",最佳化斷筋點!T381)</f>
        <v>4</v>
      </c>
      <c r="AS381" s="6">
        <f>IF(最佳化斷筋點!U381="","",最佳化斷筋點!U381)</f>
        <v>4</v>
      </c>
      <c r="AT381" s="6">
        <f>IF(最佳化斷筋點!V381="","",最佳化斷筋點!V381)</f>
        <v>4</v>
      </c>
      <c r="AU381" s="6">
        <f>IF(最佳化斷筋點!W381="","",最佳化斷筋點!W381)</f>
        <v>4</v>
      </c>
      <c r="AV381" s="6">
        <f>IF(最佳化斷筋點!X381="","",最佳化斷筋點!X381)</f>
        <v>4</v>
      </c>
      <c r="AX381" s="6" t="s">
        <v>51</v>
      </c>
      <c r="AY381" s="6">
        <v>5</v>
      </c>
      <c r="AZ381" s="6">
        <v>5</v>
      </c>
      <c r="BA381" s="6">
        <v>4</v>
      </c>
      <c r="BB381" s="6">
        <v>4</v>
      </c>
      <c r="BC381" s="6">
        <v>4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5</v>
      </c>
      <c r="BO381" s="6">
        <v>4</v>
      </c>
      <c r="BP381" s="6">
        <v>4</v>
      </c>
      <c r="BQ381" s="6">
        <v>4</v>
      </c>
      <c r="BR381" s="6">
        <v>4</v>
      </c>
      <c r="BS381" s="6">
        <v>4</v>
      </c>
    </row>
    <row r="382" spans="4:71" x14ac:dyDescent="0.25">
      <c r="E382" s="6">
        <f t="shared" si="106"/>
        <v>0</v>
      </c>
      <c r="F382" s="6">
        <f t="shared" si="107"/>
        <v>0</v>
      </c>
      <c r="G382" s="6">
        <f t="shared" si="108"/>
        <v>0</v>
      </c>
      <c r="H382" s="6">
        <f t="shared" si="109"/>
        <v>0</v>
      </c>
      <c r="I382" s="6">
        <f t="shared" si="110"/>
        <v>0</v>
      </c>
      <c r="J382" s="6">
        <f t="shared" si="111"/>
        <v>0</v>
      </c>
      <c r="K382" s="6">
        <f t="shared" si="112"/>
        <v>0</v>
      </c>
      <c r="L382" s="6">
        <f t="shared" si="113"/>
        <v>0</v>
      </c>
      <c r="M382" s="6">
        <f t="shared" si="114"/>
        <v>0</v>
      </c>
      <c r="N382" s="6">
        <f t="shared" si="115"/>
        <v>0</v>
      </c>
      <c r="O382" s="6">
        <f t="shared" si="116"/>
        <v>0</v>
      </c>
      <c r="P382" s="6">
        <f t="shared" si="117"/>
        <v>0</v>
      </c>
      <c r="Q382" s="6">
        <f t="shared" si="118"/>
        <v>0</v>
      </c>
      <c r="R382" s="6">
        <f t="shared" si="119"/>
        <v>0</v>
      </c>
      <c r="S382" s="6">
        <f t="shared" si="120"/>
        <v>0</v>
      </c>
      <c r="T382" s="6">
        <f t="shared" si="121"/>
        <v>0</v>
      </c>
      <c r="U382" s="6">
        <f t="shared" si="122"/>
        <v>0</v>
      </c>
      <c r="V382" s="6">
        <f t="shared" si="123"/>
        <v>0</v>
      </c>
      <c r="W382" s="6">
        <f t="shared" si="124"/>
        <v>0</v>
      </c>
      <c r="X382" s="6">
        <f t="shared" si="125"/>
        <v>0</v>
      </c>
      <c r="Y382" s="6">
        <f t="shared" si="126"/>
        <v>0</v>
      </c>
      <c r="AA382" s="6" t="str">
        <f>IF(最佳化斷筋點!C382="","",最佳化斷筋點!C382)</f>
        <v/>
      </c>
      <c r="AB382" s="6" t="str">
        <f>IF(最佳化斷筋點!D382="","",最佳化斷筋點!D382)</f>
        <v/>
      </c>
      <c r="AC382" s="6" t="str">
        <f>IF(最佳化斷筋點!E382="","",最佳化斷筋點!E382)</f>
        <v/>
      </c>
      <c r="AD382" s="6" t="str">
        <f>IF(最佳化斷筋點!F382="","",最佳化斷筋點!F382)</f>
        <v/>
      </c>
      <c r="AE382" s="6" t="str">
        <f>IF(最佳化斷筋點!G382="","",最佳化斷筋點!G382)</f>
        <v/>
      </c>
      <c r="AF382" s="6" t="str">
        <f>IF(最佳化斷筋點!H382="","",最佳化斷筋點!H382)</f>
        <v/>
      </c>
      <c r="AG382" s="6" t="str">
        <f>IF(最佳化斷筋點!I382="","",最佳化斷筋點!I382)</f>
        <v/>
      </c>
      <c r="AH382" s="6" t="str">
        <f>IF(最佳化斷筋點!J382="","",最佳化斷筋點!J382)</f>
        <v/>
      </c>
      <c r="AI382" s="6" t="str">
        <f>IF(最佳化斷筋點!K382="","",最佳化斷筋點!K382)</f>
        <v/>
      </c>
      <c r="AJ382" s="6" t="str">
        <f>IF(最佳化斷筋點!L382="","",最佳化斷筋點!L382)</f>
        <v/>
      </c>
      <c r="AK382" s="6" t="str">
        <f>IF(最佳化斷筋點!M382="","",最佳化斷筋點!M382)</f>
        <v/>
      </c>
      <c r="AL382" s="6" t="str">
        <f>IF(最佳化斷筋點!N382="","",最佳化斷筋點!N382)</f>
        <v/>
      </c>
      <c r="AM382" s="6" t="str">
        <f>IF(最佳化斷筋點!O382="","",最佳化斷筋點!O382)</f>
        <v/>
      </c>
      <c r="AN382" s="6" t="str">
        <f>IF(最佳化斷筋點!P382="","",最佳化斷筋點!P382)</f>
        <v/>
      </c>
      <c r="AO382" s="6" t="str">
        <f>IF(最佳化斷筋點!Q382="","",最佳化斷筋點!Q382)</f>
        <v/>
      </c>
      <c r="AP382" s="6" t="str">
        <f>IF(最佳化斷筋點!R382="","",最佳化斷筋點!R382)</f>
        <v/>
      </c>
      <c r="AQ382" s="6" t="str">
        <f>IF(最佳化斷筋點!S382="","",最佳化斷筋點!S382)</f>
        <v/>
      </c>
      <c r="AR382" s="6" t="str">
        <f>IF(最佳化斷筋點!T382="","",最佳化斷筋點!T382)</f>
        <v/>
      </c>
      <c r="AS382" s="6" t="str">
        <f>IF(最佳化斷筋點!U382="","",最佳化斷筋點!U382)</f>
        <v/>
      </c>
      <c r="AT382" s="6" t="str">
        <f>IF(最佳化斷筋點!V382="","",最佳化斷筋點!V382)</f>
        <v/>
      </c>
      <c r="AU382" s="6" t="str">
        <f>IF(最佳化斷筋點!W382="","",最佳化斷筋點!W382)</f>
        <v/>
      </c>
      <c r="AV382" s="6" t="str">
        <f>IF(最佳化斷筋點!X382="","",最佳化斷筋點!X382)</f>
        <v/>
      </c>
    </row>
    <row r="383" spans="4:71" x14ac:dyDescent="0.25">
      <c r="D383" s="6" t="s">
        <v>50</v>
      </c>
      <c r="E383" s="6">
        <f t="shared" si="106"/>
        <v>0</v>
      </c>
      <c r="F383" s="6">
        <f t="shared" si="107"/>
        <v>0</v>
      </c>
      <c r="G383" s="6">
        <f t="shared" si="108"/>
        <v>0</v>
      </c>
      <c r="H383" s="6">
        <f t="shared" si="109"/>
        <v>0</v>
      </c>
      <c r="I383" s="6">
        <f t="shared" si="110"/>
        <v>0</v>
      </c>
      <c r="J383" s="6">
        <f t="shared" si="111"/>
        <v>0</v>
      </c>
      <c r="K383" s="6">
        <f t="shared" si="112"/>
        <v>0</v>
      </c>
      <c r="L383" s="6">
        <f t="shared" si="113"/>
        <v>0</v>
      </c>
      <c r="M383" s="6">
        <f t="shared" si="114"/>
        <v>0</v>
      </c>
      <c r="N383" s="6">
        <f t="shared" si="115"/>
        <v>0</v>
      </c>
      <c r="O383" s="6">
        <f t="shared" si="116"/>
        <v>0</v>
      </c>
      <c r="P383" s="6">
        <f t="shared" si="117"/>
        <v>0</v>
      </c>
      <c r="Q383" s="6">
        <f t="shared" si="118"/>
        <v>0</v>
      </c>
      <c r="R383" s="6">
        <f t="shared" si="119"/>
        <v>0</v>
      </c>
      <c r="S383" s="6">
        <f t="shared" si="120"/>
        <v>0</v>
      </c>
      <c r="T383" s="6">
        <f t="shared" si="121"/>
        <v>0</v>
      </c>
      <c r="U383" s="6">
        <f t="shared" si="122"/>
        <v>0</v>
      </c>
      <c r="V383" s="6">
        <f t="shared" si="123"/>
        <v>0</v>
      </c>
      <c r="W383" s="6">
        <f t="shared" si="124"/>
        <v>0</v>
      </c>
      <c r="X383" s="6">
        <f t="shared" si="125"/>
        <v>0</v>
      </c>
      <c r="Y383" s="6">
        <f t="shared" si="126"/>
        <v>0</v>
      </c>
      <c r="AA383" s="6" t="str">
        <f>IF(最佳化斷筋點!C383="","",最佳化斷筋點!C383)</f>
        <v>上層</v>
      </c>
      <c r="AB383" s="6">
        <f>IF(最佳化斷筋點!D383="","",最佳化斷筋點!D383)</f>
        <v>9</v>
      </c>
      <c r="AC383" s="6">
        <f>IF(最佳化斷筋點!E383="","",最佳化斷筋點!E383)</f>
        <v>9</v>
      </c>
      <c r="AD383" s="6">
        <f>IF(最佳化斷筋點!F383="","",最佳化斷筋點!F383)</f>
        <v>8</v>
      </c>
      <c r="AE383" s="6">
        <f>IF(最佳化斷筋點!G383="","",最佳化斷筋點!G383)</f>
        <v>7</v>
      </c>
      <c r="AF383" s="6">
        <f>IF(最佳化斷筋點!H383="","",最佳化斷筋點!H383)</f>
        <v>6</v>
      </c>
      <c r="AG383" s="6">
        <f>IF(最佳化斷筋點!I383="","",最佳化斷筋點!I383)</f>
        <v>5</v>
      </c>
      <c r="AH383" s="6">
        <f>IF(最佳化斷筋點!J383="","",最佳化斷筋點!J383)</f>
        <v>4</v>
      </c>
      <c r="AI383" s="6">
        <f>IF(最佳化斷筋點!K383="","",最佳化斷筋點!K383)</f>
        <v>3</v>
      </c>
      <c r="AJ383" s="6">
        <f>IF(最佳化斷筋點!L383="","",最佳化斷筋點!L383)</f>
        <v>2</v>
      </c>
      <c r="AK383" s="6">
        <f>IF(最佳化斷筋點!M383="","",最佳化斷筋點!M383)</f>
        <v>2</v>
      </c>
      <c r="AL383" s="6">
        <f>IF(最佳化斷筋點!N383="","",最佳化斷筋點!N383)</f>
        <v>2</v>
      </c>
      <c r="AM383" s="6">
        <f>IF(最佳化斷筋點!O383="","",最佳化斷筋點!O383)</f>
        <v>2</v>
      </c>
      <c r="AN383" s="6">
        <f>IF(最佳化斷筋點!P383="","",最佳化斷筋點!P383)</f>
        <v>3</v>
      </c>
      <c r="AO383" s="6">
        <f>IF(最佳化斷筋點!Q383="","",最佳化斷筋點!Q383)</f>
        <v>4</v>
      </c>
      <c r="AP383" s="6">
        <f>IF(最佳化斷筋點!R383="","",最佳化斷筋點!R383)</f>
        <v>5</v>
      </c>
      <c r="AQ383" s="6">
        <f>IF(最佳化斷筋點!S383="","",最佳化斷筋點!S383)</f>
        <v>6</v>
      </c>
      <c r="AR383" s="6">
        <f>IF(最佳化斷筋點!T383="","",最佳化斷筋點!T383)</f>
        <v>7</v>
      </c>
      <c r="AS383" s="6">
        <f>IF(最佳化斷筋點!U383="","",最佳化斷筋點!U383)</f>
        <v>8</v>
      </c>
      <c r="AT383" s="6">
        <f>IF(最佳化斷筋點!V383="","",最佳化斷筋點!V383)</f>
        <v>9</v>
      </c>
      <c r="AU383" s="6">
        <f>IF(最佳化斷筋點!W383="","",最佳化斷筋點!W383)</f>
        <v>10</v>
      </c>
      <c r="AV383" s="6">
        <f>IF(最佳化斷筋點!X383="","",最佳化斷筋點!X383)</f>
        <v>11</v>
      </c>
      <c r="AX383" s="6" t="s">
        <v>50</v>
      </c>
      <c r="AY383" s="6">
        <v>9</v>
      </c>
      <c r="AZ383" s="6">
        <v>9</v>
      </c>
      <c r="BA383" s="6">
        <v>8</v>
      </c>
      <c r="BB383" s="6">
        <v>7</v>
      </c>
      <c r="BC383" s="6">
        <v>6</v>
      </c>
      <c r="BD383" s="6">
        <v>5</v>
      </c>
      <c r="BE383" s="6">
        <v>4</v>
      </c>
      <c r="BF383" s="6">
        <v>3</v>
      </c>
      <c r="BG383" s="6">
        <v>2</v>
      </c>
      <c r="BH383" s="6">
        <v>2</v>
      </c>
      <c r="BI383" s="6">
        <v>2</v>
      </c>
      <c r="BJ383" s="6">
        <v>2</v>
      </c>
      <c r="BK383" s="6">
        <v>3</v>
      </c>
      <c r="BL383" s="6">
        <v>4</v>
      </c>
      <c r="BM383" s="6">
        <v>5</v>
      </c>
      <c r="BN383" s="6">
        <v>6</v>
      </c>
      <c r="BO383" s="6">
        <v>7</v>
      </c>
      <c r="BP383" s="6">
        <v>8</v>
      </c>
      <c r="BQ383" s="6">
        <v>9</v>
      </c>
      <c r="BR383" s="6">
        <v>10</v>
      </c>
      <c r="BS383" s="6">
        <v>11</v>
      </c>
    </row>
    <row r="384" spans="4:71" x14ac:dyDescent="0.25">
      <c r="E384" s="6">
        <f t="shared" si="106"/>
        <v>0</v>
      </c>
      <c r="F384" s="6">
        <f t="shared" si="107"/>
        <v>0</v>
      </c>
      <c r="G384" s="6">
        <f t="shared" si="108"/>
        <v>0</v>
      </c>
      <c r="H384" s="6">
        <f t="shared" si="109"/>
        <v>0</v>
      </c>
      <c r="I384" s="6">
        <f t="shared" si="110"/>
        <v>0</v>
      </c>
      <c r="J384" s="6">
        <f t="shared" si="111"/>
        <v>0</v>
      </c>
      <c r="K384" s="6">
        <f t="shared" si="112"/>
        <v>0</v>
      </c>
      <c r="L384" s="6">
        <f t="shared" si="113"/>
        <v>0</v>
      </c>
      <c r="M384" s="6">
        <f t="shared" si="114"/>
        <v>0</v>
      </c>
      <c r="N384" s="6">
        <f t="shared" si="115"/>
        <v>0</v>
      </c>
      <c r="O384" s="6">
        <f t="shared" si="116"/>
        <v>0</v>
      </c>
      <c r="P384" s="6">
        <f t="shared" si="117"/>
        <v>0</v>
      </c>
      <c r="Q384" s="6">
        <f t="shared" si="118"/>
        <v>0</v>
      </c>
      <c r="R384" s="6">
        <f t="shared" si="119"/>
        <v>0</v>
      </c>
      <c r="S384" s="6">
        <f t="shared" si="120"/>
        <v>0</v>
      </c>
      <c r="T384" s="6">
        <f t="shared" si="121"/>
        <v>0</v>
      </c>
      <c r="U384" s="6">
        <f t="shared" si="122"/>
        <v>0</v>
      </c>
      <c r="V384" s="6">
        <f t="shared" si="123"/>
        <v>0</v>
      </c>
      <c r="W384" s="6">
        <f t="shared" si="124"/>
        <v>0</v>
      </c>
      <c r="X384" s="6">
        <f t="shared" si="125"/>
        <v>0</v>
      </c>
      <c r="Y384" s="6">
        <f t="shared" si="126"/>
        <v>0</v>
      </c>
      <c r="AA384" s="6" t="str">
        <f>IF(最佳化斷筋點!C384="","",最佳化斷筋點!C384)</f>
        <v/>
      </c>
      <c r="AB384" s="6" t="str">
        <f>IF(最佳化斷筋點!D384="","",最佳化斷筋點!D384)</f>
        <v/>
      </c>
      <c r="AC384" s="6" t="str">
        <f>IF(最佳化斷筋點!E384="","",最佳化斷筋點!E384)</f>
        <v/>
      </c>
      <c r="AD384" s="6" t="str">
        <f>IF(最佳化斷筋點!F384="","",最佳化斷筋點!F384)</f>
        <v/>
      </c>
      <c r="AE384" s="6" t="str">
        <f>IF(最佳化斷筋點!G384="","",最佳化斷筋點!G384)</f>
        <v/>
      </c>
      <c r="AF384" s="6" t="str">
        <f>IF(最佳化斷筋點!H384="","",最佳化斷筋點!H384)</f>
        <v/>
      </c>
      <c r="AG384" s="6" t="str">
        <f>IF(最佳化斷筋點!I384="","",最佳化斷筋點!I384)</f>
        <v/>
      </c>
      <c r="AH384" s="6" t="str">
        <f>IF(最佳化斷筋點!J384="","",最佳化斷筋點!J384)</f>
        <v/>
      </c>
      <c r="AI384" s="6" t="str">
        <f>IF(最佳化斷筋點!K384="","",最佳化斷筋點!K384)</f>
        <v/>
      </c>
      <c r="AJ384" s="6" t="str">
        <f>IF(最佳化斷筋點!L384="","",最佳化斷筋點!L384)</f>
        <v/>
      </c>
      <c r="AK384" s="6" t="str">
        <f>IF(最佳化斷筋點!M384="","",最佳化斷筋點!M384)</f>
        <v/>
      </c>
      <c r="AL384" s="6" t="str">
        <f>IF(最佳化斷筋點!N384="","",最佳化斷筋點!N384)</f>
        <v/>
      </c>
      <c r="AM384" s="6" t="str">
        <f>IF(最佳化斷筋點!O384="","",最佳化斷筋點!O384)</f>
        <v/>
      </c>
      <c r="AN384" s="6" t="str">
        <f>IF(最佳化斷筋點!P384="","",最佳化斷筋點!P384)</f>
        <v/>
      </c>
      <c r="AO384" s="6" t="str">
        <f>IF(最佳化斷筋點!Q384="","",最佳化斷筋點!Q384)</f>
        <v/>
      </c>
      <c r="AP384" s="6" t="str">
        <f>IF(最佳化斷筋點!R384="","",最佳化斷筋點!R384)</f>
        <v/>
      </c>
      <c r="AQ384" s="6" t="str">
        <f>IF(最佳化斷筋點!S384="","",最佳化斷筋點!S384)</f>
        <v/>
      </c>
      <c r="AR384" s="6" t="str">
        <f>IF(最佳化斷筋點!T384="","",最佳化斷筋點!T384)</f>
        <v/>
      </c>
      <c r="AS384" s="6" t="str">
        <f>IF(最佳化斷筋點!U384="","",最佳化斷筋點!U384)</f>
        <v/>
      </c>
      <c r="AT384" s="6" t="str">
        <f>IF(最佳化斷筋點!V384="","",最佳化斷筋點!V384)</f>
        <v/>
      </c>
      <c r="AU384" s="6" t="str">
        <f>IF(最佳化斷筋點!W384="","",最佳化斷筋點!W384)</f>
        <v/>
      </c>
      <c r="AV384" s="6" t="str">
        <f>IF(最佳化斷筋點!X384="","",最佳化斷筋點!X384)</f>
        <v/>
      </c>
    </row>
    <row r="385" spans="4:71" x14ac:dyDescent="0.25">
      <c r="D385" s="6" t="s">
        <v>51</v>
      </c>
      <c r="E385" s="6">
        <f t="shared" si="106"/>
        <v>0</v>
      </c>
      <c r="F385" s="6">
        <f t="shared" si="107"/>
        <v>0</v>
      </c>
      <c r="G385" s="6">
        <f t="shared" si="108"/>
        <v>0</v>
      </c>
      <c r="H385" s="6">
        <f t="shared" si="109"/>
        <v>0</v>
      </c>
      <c r="I385" s="6">
        <f t="shared" si="110"/>
        <v>0</v>
      </c>
      <c r="J385" s="6">
        <f t="shared" si="111"/>
        <v>0</v>
      </c>
      <c r="K385" s="6">
        <f t="shared" si="112"/>
        <v>0</v>
      </c>
      <c r="L385" s="6">
        <f t="shared" si="113"/>
        <v>0</v>
      </c>
      <c r="M385" s="6">
        <f t="shared" si="114"/>
        <v>0</v>
      </c>
      <c r="N385" s="6">
        <f t="shared" si="115"/>
        <v>0</v>
      </c>
      <c r="O385" s="6">
        <f t="shared" si="116"/>
        <v>0</v>
      </c>
      <c r="P385" s="6">
        <f t="shared" si="117"/>
        <v>0</v>
      </c>
      <c r="Q385" s="6">
        <f t="shared" si="118"/>
        <v>0</v>
      </c>
      <c r="R385" s="6">
        <f t="shared" si="119"/>
        <v>0</v>
      </c>
      <c r="S385" s="6">
        <f t="shared" si="120"/>
        <v>0</v>
      </c>
      <c r="T385" s="6">
        <f t="shared" si="121"/>
        <v>0</v>
      </c>
      <c r="U385" s="6">
        <f t="shared" si="122"/>
        <v>0</v>
      </c>
      <c r="V385" s="6">
        <f t="shared" si="123"/>
        <v>0</v>
      </c>
      <c r="W385" s="6">
        <f t="shared" si="124"/>
        <v>0</v>
      </c>
      <c r="X385" s="6">
        <f t="shared" si="125"/>
        <v>0</v>
      </c>
      <c r="Y385" s="6">
        <f t="shared" si="126"/>
        <v>0</v>
      </c>
      <c r="AA385" s="6" t="str">
        <f>IF(最佳化斷筋點!C385="","",最佳化斷筋點!C385)</f>
        <v>下層</v>
      </c>
      <c r="AB385" s="6">
        <f>IF(最佳化斷筋點!D385="","",最佳化斷筋點!D385)</f>
        <v>10</v>
      </c>
      <c r="AC385" s="6">
        <f>IF(最佳化斷筋點!E385="","",最佳化斷筋點!E385)</f>
        <v>9</v>
      </c>
      <c r="AD385" s="6">
        <f>IF(最佳化斷筋點!F385="","",最佳化斷筋點!F385)</f>
        <v>8</v>
      </c>
      <c r="AE385" s="6">
        <f>IF(最佳化斷筋點!G385="","",最佳化斷筋點!G385)</f>
        <v>8</v>
      </c>
      <c r="AF385" s="6">
        <f>IF(最佳化斷筋點!H385="","",最佳化斷筋點!H385)</f>
        <v>9</v>
      </c>
      <c r="AG385" s="6">
        <f>IF(最佳化斷筋點!I385="","",最佳化斷筋點!I385)</f>
        <v>10</v>
      </c>
      <c r="AH385" s="6">
        <f>IF(最佳化斷筋點!J385="","",最佳化斷筋點!J385)</f>
        <v>11</v>
      </c>
      <c r="AI385" s="6">
        <f>IF(最佳化斷筋點!K385="","",最佳化斷筋點!K385)</f>
        <v>12</v>
      </c>
      <c r="AJ385" s="6">
        <f>IF(最佳化斷筋點!L385="","",最佳化斷筋點!L385)</f>
        <v>13</v>
      </c>
      <c r="AK385" s="6">
        <f>IF(最佳化斷筋點!M385="","",最佳化斷筋點!M385)</f>
        <v>13</v>
      </c>
      <c r="AL385" s="6">
        <f>IF(最佳化斷筋點!N385="","",最佳化斷筋點!N385)</f>
        <v>13</v>
      </c>
      <c r="AM385" s="6">
        <f>IF(最佳化斷筋點!O385="","",最佳化斷筋點!O385)</f>
        <v>13</v>
      </c>
      <c r="AN385" s="6">
        <f>IF(最佳化斷筋點!P385="","",最佳化斷筋點!P385)</f>
        <v>13</v>
      </c>
      <c r="AO385" s="6">
        <f>IF(最佳化斷筋點!Q385="","",最佳化斷筋點!Q385)</f>
        <v>12</v>
      </c>
      <c r="AP385" s="6">
        <f>IF(最佳化斷筋點!R385="","",最佳化斷筋點!R385)</f>
        <v>11</v>
      </c>
      <c r="AQ385" s="6">
        <f>IF(最佳化斷筋點!S385="","",最佳化斷筋點!S385)</f>
        <v>10</v>
      </c>
      <c r="AR385" s="6">
        <f>IF(最佳化斷筋點!T385="","",最佳化斷筋點!T385)</f>
        <v>9</v>
      </c>
      <c r="AS385" s="6">
        <f>IF(最佳化斷筋點!U385="","",最佳化斷筋點!U385)</f>
        <v>7</v>
      </c>
      <c r="AT385" s="6">
        <f>IF(最佳化斷筋點!V385="","",最佳化斷筋點!V385)</f>
        <v>8</v>
      </c>
      <c r="AU385" s="6">
        <f>IF(最佳化斷筋點!W385="","",最佳化斷筋點!W385)</f>
        <v>9</v>
      </c>
      <c r="AV385" s="6">
        <f>IF(最佳化斷筋點!X385="","",最佳化斷筋點!X385)</f>
        <v>10</v>
      </c>
      <c r="AX385" s="6" t="s">
        <v>51</v>
      </c>
      <c r="AY385" s="6">
        <v>10</v>
      </c>
      <c r="AZ385" s="6">
        <v>9</v>
      </c>
      <c r="BA385" s="6">
        <v>8</v>
      </c>
      <c r="BB385" s="6">
        <v>8</v>
      </c>
      <c r="BC385" s="6">
        <v>9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12</v>
      </c>
      <c r="BM385" s="6">
        <v>11</v>
      </c>
      <c r="BN385" s="6">
        <v>10</v>
      </c>
      <c r="BO385" s="6">
        <v>9</v>
      </c>
      <c r="BP385" s="6">
        <v>7</v>
      </c>
      <c r="BQ385" s="6">
        <v>8</v>
      </c>
      <c r="BR385" s="6">
        <v>9</v>
      </c>
      <c r="BS385" s="6">
        <v>10</v>
      </c>
    </row>
    <row r="386" spans="4:71" x14ac:dyDescent="0.25">
      <c r="E386" s="6">
        <f t="shared" si="106"/>
        <v>0</v>
      </c>
      <c r="F386" s="6">
        <f t="shared" si="107"/>
        <v>0</v>
      </c>
      <c r="G386" s="6">
        <f t="shared" si="108"/>
        <v>0</v>
      </c>
      <c r="H386" s="6">
        <f t="shared" si="109"/>
        <v>0</v>
      </c>
      <c r="I386" s="6">
        <f t="shared" si="110"/>
        <v>0</v>
      </c>
      <c r="J386" s="6">
        <f t="shared" si="111"/>
        <v>0</v>
      </c>
      <c r="K386" s="6">
        <f t="shared" si="112"/>
        <v>0</v>
      </c>
      <c r="L386" s="6">
        <f t="shared" si="113"/>
        <v>0</v>
      </c>
      <c r="M386" s="6">
        <f t="shared" si="114"/>
        <v>0</v>
      </c>
      <c r="N386" s="6">
        <f t="shared" si="115"/>
        <v>0</v>
      </c>
      <c r="O386" s="6">
        <f t="shared" si="116"/>
        <v>0</v>
      </c>
      <c r="P386" s="6">
        <f t="shared" si="117"/>
        <v>0</v>
      </c>
      <c r="Q386" s="6">
        <f t="shared" si="118"/>
        <v>0</v>
      </c>
      <c r="R386" s="6">
        <f t="shared" si="119"/>
        <v>0</v>
      </c>
      <c r="S386" s="6">
        <f t="shared" si="120"/>
        <v>0</v>
      </c>
      <c r="T386" s="6">
        <f t="shared" si="121"/>
        <v>0</v>
      </c>
      <c r="U386" s="6">
        <f t="shared" si="122"/>
        <v>0</v>
      </c>
      <c r="V386" s="6">
        <f t="shared" si="123"/>
        <v>0</v>
      </c>
      <c r="W386" s="6">
        <f t="shared" si="124"/>
        <v>0</v>
      </c>
      <c r="X386" s="6">
        <f t="shared" si="125"/>
        <v>0</v>
      </c>
      <c r="Y386" s="6">
        <f t="shared" si="126"/>
        <v>0</v>
      </c>
      <c r="AA386" s="6" t="str">
        <f>IF(最佳化斷筋點!C386="","",最佳化斷筋點!C386)</f>
        <v/>
      </c>
      <c r="AB386" s="6" t="str">
        <f>IF(最佳化斷筋點!D386="","",最佳化斷筋點!D386)</f>
        <v/>
      </c>
      <c r="AC386" s="6" t="str">
        <f>IF(最佳化斷筋點!E386="","",最佳化斷筋點!E386)</f>
        <v/>
      </c>
      <c r="AD386" s="6" t="str">
        <f>IF(最佳化斷筋點!F386="","",最佳化斷筋點!F386)</f>
        <v/>
      </c>
      <c r="AE386" s="6" t="str">
        <f>IF(最佳化斷筋點!G386="","",最佳化斷筋點!G386)</f>
        <v/>
      </c>
      <c r="AF386" s="6" t="str">
        <f>IF(最佳化斷筋點!H386="","",最佳化斷筋點!H386)</f>
        <v/>
      </c>
      <c r="AG386" s="6" t="str">
        <f>IF(最佳化斷筋點!I386="","",最佳化斷筋點!I386)</f>
        <v/>
      </c>
      <c r="AH386" s="6" t="str">
        <f>IF(最佳化斷筋點!J386="","",最佳化斷筋點!J386)</f>
        <v/>
      </c>
      <c r="AI386" s="6" t="str">
        <f>IF(最佳化斷筋點!K386="","",最佳化斷筋點!K386)</f>
        <v/>
      </c>
      <c r="AJ386" s="6" t="str">
        <f>IF(最佳化斷筋點!L386="","",最佳化斷筋點!L386)</f>
        <v/>
      </c>
      <c r="AK386" s="6" t="str">
        <f>IF(最佳化斷筋點!M386="","",最佳化斷筋點!M386)</f>
        <v/>
      </c>
      <c r="AL386" s="6" t="str">
        <f>IF(最佳化斷筋點!N386="","",最佳化斷筋點!N386)</f>
        <v/>
      </c>
      <c r="AM386" s="6" t="str">
        <f>IF(最佳化斷筋點!O386="","",最佳化斷筋點!O386)</f>
        <v/>
      </c>
      <c r="AN386" s="6" t="str">
        <f>IF(最佳化斷筋點!P386="","",最佳化斷筋點!P386)</f>
        <v/>
      </c>
      <c r="AO386" s="6" t="str">
        <f>IF(最佳化斷筋點!Q386="","",最佳化斷筋點!Q386)</f>
        <v/>
      </c>
      <c r="AP386" s="6" t="str">
        <f>IF(最佳化斷筋點!R386="","",最佳化斷筋點!R386)</f>
        <v/>
      </c>
      <c r="AQ386" s="6" t="str">
        <f>IF(最佳化斷筋點!S386="","",最佳化斷筋點!S386)</f>
        <v/>
      </c>
      <c r="AR386" s="6" t="str">
        <f>IF(最佳化斷筋點!T386="","",最佳化斷筋點!T386)</f>
        <v/>
      </c>
      <c r="AS386" s="6" t="str">
        <f>IF(最佳化斷筋點!U386="","",最佳化斷筋點!U386)</f>
        <v/>
      </c>
      <c r="AT386" s="6" t="str">
        <f>IF(最佳化斷筋點!V386="","",最佳化斷筋點!V386)</f>
        <v/>
      </c>
      <c r="AU386" s="6" t="str">
        <f>IF(最佳化斷筋點!W386="","",最佳化斷筋點!W386)</f>
        <v/>
      </c>
      <c r="AV386" s="6" t="str">
        <f>IF(最佳化斷筋點!X386="","",最佳化斷筋點!X386)</f>
        <v/>
      </c>
    </row>
    <row r="387" spans="4:71" x14ac:dyDescent="0.25">
      <c r="D387" s="6" t="s">
        <v>50</v>
      </c>
      <c r="E387" s="6">
        <f t="shared" si="106"/>
        <v>0</v>
      </c>
      <c r="F387" s="6">
        <f t="shared" si="107"/>
        <v>0</v>
      </c>
      <c r="G387" s="6">
        <f t="shared" si="108"/>
        <v>0</v>
      </c>
      <c r="H387" s="6">
        <f t="shared" si="109"/>
        <v>0</v>
      </c>
      <c r="I387" s="6">
        <f t="shared" si="110"/>
        <v>0</v>
      </c>
      <c r="J387" s="6">
        <f t="shared" si="111"/>
        <v>0</v>
      </c>
      <c r="K387" s="6">
        <f t="shared" si="112"/>
        <v>0</v>
      </c>
      <c r="L387" s="6">
        <f t="shared" si="113"/>
        <v>0</v>
      </c>
      <c r="M387" s="6">
        <f t="shared" si="114"/>
        <v>0</v>
      </c>
      <c r="N387" s="6">
        <f t="shared" si="115"/>
        <v>0</v>
      </c>
      <c r="O387" s="6">
        <f t="shared" si="116"/>
        <v>0</v>
      </c>
      <c r="P387" s="6">
        <f t="shared" si="117"/>
        <v>0</v>
      </c>
      <c r="Q387" s="6">
        <f t="shared" si="118"/>
        <v>0</v>
      </c>
      <c r="R387" s="6">
        <f t="shared" si="119"/>
        <v>0</v>
      </c>
      <c r="S387" s="6">
        <f t="shared" si="120"/>
        <v>0</v>
      </c>
      <c r="T387" s="6">
        <f t="shared" si="121"/>
        <v>0</v>
      </c>
      <c r="U387" s="6">
        <f t="shared" si="122"/>
        <v>0</v>
      </c>
      <c r="V387" s="6">
        <f t="shared" si="123"/>
        <v>0</v>
      </c>
      <c r="W387" s="6">
        <f t="shared" si="124"/>
        <v>0</v>
      </c>
      <c r="X387" s="6">
        <f t="shared" si="125"/>
        <v>0</v>
      </c>
      <c r="Y387" s="6">
        <f t="shared" si="126"/>
        <v>0</v>
      </c>
      <c r="AA387" s="6" t="str">
        <f>IF(最佳化斷筋點!C387="","",最佳化斷筋點!C387)</f>
        <v>上層</v>
      </c>
      <c r="AB387" s="6">
        <f>IF(最佳化斷筋點!D387="","",最佳化斷筋點!D387)</f>
        <v>11</v>
      </c>
      <c r="AC387" s="6">
        <f>IF(最佳化斷筋點!E387="","",最佳化斷筋點!E387)</f>
        <v>10</v>
      </c>
      <c r="AD387" s="6">
        <f>IF(最佳化斷筋點!F387="","",最佳化斷筋點!F387)</f>
        <v>9</v>
      </c>
      <c r="AE387" s="6">
        <f>IF(最佳化斷筋點!G387="","",最佳化斷筋點!G387)</f>
        <v>8</v>
      </c>
      <c r="AF387" s="6">
        <f>IF(最佳化斷筋點!H387="","",最佳化斷筋點!H387)</f>
        <v>7</v>
      </c>
      <c r="AG387" s="6">
        <f>IF(最佳化斷筋點!I387="","",最佳化斷筋點!I387)</f>
        <v>6</v>
      </c>
      <c r="AH387" s="6">
        <f>IF(最佳化斷筋點!J387="","",最佳化斷筋點!J387)</f>
        <v>5</v>
      </c>
      <c r="AI387" s="6">
        <f>IF(最佳化斷筋點!K387="","",最佳化斷筋點!K387)</f>
        <v>4</v>
      </c>
      <c r="AJ387" s="6">
        <f>IF(最佳化斷筋點!L387="","",最佳化斷筋點!L387)</f>
        <v>3</v>
      </c>
      <c r="AK387" s="6">
        <f>IF(最佳化斷筋點!M387="","",最佳化斷筋點!M387)</f>
        <v>2</v>
      </c>
      <c r="AL387" s="6">
        <f>IF(最佳化斷筋點!N387="","",最佳化斷筋點!N387)</f>
        <v>2</v>
      </c>
      <c r="AM387" s="6">
        <f>IF(最佳化斷筋點!O387="","",最佳化斷筋點!O387)</f>
        <v>2</v>
      </c>
      <c r="AN387" s="6">
        <f>IF(最佳化斷筋點!P387="","",最佳化斷筋點!P387)</f>
        <v>3</v>
      </c>
      <c r="AO387" s="6">
        <f>IF(最佳化斷筋點!Q387="","",最佳化斷筋點!Q387)</f>
        <v>4</v>
      </c>
      <c r="AP387" s="6">
        <f>IF(最佳化斷筋點!R387="","",最佳化斷筋點!R387)</f>
        <v>5</v>
      </c>
      <c r="AQ387" s="6">
        <f>IF(最佳化斷筋點!S387="","",最佳化斷筋點!S387)</f>
        <v>6</v>
      </c>
      <c r="AR387" s="6">
        <f>IF(最佳化斷筋點!T387="","",最佳化斷筋點!T387)</f>
        <v>8</v>
      </c>
      <c r="AS387" s="6">
        <f>IF(最佳化斷筋點!U387="","",最佳化斷筋點!U387)</f>
        <v>9</v>
      </c>
      <c r="AT387" s="6">
        <f>IF(最佳化斷筋點!V387="","",最佳化斷筋點!V387)</f>
        <v>10</v>
      </c>
      <c r="AU387" s="6">
        <f>IF(最佳化斷筋點!W387="","",最佳化斷筋點!W387)</f>
        <v>11</v>
      </c>
      <c r="AV387" s="6">
        <f>IF(最佳化斷筋點!X387="","",最佳化斷筋點!X387)</f>
        <v>12</v>
      </c>
      <c r="AX387" s="6" t="s">
        <v>50</v>
      </c>
      <c r="AY387" s="6">
        <v>11</v>
      </c>
      <c r="AZ387" s="6">
        <v>10</v>
      </c>
      <c r="BA387" s="6">
        <v>9</v>
      </c>
      <c r="BB387" s="6">
        <v>8</v>
      </c>
      <c r="BC387" s="6">
        <v>7</v>
      </c>
      <c r="BD387" s="6">
        <v>6</v>
      </c>
      <c r="BE387" s="6">
        <v>5</v>
      </c>
      <c r="BF387" s="6">
        <v>4</v>
      </c>
      <c r="BG387" s="6">
        <v>3</v>
      </c>
      <c r="BH387" s="6">
        <v>2</v>
      </c>
      <c r="BI387" s="6">
        <v>2</v>
      </c>
      <c r="BJ387" s="6">
        <v>2</v>
      </c>
      <c r="BK387" s="6">
        <v>3</v>
      </c>
      <c r="BL387" s="6">
        <v>4</v>
      </c>
      <c r="BM387" s="6">
        <v>5</v>
      </c>
      <c r="BN387" s="6">
        <v>6</v>
      </c>
      <c r="BO387" s="6">
        <v>8</v>
      </c>
      <c r="BP387" s="6">
        <v>9</v>
      </c>
      <c r="BQ387" s="6">
        <v>10</v>
      </c>
      <c r="BR387" s="6">
        <v>11</v>
      </c>
      <c r="BS387" s="6">
        <v>12</v>
      </c>
    </row>
    <row r="388" spans="4:71" x14ac:dyDescent="0.25">
      <c r="E388" s="6">
        <f t="shared" ref="E388:E451" si="127">IF(AB388=AY388,0,1)</f>
        <v>0</v>
      </c>
      <c r="F388" s="6">
        <f t="shared" ref="F388:F451" si="128">IF(AC388=AZ388,0,1)</f>
        <v>0</v>
      </c>
      <c r="G388" s="6">
        <f t="shared" ref="G388:G451" si="129">IF(AD388=BA388,0,1)</f>
        <v>0</v>
      </c>
      <c r="H388" s="6">
        <f t="shared" ref="H388:H451" si="130">IF(AE388=BB388,0,1)</f>
        <v>0</v>
      </c>
      <c r="I388" s="6">
        <f t="shared" ref="I388:I451" si="131">IF(AF388=BC388,0,1)</f>
        <v>0</v>
      </c>
      <c r="J388" s="6">
        <f t="shared" ref="J388:J451" si="132">IF(AG388=BD388,0,1)</f>
        <v>0</v>
      </c>
      <c r="K388" s="6">
        <f t="shared" ref="K388:K451" si="133">IF(AH388=BE388,0,1)</f>
        <v>0</v>
      </c>
      <c r="L388" s="6">
        <f t="shared" ref="L388:L451" si="134">IF(AI388=BF388,0,1)</f>
        <v>0</v>
      </c>
      <c r="M388" s="6">
        <f t="shared" ref="M388:M451" si="135">IF(AJ388=BG388,0,1)</f>
        <v>0</v>
      </c>
      <c r="N388" s="6">
        <f t="shared" ref="N388:N451" si="136">IF(AK388=BH388,0,1)</f>
        <v>0</v>
      </c>
      <c r="O388" s="6">
        <f t="shared" ref="O388:O451" si="137">IF(AL388=BI388,0,1)</f>
        <v>0</v>
      </c>
      <c r="P388" s="6">
        <f t="shared" ref="P388:P451" si="138">IF(AM388=BJ388,0,1)</f>
        <v>0</v>
      </c>
      <c r="Q388" s="6">
        <f t="shared" ref="Q388:Q451" si="139">IF(AN388=BK388,0,1)</f>
        <v>0</v>
      </c>
      <c r="R388" s="6">
        <f t="shared" ref="R388:R451" si="140">IF(AO388=BL388,0,1)</f>
        <v>0</v>
      </c>
      <c r="S388" s="6">
        <f t="shared" ref="S388:S451" si="141">IF(AP388=BM388,0,1)</f>
        <v>0</v>
      </c>
      <c r="T388" s="6">
        <f t="shared" ref="T388:T451" si="142">IF(AQ388=BN388,0,1)</f>
        <v>0</v>
      </c>
      <c r="U388" s="6">
        <f t="shared" ref="U388:U451" si="143">IF(AR388=BO388,0,1)</f>
        <v>0</v>
      </c>
      <c r="V388" s="6">
        <f t="shared" ref="V388:V451" si="144">IF(AS388=BP388,0,1)</f>
        <v>0</v>
      </c>
      <c r="W388" s="6">
        <f t="shared" ref="W388:W451" si="145">IF(AT388=BQ388,0,1)</f>
        <v>0</v>
      </c>
      <c r="X388" s="6">
        <f t="shared" ref="X388:X451" si="146">IF(AU388=BR388,0,1)</f>
        <v>0</v>
      </c>
      <c r="Y388" s="6">
        <f t="shared" ref="Y388:Y451" si="147">IF(AV388=BS388,0,1)</f>
        <v>0</v>
      </c>
      <c r="AA388" s="6" t="str">
        <f>IF(最佳化斷筋點!C388="","",最佳化斷筋點!C388)</f>
        <v/>
      </c>
      <c r="AB388" s="6" t="str">
        <f>IF(最佳化斷筋點!D388="","",最佳化斷筋點!D388)</f>
        <v/>
      </c>
      <c r="AC388" s="6" t="str">
        <f>IF(最佳化斷筋點!E388="","",最佳化斷筋點!E388)</f>
        <v/>
      </c>
      <c r="AD388" s="6" t="str">
        <f>IF(最佳化斷筋點!F388="","",最佳化斷筋點!F388)</f>
        <v/>
      </c>
      <c r="AE388" s="6" t="str">
        <f>IF(最佳化斷筋點!G388="","",最佳化斷筋點!G388)</f>
        <v/>
      </c>
      <c r="AF388" s="6" t="str">
        <f>IF(最佳化斷筋點!H388="","",最佳化斷筋點!H388)</f>
        <v/>
      </c>
      <c r="AG388" s="6" t="str">
        <f>IF(最佳化斷筋點!I388="","",最佳化斷筋點!I388)</f>
        <v/>
      </c>
      <c r="AH388" s="6" t="str">
        <f>IF(最佳化斷筋點!J388="","",最佳化斷筋點!J388)</f>
        <v/>
      </c>
      <c r="AI388" s="6" t="str">
        <f>IF(最佳化斷筋點!K388="","",最佳化斷筋點!K388)</f>
        <v/>
      </c>
      <c r="AJ388" s="6" t="str">
        <f>IF(最佳化斷筋點!L388="","",最佳化斷筋點!L388)</f>
        <v/>
      </c>
      <c r="AK388" s="6" t="str">
        <f>IF(最佳化斷筋點!M388="","",最佳化斷筋點!M388)</f>
        <v/>
      </c>
      <c r="AL388" s="6" t="str">
        <f>IF(最佳化斷筋點!N388="","",最佳化斷筋點!N388)</f>
        <v/>
      </c>
      <c r="AM388" s="6" t="str">
        <f>IF(最佳化斷筋點!O388="","",最佳化斷筋點!O388)</f>
        <v/>
      </c>
      <c r="AN388" s="6" t="str">
        <f>IF(最佳化斷筋點!P388="","",最佳化斷筋點!P388)</f>
        <v/>
      </c>
      <c r="AO388" s="6" t="str">
        <f>IF(最佳化斷筋點!Q388="","",最佳化斷筋點!Q388)</f>
        <v/>
      </c>
      <c r="AP388" s="6" t="str">
        <f>IF(最佳化斷筋點!R388="","",最佳化斷筋點!R388)</f>
        <v/>
      </c>
      <c r="AQ388" s="6" t="str">
        <f>IF(最佳化斷筋點!S388="","",最佳化斷筋點!S388)</f>
        <v/>
      </c>
      <c r="AR388" s="6" t="str">
        <f>IF(最佳化斷筋點!T388="","",最佳化斷筋點!T388)</f>
        <v/>
      </c>
      <c r="AS388" s="6" t="str">
        <f>IF(最佳化斷筋點!U388="","",最佳化斷筋點!U388)</f>
        <v/>
      </c>
      <c r="AT388" s="6" t="str">
        <f>IF(最佳化斷筋點!V388="","",最佳化斷筋點!V388)</f>
        <v/>
      </c>
      <c r="AU388" s="6" t="str">
        <f>IF(最佳化斷筋點!W388="","",最佳化斷筋點!W388)</f>
        <v/>
      </c>
      <c r="AV388" s="6" t="str">
        <f>IF(最佳化斷筋點!X388="","",最佳化斷筋點!X388)</f>
        <v/>
      </c>
    </row>
    <row r="389" spans="4:71" x14ac:dyDescent="0.25">
      <c r="D389" s="6" t="s">
        <v>51</v>
      </c>
      <c r="E389" s="6">
        <f t="shared" si="127"/>
        <v>0</v>
      </c>
      <c r="F389" s="6">
        <f t="shared" si="128"/>
        <v>0</v>
      </c>
      <c r="G389" s="6">
        <f t="shared" si="129"/>
        <v>0</v>
      </c>
      <c r="H389" s="6">
        <f t="shared" si="130"/>
        <v>0</v>
      </c>
      <c r="I389" s="6">
        <f t="shared" si="131"/>
        <v>0</v>
      </c>
      <c r="J389" s="6">
        <f t="shared" si="132"/>
        <v>0</v>
      </c>
      <c r="K389" s="6">
        <f t="shared" si="133"/>
        <v>0</v>
      </c>
      <c r="L389" s="6">
        <f t="shared" si="134"/>
        <v>0</v>
      </c>
      <c r="M389" s="6">
        <f t="shared" si="135"/>
        <v>0</v>
      </c>
      <c r="N389" s="6">
        <f t="shared" si="136"/>
        <v>0</v>
      </c>
      <c r="O389" s="6">
        <f t="shared" si="137"/>
        <v>0</v>
      </c>
      <c r="P389" s="6">
        <f t="shared" si="138"/>
        <v>0</v>
      </c>
      <c r="Q389" s="6">
        <f t="shared" si="139"/>
        <v>0</v>
      </c>
      <c r="R389" s="6">
        <f t="shared" si="140"/>
        <v>0</v>
      </c>
      <c r="S389" s="6">
        <f t="shared" si="141"/>
        <v>0</v>
      </c>
      <c r="T389" s="6">
        <f t="shared" si="142"/>
        <v>0</v>
      </c>
      <c r="U389" s="6">
        <f t="shared" si="143"/>
        <v>0</v>
      </c>
      <c r="V389" s="6">
        <f t="shared" si="144"/>
        <v>0</v>
      </c>
      <c r="W389" s="6">
        <f t="shared" si="145"/>
        <v>0</v>
      </c>
      <c r="X389" s="6">
        <f t="shared" si="146"/>
        <v>0</v>
      </c>
      <c r="Y389" s="6">
        <f t="shared" si="147"/>
        <v>0</v>
      </c>
      <c r="AA389" s="6" t="str">
        <f>IF(最佳化斷筋點!C389="","",最佳化斷筋點!C389)</f>
        <v>下層</v>
      </c>
      <c r="AB389" s="6">
        <f>IF(最佳化斷筋點!D389="","",最佳化斷筋點!D389)</f>
        <v>10</v>
      </c>
      <c r="AC389" s="6">
        <f>IF(最佳化斷筋點!E389="","",最佳化斷筋點!E389)</f>
        <v>9</v>
      </c>
      <c r="AD389" s="6">
        <f>IF(最佳化斷筋點!F389="","",最佳化斷筋點!F389)</f>
        <v>8</v>
      </c>
      <c r="AE389" s="6">
        <f>IF(最佳化斷筋點!G389="","",最佳化斷筋點!G389)</f>
        <v>8</v>
      </c>
      <c r="AF389" s="6">
        <f>IF(最佳化斷筋點!H389="","",最佳化斷筋點!H389)</f>
        <v>9</v>
      </c>
      <c r="AG389" s="6">
        <f>IF(最佳化斷筋點!I389="","",最佳化斷筋點!I389)</f>
        <v>10</v>
      </c>
      <c r="AH389" s="6">
        <f>IF(最佳化斷筋點!J389="","",最佳化斷筋點!J389)</f>
        <v>11</v>
      </c>
      <c r="AI389" s="6">
        <f>IF(最佳化斷筋點!K389="","",最佳化斷筋點!K389)</f>
        <v>12</v>
      </c>
      <c r="AJ389" s="6">
        <f>IF(最佳化斷筋點!L389="","",最佳化斷筋點!L389)</f>
        <v>13</v>
      </c>
      <c r="AK389" s="6">
        <f>IF(最佳化斷筋點!M389="","",最佳化斷筋點!M389)</f>
        <v>13</v>
      </c>
      <c r="AL389" s="6">
        <f>IF(最佳化斷筋點!N389="","",最佳化斷筋點!N389)</f>
        <v>13</v>
      </c>
      <c r="AM389" s="6">
        <f>IF(最佳化斷筋點!O389="","",最佳化斷筋點!O389)</f>
        <v>13</v>
      </c>
      <c r="AN389" s="6">
        <f>IF(最佳化斷筋點!P389="","",最佳化斷筋點!P389)</f>
        <v>13</v>
      </c>
      <c r="AO389" s="6">
        <f>IF(最佳化斷筋點!Q389="","",最佳化斷筋點!Q389)</f>
        <v>12</v>
      </c>
      <c r="AP389" s="6">
        <f>IF(最佳化斷筋點!R389="","",最佳化斷筋點!R389)</f>
        <v>11</v>
      </c>
      <c r="AQ389" s="6">
        <f>IF(最佳化斷筋點!S389="","",最佳化斷筋點!S389)</f>
        <v>10</v>
      </c>
      <c r="AR389" s="6">
        <f>IF(最佳化斷筋點!T389="","",最佳化斷筋點!T389)</f>
        <v>9</v>
      </c>
      <c r="AS389" s="6">
        <f>IF(最佳化斷筋點!U389="","",最佳化斷筋點!U389)</f>
        <v>7</v>
      </c>
      <c r="AT389" s="6">
        <f>IF(最佳化斷筋點!V389="","",最佳化斷筋點!V389)</f>
        <v>8</v>
      </c>
      <c r="AU389" s="6">
        <f>IF(最佳化斷筋點!W389="","",最佳化斷筋點!W389)</f>
        <v>9</v>
      </c>
      <c r="AV389" s="6">
        <f>IF(最佳化斷筋點!X389="","",最佳化斷筋點!X389)</f>
        <v>10</v>
      </c>
      <c r="AX389" s="6" t="s">
        <v>51</v>
      </c>
      <c r="AY389" s="6">
        <v>10</v>
      </c>
      <c r="AZ389" s="6">
        <v>9</v>
      </c>
      <c r="BA389" s="6">
        <v>8</v>
      </c>
      <c r="BB389" s="6">
        <v>8</v>
      </c>
      <c r="BC389" s="6">
        <v>9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12</v>
      </c>
      <c r="BM389" s="6">
        <v>11</v>
      </c>
      <c r="BN389" s="6">
        <v>10</v>
      </c>
      <c r="BO389" s="6">
        <v>9</v>
      </c>
      <c r="BP389" s="6">
        <v>7</v>
      </c>
      <c r="BQ389" s="6">
        <v>8</v>
      </c>
      <c r="BR389" s="6">
        <v>9</v>
      </c>
      <c r="BS389" s="6">
        <v>10</v>
      </c>
    </row>
    <row r="390" spans="4:71" x14ac:dyDescent="0.25">
      <c r="E390" s="6">
        <f t="shared" si="127"/>
        <v>0</v>
      </c>
      <c r="F390" s="6">
        <f t="shared" si="128"/>
        <v>0</v>
      </c>
      <c r="G390" s="6">
        <f t="shared" si="129"/>
        <v>0</v>
      </c>
      <c r="H390" s="6">
        <f t="shared" si="130"/>
        <v>0</v>
      </c>
      <c r="I390" s="6">
        <f t="shared" si="131"/>
        <v>0</v>
      </c>
      <c r="J390" s="6">
        <f t="shared" si="132"/>
        <v>0</v>
      </c>
      <c r="K390" s="6">
        <f t="shared" si="133"/>
        <v>0</v>
      </c>
      <c r="L390" s="6">
        <f t="shared" si="134"/>
        <v>0</v>
      </c>
      <c r="M390" s="6">
        <f t="shared" si="135"/>
        <v>0</v>
      </c>
      <c r="N390" s="6">
        <f t="shared" si="136"/>
        <v>0</v>
      </c>
      <c r="O390" s="6">
        <f t="shared" si="137"/>
        <v>0</v>
      </c>
      <c r="P390" s="6">
        <f t="shared" si="138"/>
        <v>0</v>
      </c>
      <c r="Q390" s="6">
        <f t="shared" si="139"/>
        <v>0</v>
      </c>
      <c r="R390" s="6">
        <f t="shared" si="140"/>
        <v>0</v>
      </c>
      <c r="S390" s="6">
        <f t="shared" si="141"/>
        <v>0</v>
      </c>
      <c r="T390" s="6">
        <f t="shared" si="142"/>
        <v>0</v>
      </c>
      <c r="U390" s="6">
        <f t="shared" si="143"/>
        <v>0</v>
      </c>
      <c r="V390" s="6">
        <f t="shared" si="144"/>
        <v>0</v>
      </c>
      <c r="W390" s="6">
        <f t="shared" si="145"/>
        <v>0</v>
      </c>
      <c r="X390" s="6">
        <f t="shared" si="146"/>
        <v>0</v>
      </c>
      <c r="Y390" s="6">
        <f t="shared" si="147"/>
        <v>0</v>
      </c>
      <c r="AA390" s="6" t="str">
        <f>IF(最佳化斷筋點!C390="","",最佳化斷筋點!C390)</f>
        <v/>
      </c>
      <c r="AB390" s="6" t="str">
        <f>IF(最佳化斷筋點!D390="","",最佳化斷筋點!D390)</f>
        <v/>
      </c>
      <c r="AC390" s="6" t="str">
        <f>IF(最佳化斷筋點!E390="","",最佳化斷筋點!E390)</f>
        <v/>
      </c>
      <c r="AD390" s="6" t="str">
        <f>IF(最佳化斷筋點!F390="","",最佳化斷筋點!F390)</f>
        <v/>
      </c>
      <c r="AE390" s="6" t="str">
        <f>IF(最佳化斷筋點!G390="","",最佳化斷筋點!G390)</f>
        <v/>
      </c>
      <c r="AF390" s="6" t="str">
        <f>IF(最佳化斷筋點!H390="","",最佳化斷筋點!H390)</f>
        <v/>
      </c>
      <c r="AG390" s="6" t="str">
        <f>IF(最佳化斷筋點!I390="","",最佳化斷筋點!I390)</f>
        <v/>
      </c>
      <c r="AH390" s="6" t="str">
        <f>IF(最佳化斷筋點!J390="","",最佳化斷筋點!J390)</f>
        <v/>
      </c>
      <c r="AI390" s="6" t="str">
        <f>IF(最佳化斷筋點!K390="","",最佳化斷筋點!K390)</f>
        <v/>
      </c>
      <c r="AJ390" s="6" t="str">
        <f>IF(最佳化斷筋點!L390="","",最佳化斷筋點!L390)</f>
        <v/>
      </c>
      <c r="AK390" s="6" t="str">
        <f>IF(最佳化斷筋點!M390="","",最佳化斷筋點!M390)</f>
        <v/>
      </c>
      <c r="AL390" s="6" t="str">
        <f>IF(最佳化斷筋點!N390="","",最佳化斷筋點!N390)</f>
        <v/>
      </c>
      <c r="AM390" s="6" t="str">
        <f>IF(最佳化斷筋點!O390="","",最佳化斷筋點!O390)</f>
        <v/>
      </c>
      <c r="AN390" s="6" t="str">
        <f>IF(最佳化斷筋點!P390="","",最佳化斷筋點!P390)</f>
        <v/>
      </c>
      <c r="AO390" s="6" t="str">
        <f>IF(最佳化斷筋點!Q390="","",最佳化斷筋點!Q390)</f>
        <v/>
      </c>
      <c r="AP390" s="6" t="str">
        <f>IF(最佳化斷筋點!R390="","",最佳化斷筋點!R390)</f>
        <v/>
      </c>
      <c r="AQ390" s="6" t="str">
        <f>IF(最佳化斷筋點!S390="","",最佳化斷筋點!S390)</f>
        <v/>
      </c>
      <c r="AR390" s="6" t="str">
        <f>IF(最佳化斷筋點!T390="","",最佳化斷筋點!T390)</f>
        <v/>
      </c>
      <c r="AS390" s="6" t="str">
        <f>IF(最佳化斷筋點!U390="","",最佳化斷筋點!U390)</f>
        <v/>
      </c>
      <c r="AT390" s="6" t="str">
        <f>IF(最佳化斷筋點!V390="","",最佳化斷筋點!V390)</f>
        <v/>
      </c>
      <c r="AU390" s="6" t="str">
        <f>IF(最佳化斷筋點!W390="","",最佳化斷筋點!W390)</f>
        <v/>
      </c>
      <c r="AV390" s="6" t="str">
        <f>IF(最佳化斷筋點!X390="","",最佳化斷筋點!X390)</f>
        <v/>
      </c>
    </row>
    <row r="391" spans="4:71" x14ac:dyDescent="0.25">
      <c r="D391" s="6" t="s">
        <v>50</v>
      </c>
      <c r="E391" s="6">
        <f t="shared" si="127"/>
        <v>0</v>
      </c>
      <c r="F391" s="6">
        <f t="shared" si="128"/>
        <v>0</v>
      </c>
      <c r="G391" s="6">
        <f t="shared" si="129"/>
        <v>0</v>
      </c>
      <c r="H391" s="6">
        <f t="shared" si="130"/>
        <v>0</v>
      </c>
      <c r="I391" s="6">
        <f t="shared" si="131"/>
        <v>0</v>
      </c>
      <c r="J391" s="6">
        <f t="shared" si="132"/>
        <v>0</v>
      </c>
      <c r="K391" s="6">
        <f t="shared" si="133"/>
        <v>0</v>
      </c>
      <c r="L391" s="6">
        <f t="shared" si="134"/>
        <v>0</v>
      </c>
      <c r="M391" s="6">
        <f t="shared" si="135"/>
        <v>0</v>
      </c>
      <c r="N391" s="6">
        <f t="shared" si="136"/>
        <v>0</v>
      </c>
      <c r="O391" s="6">
        <f t="shared" si="137"/>
        <v>0</v>
      </c>
      <c r="P391" s="6">
        <f t="shared" si="138"/>
        <v>0</v>
      </c>
      <c r="Q391" s="6">
        <f t="shared" si="139"/>
        <v>0</v>
      </c>
      <c r="R391" s="6">
        <f t="shared" si="140"/>
        <v>0</v>
      </c>
      <c r="S391" s="6">
        <f t="shared" si="141"/>
        <v>0</v>
      </c>
      <c r="T391" s="6">
        <f t="shared" si="142"/>
        <v>0</v>
      </c>
      <c r="U391" s="6">
        <f t="shared" si="143"/>
        <v>0</v>
      </c>
      <c r="V391" s="6">
        <f t="shared" si="144"/>
        <v>0</v>
      </c>
      <c r="W391" s="6">
        <f t="shared" si="145"/>
        <v>0</v>
      </c>
      <c r="X391" s="6">
        <f t="shared" si="146"/>
        <v>0</v>
      </c>
      <c r="Y391" s="6">
        <f t="shared" si="147"/>
        <v>0</v>
      </c>
      <c r="AA391" s="6" t="str">
        <f>IF(最佳化斷筋點!C391="","",最佳化斷筋點!C391)</f>
        <v>上層</v>
      </c>
      <c r="AB391" s="6">
        <f>IF(最佳化斷筋點!D391="","",最佳化斷筋點!D391)</f>
        <v>12</v>
      </c>
      <c r="AC391" s="6">
        <f>IF(最佳化斷筋點!E391="","",最佳化斷筋點!E391)</f>
        <v>11</v>
      </c>
      <c r="AD391" s="6">
        <f>IF(最佳化斷筋點!F391="","",最佳化斷筋點!F391)</f>
        <v>10</v>
      </c>
      <c r="AE391" s="6">
        <f>IF(最佳化斷筋點!G391="","",最佳化斷筋點!G391)</f>
        <v>9</v>
      </c>
      <c r="AF391" s="6">
        <f>IF(最佳化斷筋點!H391="","",最佳化斷筋點!H391)</f>
        <v>8</v>
      </c>
      <c r="AG391" s="6">
        <f>IF(最佳化斷筋點!I391="","",最佳化斷筋點!I391)</f>
        <v>7</v>
      </c>
      <c r="AH391" s="6">
        <f>IF(最佳化斷筋點!J391="","",最佳化斷筋點!J391)</f>
        <v>5</v>
      </c>
      <c r="AI391" s="6">
        <f>IF(最佳化斷筋點!K391="","",最佳化斷筋點!K391)</f>
        <v>4</v>
      </c>
      <c r="AJ391" s="6">
        <f>IF(最佳化斷筋點!L391="","",最佳化斷筋點!L391)</f>
        <v>3</v>
      </c>
      <c r="AK391" s="6">
        <f>IF(最佳化斷筋點!M391="","",最佳化斷筋點!M391)</f>
        <v>2</v>
      </c>
      <c r="AL391" s="6">
        <f>IF(最佳化斷筋點!N391="","",最佳化斷筋點!N391)</f>
        <v>2</v>
      </c>
      <c r="AM391" s="6">
        <f>IF(最佳化斷筋點!O391="","",最佳化斷筋點!O391)</f>
        <v>2</v>
      </c>
      <c r="AN391" s="6">
        <f>IF(最佳化斷筋點!P391="","",最佳化斷筋點!P391)</f>
        <v>2</v>
      </c>
      <c r="AO391" s="6">
        <f>IF(最佳化斷筋點!Q391="","",最佳化斷筋點!Q391)</f>
        <v>2</v>
      </c>
      <c r="AP391" s="6">
        <f>IF(最佳化斷筋點!R391="","",最佳化斷筋點!R391)</f>
        <v>2</v>
      </c>
      <c r="AQ391" s="6">
        <f>IF(最佳化斷筋點!S391="","",最佳化斷筋點!S391)</f>
        <v>2</v>
      </c>
      <c r="AR391" s="6">
        <f>IF(最佳化斷筋點!T391="","",最佳化斷筋點!T391)</f>
        <v>2</v>
      </c>
      <c r="AS391" s="6">
        <f>IF(最佳化斷筋點!U391="","",最佳化斷筋點!U391)</f>
        <v>2</v>
      </c>
      <c r="AT391" s="6">
        <f>IF(最佳化斷筋點!V391="","",最佳化斷筋點!V391)</f>
        <v>2</v>
      </c>
      <c r="AU391" s="6">
        <f>IF(最佳化斷筋點!W391="","",最佳化斷筋點!W391)</f>
        <v>2</v>
      </c>
      <c r="AV391" s="6">
        <f>IF(最佳化斷筋點!X391="","",最佳化斷筋點!X391)</f>
        <v>2</v>
      </c>
      <c r="AX391" s="6" t="s">
        <v>50</v>
      </c>
      <c r="AY391" s="6">
        <v>12</v>
      </c>
      <c r="AZ391" s="6">
        <v>11</v>
      </c>
      <c r="BA391" s="6">
        <v>10</v>
      </c>
      <c r="BB391" s="6">
        <v>9</v>
      </c>
      <c r="BC391" s="6">
        <v>8</v>
      </c>
      <c r="BD391" s="6">
        <v>7</v>
      </c>
      <c r="BE391" s="6">
        <v>5</v>
      </c>
      <c r="BF391" s="6">
        <v>4</v>
      </c>
      <c r="BG391" s="6">
        <v>3</v>
      </c>
      <c r="BH391" s="6">
        <v>2</v>
      </c>
      <c r="BI391" s="6">
        <v>2</v>
      </c>
      <c r="BJ391" s="6">
        <v>2</v>
      </c>
      <c r="BK391" s="6">
        <v>2</v>
      </c>
      <c r="BL391" s="6">
        <v>2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</row>
    <row r="392" spans="4:71" x14ac:dyDescent="0.25">
      <c r="E392" s="6">
        <f t="shared" si="127"/>
        <v>0</v>
      </c>
      <c r="F392" s="6">
        <f t="shared" si="128"/>
        <v>0</v>
      </c>
      <c r="G392" s="6">
        <f t="shared" si="129"/>
        <v>0</v>
      </c>
      <c r="H392" s="6">
        <f t="shared" si="130"/>
        <v>0</v>
      </c>
      <c r="I392" s="6">
        <f t="shared" si="131"/>
        <v>0</v>
      </c>
      <c r="J392" s="6">
        <f t="shared" si="132"/>
        <v>0</v>
      </c>
      <c r="K392" s="6">
        <f t="shared" si="133"/>
        <v>0</v>
      </c>
      <c r="L392" s="6">
        <f t="shared" si="134"/>
        <v>0</v>
      </c>
      <c r="M392" s="6">
        <f t="shared" si="135"/>
        <v>0</v>
      </c>
      <c r="N392" s="6">
        <f t="shared" si="136"/>
        <v>0</v>
      </c>
      <c r="O392" s="6">
        <f t="shared" si="137"/>
        <v>0</v>
      </c>
      <c r="P392" s="6">
        <f t="shared" si="138"/>
        <v>0</v>
      </c>
      <c r="Q392" s="6">
        <f t="shared" si="139"/>
        <v>0</v>
      </c>
      <c r="R392" s="6">
        <f t="shared" si="140"/>
        <v>0</v>
      </c>
      <c r="S392" s="6">
        <f t="shared" si="141"/>
        <v>0</v>
      </c>
      <c r="T392" s="6">
        <f t="shared" si="142"/>
        <v>0</v>
      </c>
      <c r="U392" s="6">
        <f t="shared" si="143"/>
        <v>0</v>
      </c>
      <c r="V392" s="6">
        <f t="shared" si="144"/>
        <v>0</v>
      </c>
      <c r="W392" s="6">
        <f t="shared" si="145"/>
        <v>0</v>
      </c>
      <c r="X392" s="6">
        <f t="shared" si="146"/>
        <v>0</v>
      </c>
      <c r="Y392" s="6">
        <f t="shared" si="147"/>
        <v>0</v>
      </c>
      <c r="AA392" s="6" t="str">
        <f>IF(最佳化斷筋點!C392="","",最佳化斷筋點!C392)</f>
        <v/>
      </c>
      <c r="AB392" s="6" t="str">
        <f>IF(最佳化斷筋點!D392="","",最佳化斷筋點!D392)</f>
        <v/>
      </c>
      <c r="AC392" s="6" t="str">
        <f>IF(最佳化斷筋點!E392="","",最佳化斷筋點!E392)</f>
        <v/>
      </c>
      <c r="AD392" s="6" t="str">
        <f>IF(最佳化斷筋點!F392="","",最佳化斷筋點!F392)</f>
        <v/>
      </c>
      <c r="AE392" s="6" t="str">
        <f>IF(最佳化斷筋點!G392="","",最佳化斷筋點!G392)</f>
        <v/>
      </c>
      <c r="AF392" s="6" t="str">
        <f>IF(最佳化斷筋點!H392="","",最佳化斷筋點!H392)</f>
        <v/>
      </c>
      <c r="AG392" s="6" t="str">
        <f>IF(最佳化斷筋點!I392="","",最佳化斷筋點!I392)</f>
        <v/>
      </c>
      <c r="AH392" s="6" t="str">
        <f>IF(最佳化斷筋點!J392="","",最佳化斷筋點!J392)</f>
        <v/>
      </c>
      <c r="AI392" s="6" t="str">
        <f>IF(最佳化斷筋點!K392="","",最佳化斷筋點!K392)</f>
        <v/>
      </c>
      <c r="AJ392" s="6" t="str">
        <f>IF(最佳化斷筋點!L392="","",最佳化斷筋點!L392)</f>
        <v/>
      </c>
      <c r="AK392" s="6" t="str">
        <f>IF(最佳化斷筋點!M392="","",最佳化斷筋點!M392)</f>
        <v/>
      </c>
      <c r="AL392" s="6" t="str">
        <f>IF(最佳化斷筋點!N392="","",最佳化斷筋點!N392)</f>
        <v/>
      </c>
      <c r="AM392" s="6" t="str">
        <f>IF(最佳化斷筋點!O392="","",最佳化斷筋點!O392)</f>
        <v/>
      </c>
      <c r="AN392" s="6" t="str">
        <f>IF(最佳化斷筋點!P392="","",最佳化斷筋點!P392)</f>
        <v/>
      </c>
      <c r="AO392" s="6" t="str">
        <f>IF(最佳化斷筋點!Q392="","",最佳化斷筋點!Q392)</f>
        <v/>
      </c>
      <c r="AP392" s="6" t="str">
        <f>IF(最佳化斷筋點!R392="","",最佳化斷筋點!R392)</f>
        <v/>
      </c>
      <c r="AQ392" s="6" t="str">
        <f>IF(最佳化斷筋點!S392="","",最佳化斷筋點!S392)</f>
        <v/>
      </c>
      <c r="AR392" s="6" t="str">
        <f>IF(最佳化斷筋點!T392="","",最佳化斷筋點!T392)</f>
        <v/>
      </c>
      <c r="AS392" s="6" t="str">
        <f>IF(最佳化斷筋點!U392="","",最佳化斷筋點!U392)</f>
        <v/>
      </c>
      <c r="AT392" s="6" t="str">
        <f>IF(最佳化斷筋點!V392="","",最佳化斷筋點!V392)</f>
        <v/>
      </c>
      <c r="AU392" s="6" t="str">
        <f>IF(最佳化斷筋點!W392="","",最佳化斷筋點!W392)</f>
        <v/>
      </c>
      <c r="AV392" s="6" t="str">
        <f>IF(最佳化斷筋點!X392="","",最佳化斷筋點!X392)</f>
        <v/>
      </c>
    </row>
    <row r="393" spans="4:71" x14ac:dyDescent="0.25">
      <c r="D393" s="6" t="s">
        <v>51</v>
      </c>
      <c r="E393" s="6">
        <f t="shared" si="127"/>
        <v>0</v>
      </c>
      <c r="F393" s="6">
        <f t="shared" si="128"/>
        <v>0</v>
      </c>
      <c r="G393" s="6">
        <f t="shared" si="129"/>
        <v>0</v>
      </c>
      <c r="H393" s="6">
        <f t="shared" si="130"/>
        <v>0</v>
      </c>
      <c r="I393" s="6">
        <f t="shared" si="131"/>
        <v>0</v>
      </c>
      <c r="J393" s="6">
        <f t="shared" si="132"/>
        <v>0</v>
      </c>
      <c r="K393" s="6">
        <f t="shared" si="133"/>
        <v>0</v>
      </c>
      <c r="L393" s="6">
        <f t="shared" si="134"/>
        <v>0</v>
      </c>
      <c r="M393" s="6">
        <f t="shared" si="135"/>
        <v>0</v>
      </c>
      <c r="N393" s="6">
        <f t="shared" si="136"/>
        <v>0</v>
      </c>
      <c r="O393" s="6">
        <f t="shared" si="137"/>
        <v>0</v>
      </c>
      <c r="P393" s="6">
        <f t="shared" si="138"/>
        <v>0</v>
      </c>
      <c r="Q393" s="6">
        <f t="shared" si="139"/>
        <v>0</v>
      </c>
      <c r="R393" s="6">
        <f t="shared" si="140"/>
        <v>0</v>
      </c>
      <c r="S393" s="6">
        <f t="shared" si="141"/>
        <v>0</v>
      </c>
      <c r="T393" s="6">
        <f t="shared" si="142"/>
        <v>0</v>
      </c>
      <c r="U393" s="6">
        <f t="shared" si="143"/>
        <v>0</v>
      </c>
      <c r="V393" s="6">
        <f t="shared" si="144"/>
        <v>0</v>
      </c>
      <c r="W393" s="6">
        <f t="shared" si="145"/>
        <v>0</v>
      </c>
      <c r="X393" s="6">
        <f t="shared" si="146"/>
        <v>0</v>
      </c>
      <c r="Y393" s="6">
        <f t="shared" si="147"/>
        <v>0</v>
      </c>
      <c r="AA393" s="6" t="str">
        <f>IF(最佳化斷筋點!C393="","",最佳化斷筋點!C393)</f>
        <v>下層</v>
      </c>
      <c r="AB393" s="6">
        <f>IF(最佳化斷筋點!D393="","",最佳化斷筋點!D393)</f>
        <v>8</v>
      </c>
      <c r="AC393" s="6">
        <f>IF(最佳化斷筋點!E393="","",最佳化斷筋點!E393)</f>
        <v>8</v>
      </c>
      <c r="AD393" s="6">
        <f>IF(最佳化斷筋點!F393="","",最佳化斷筋點!F393)</f>
        <v>7</v>
      </c>
      <c r="AE393" s="6">
        <f>IF(最佳化斷筋點!G393="","",最佳化斷筋點!G393)</f>
        <v>7</v>
      </c>
      <c r="AF393" s="6">
        <f>IF(最佳化斷筋點!H393="","",最佳化斷筋點!H393)</f>
        <v>8</v>
      </c>
      <c r="AG393" s="6">
        <f>IF(最佳化斷筋點!I393="","",最佳化斷筋點!I393)</f>
        <v>9</v>
      </c>
      <c r="AH393" s="6">
        <f>IF(最佳化斷筋點!J393="","",最佳化斷筋點!J393)</f>
        <v>11</v>
      </c>
      <c r="AI393" s="6">
        <f>IF(最佳化斷筋點!K393="","",最佳化斷筋點!K393)</f>
        <v>11</v>
      </c>
      <c r="AJ393" s="6">
        <f>IF(最佳化斷筋點!L393="","",最佳化斷筋點!L393)</f>
        <v>12</v>
      </c>
      <c r="AK393" s="6">
        <f>IF(最佳化斷筋點!M393="","",最佳化斷筋點!M393)</f>
        <v>12</v>
      </c>
      <c r="AL393" s="6">
        <f>IF(最佳化斷筋點!N393="","",最佳化斷筋點!N393)</f>
        <v>12</v>
      </c>
      <c r="AM393" s="6">
        <f>IF(最佳化斷筋點!O393="","",最佳化斷筋點!O393)</f>
        <v>12</v>
      </c>
      <c r="AN393" s="6">
        <f>IF(最佳化斷筋點!P393="","",最佳化斷筋點!P393)</f>
        <v>12</v>
      </c>
      <c r="AO393" s="6">
        <f>IF(最佳化斷筋點!Q393="","",最佳化斷筋點!Q393)</f>
        <v>11</v>
      </c>
      <c r="AP393" s="6">
        <f>IF(最佳化斷筋點!R393="","",最佳化斷筋點!R393)</f>
        <v>11</v>
      </c>
      <c r="AQ393" s="6">
        <f>IF(最佳化斷筋點!S393="","",最佳化斷筋點!S393)</f>
        <v>9</v>
      </c>
      <c r="AR393" s="6">
        <f>IF(最佳化斷筋點!T393="","",最佳化斷筋點!T393)</f>
        <v>8</v>
      </c>
      <c r="AS393" s="6">
        <f>IF(最佳化斷筋點!U393="","",最佳化斷筋點!U393)</f>
        <v>8</v>
      </c>
      <c r="AT393" s="6">
        <f>IF(最佳化斷筋點!V393="","",最佳化斷筋點!V393)</f>
        <v>9</v>
      </c>
      <c r="AU393" s="6">
        <f>IF(最佳化斷筋點!W393="","",最佳化斷筋點!W393)</f>
        <v>10</v>
      </c>
      <c r="AV393" s="6">
        <f>IF(最佳化斷筋點!X393="","",最佳化斷筋點!X393)</f>
        <v>11</v>
      </c>
      <c r="AX393" s="6" t="s">
        <v>51</v>
      </c>
      <c r="AY393" s="6">
        <v>8</v>
      </c>
      <c r="AZ393" s="6">
        <v>8</v>
      </c>
      <c r="BA393" s="6">
        <v>7</v>
      </c>
      <c r="BB393" s="6">
        <v>7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11</v>
      </c>
      <c r="BM393" s="6">
        <v>11</v>
      </c>
      <c r="BN393" s="6">
        <v>9</v>
      </c>
      <c r="BO393" s="6">
        <v>8</v>
      </c>
      <c r="BP393" s="6">
        <v>8</v>
      </c>
      <c r="BQ393" s="6">
        <v>9</v>
      </c>
      <c r="BR393" s="6">
        <v>10</v>
      </c>
      <c r="BS393" s="6">
        <v>11</v>
      </c>
    </row>
    <row r="394" spans="4:71" x14ac:dyDescent="0.25">
      <c r="E394" s="6">
        <f t="shared" si="127"/>
        <v>0</v>
      </c>
      <c r="F394" s="6">
        <f t="shared" si="128"/>
        <v>0</v>
      </c>
      <c r="G394" s="6">
        <f t="shared" si="129"/>
        <v>0</v>
      </c>
      <c r="H394" s="6">
        <f t="shared" si="130"/>
        <v>0</v>
      </c>
      <c r="I394" s="6">
        <f t="shared" si="131"/>
        <v>0</v>
      </c>
      <c r="J394" s="6">
        <f t="shared" si="132"/>
        <v>0</v>
      </c>
      <c r="K394" s="6">
        <f t="shared" si="133"/>
        <v>0</v>
      </c>
      <c r="L394" s="6">
        <f t="shared" si="134"/>
        <v>0</v>
      </c>
      <c r="M394" s="6">
        <f t="shared" si="135"/>
        <v>0</v>
      </c>
      <c r="N394" s="6">
        <f t="shared" si="136"/>
        <v>0</v>
      </c>
      <c r="O394" s="6">
        <f t="shared" si="137"/>
        <v>0</v>
      </c>
      <c r="P394" s="6">
        <f t="shared" si="138"/>
        <v>0</v>
      </c>
      <c r="Q394" s="6">
        <f t="shared" si="139"/>
        <v>0</v>
      </c>
      <c r="R394" s="6">
        <f t="shared" si="140"/>
        <v>0</v>
      </c>
      <c r="S394" s="6">
        <f t="shared" si="141"/>
        <v>0</v>
      </c>
      <c r="T394" s="6">
        <f t="shared" si="142"/>
        <v>0</v>
      </c>
      <c r="U394" s="6">
        <f t="shared" si="143"/>
        <v>0</v>
      </c>
      <c r="V394" s="6">
        <f t="shared" si="144"/>
        <v>0</v>
      </c>
      <c r="W394" s="6">
        <f t="shared" si="145"/>
        <v>0</v>
      </c>
      <c r="X394" s="6">
        <f t="shared" si="146"/>
        <v>0</v>
      </c>
      <c r="Y394" s="6">
        <f t="shared" si="147"/>
        <v>0</v>
      </c>
      <c r="AA394" s="6" t="str">
        <f>IF(最佳化斷筋點!C394="","",最佳化斷筋點!C394)</f>
        <v/>
      </c>
      <c r="AB394" s="6" t="str">
        <f>IF(最佳化斷筋點!D394="","",最佳化斷筋點!D394)</f>
        <v/>
      </c>
      <c r="AC394" s="6" t="str">
        <f>IF(最佳化斷筋點!E394="","",最佳化斷筋點!E394)</f>
        <v/>
      </c>
      <c r="AD394" s="6" t="str">
        <f>IF(最佳化斷筋點!F394="","",最佳化斷筋點!F394)</f>
        <v/>
      </c>
      <c r="AE394" s="6" t="str">
        <f>IF(最佳化斷筋點!G394="","",最佳化斷筋點!G394)</f>
        <v/>
      </c>
      <c r="AF394" s="6" t="str">
        <f>IF(最佳化斷筋點!H394="","",最佳化斷筋點!H394)</f>
        <v/>
      </c>
      <c r="AG394" s="6" t="str">
        <f>IF(最佳化斷筋點!I394="","",最佳化斷筋點!I394)</f>
        <v/>
      </c>
      <c r="AH394" s="6" t="str">
        <f>IF(最佳化斷筋點!J394="","",最佳化斷筋點!J394)</f>
        <v/>
      </c>
      <c r="AI394" s="6" t="str">
        <f>IF(最佳化斷筋點!K394="","",最佳化斷筋點!K394)</f>
        <v/>
      </c>
      <c r="AJ394" s="6" t="str">
        <f>IF(最佳化斷筋點!L394="","",最佳化斷筋點!L394)</f>
        <v/>
      </c>
      <c r="AK394" s="6" t="str">
        <f>IF(最佳化斷筋點!M394="","",最佳化斷筋點!M394)</f>
        <v/>
      </c>
      <c r="AL394" s="6" t="str">
        <f>IF(最佳化斷筋點!N394="","",最佳化斷筋點!N394)</f>
        <v/>
      </c>
      <c r="AM394" s="6" t="str">
        <f>IF(最佳化斷筋點!O394="","",最佳化斷筋點!O394)</f>
        <v/>
      </c>
      <c r="AN394" s="6" t="str">
        <f>IF(最佳化斷筋點!P394="","",最佳化斷筋點!P394)</f>
        <v/>
      </c>
      <c r="AO394" s="6" t="str">
        <f>IF(最佳化斷筋點!Q394="","",最佳化斷筋點!Q394)</f>
        <v/>
      </c>
      <c r="AP394" s="6" t="str">
        <f>IF(最佳化斷筋點!R394="","",最佳化斷筋點!R394)</f>
        <v/>
      </c>
      <c r="AQ394" s="6" t="str">
        <f>IF(最佳化斷筋點!S394="","",最佳化斷筋點!S394)</f>
        <v/>
      </c>
      <c r="AR394" s="6" t="str">
        <f>IF(最佳化斷筋點!T394="","",最佳化斷筋點!T394)</f>
        <v/>
      </c>
      <c r="AS394" s="6" t="str">
        <f>IF(最佳化斷筋點!U394="","",最佳化斷筋點!U394)</f>
        <v/>
      </c>
      <c r="AT394" s="6" t="str">
        <f>IF(最佳化斷筋點!V394="","",最佳化斷筋點!V394)</f>
        <v/>
      </c>
      <c r="AU394" s="6" t="str">
        <f>IF(最佳化斷筋點!W394="","",最佳化斷筋點!W394)</f>
        <v/>
      </c>
      <c r="AV394" s="6" t="str">
        <f>IF(最佳化斷筋點!X394="","",最佳化斷筋點!X394)</f>
        <v/>
      </c>
    </row>
    <row r="395" spans="4:71" x14ac:dyDescent="0.25">
      <c r="D395" s="6" t="s">
        <v>50</v>
      </c>
      <c r="E395" s="6">
        <f t="shared" si="127"/>
        <v>0</v>
      </c>
      <c r="F395" s="6">
        <f t="shared" si="128"/>
        <v>0</v>
      </c>
      <c r="G395" s="6">
        <f t="shared" si="129"/>
        <v>0</v>
      </c>
      <c r="H395" s="6">
        <f t="shared" si="130"/>
        <v>0</v>
      </c>
      <c r="I395" s="6">
        <f t="shared" si="131"/>
        <v>0</v>
      </c>
      <c r="J395" s="6">
        <f t="shared" si="132"/>
        <v>0</v>
      </c>
      <c r="K395" s="6">
        <f t="shared" si="133"/>
        <v>0</v>
      </c>
      <c r="L395" s="6">
        <f t="shared" si="134"/>
        <v>0</v>
      </c>
      <c r="M395" s="6">
        <f t="shared" si="135"/>
        <v>0</v>
      </c>
      <c r="N395" s="6">
        <f t="shared" si="136"/>
        <v>0</v>
      </c>
      <c r="O395" s="6">
        <f t="shared" si="137"/>
        <v>0</v>
      </c>
      <c r="P395" s="6">
        <f t="shared" si="138"/>
        <v>0</v>
      </c>
      <c r="Q395" s="6">
        <f t="shared" si="139"/>
        <v>0</v>
      </c>
      <c r="R395" s="6">
        <f t="shared" si="140"/>
        <v>0</v>
      </c>
      <c r="S395" s="6">
        <f t="shared" si="141"/>
        <v>0</v>
      </c>
      <c r="T395" s="6">
        <f t="shared" si="142"/>
        <v>0</v>
      </c>
      <c r="U395" s="6">
        <f t="shared" si="143"/>
        <v>0</v>
      </c>
      <c r="V395" s="6">
        <f t="shared" si="144"/>
        <v>0</v>
      </c>
      <c r="W395" s="6">
        <f t="shared" si="145"/>
        <v>0</v>
      </c>
      <c r="X395" s="6">
        <f t="shared" si="146"/>
        <v>0</v>
      </c>
      <c r="Y395" s="6">
        <f t="shared" si="147"/>
        <v>0</v>
      </c>
      <c r="AA395" s="6" t="str">
        <f>IF(最佳化斷筋點!C395="","",最佳化斷筋點!C395)</f>
        <v>上層</v>
      </c>
      <c r="AB395" s="6">
        <f>IF(最佳化斷筋點!D395="","",最佳化斷筋點!D395)</f>
        <v>2</v>
      </c>
      <c r="AC395" s="6">
        <f>IF(最佳化斷筋點!E395="","",最佳化斷筋點!E395)</f>
        <v>2</v>
      </c>
      <c r="AD395" s="6">
        <f>IF(最佳化斷筋點!F395="","",最佳化斷筋點!F395)</f>
        <v>2</v>
      </c>
      <c r="AE395" s="6">
        <f>IF(最佳化斷筋點!G395="","",最佳化斷筋點!G395)</f>
        <v>2</v>
      </c>
      <c r="AF395" s="6">
        <f>IF(最佳化斷筋點!H395="","",最佳化斷筋點!H395)</f>
        <v>2</v>
      </c>
      <c r="AG395" s="6">
        <f>IF(最佳化斷筋點!I395="","",最佳化斷筋點!I395)</f>
        <v>2</v>
      </c>
      <c r="AH395" s="6">
        <f>IF(最佳化斷筋點!J395="","",最佳化斷筋點!J395)</f>
        <v>2</v>
      </c>
      <c r="AI395" s="6">
        <f>IF(最佳化斷筋點!K395="","",最佳化斷筋點!K395)</f>
        <v>2</v>
      </c>
      <c r="AJ395" s="6">
        <f>IF(最佳化斷筋點!L395="","",最佳化斷筋點!L395)</f>
        <v>2</v>
      </c>
      <c r="AK395" s="6">
        <f>IF(最佳化斷筋點!M395="","",最佳化斷筋點!M395)</f>
        <v>2</v>
      </c>
      <c r="AL395" s="6">
        <f>IF(最佳化斷筋點!N395="","",最佳化斷筋點!N395)</f>
        <v>2</v>
      </c>
      <c r="AM395" s="6">
        <f>IF(最佳化斷筋點!O395="","",最佳化斷筋點!O395)</f>
        <v>2</v>
      </c>
      <c r="AN395" s="6">
        <f>IF(最佳化斷筋點!P395="","",最佳化斷筋點!P395)</f>
        <v>2</v>
      </c>
      <c r="AO395" s="6">
        <f>IF(最佳化斷筋點!Q395="","",最佳化斷筋點!Q395)</f>
        <v>3</v>
      </c>
      <c r="AP395" s="6">
        <f>IF(最佳化斷筋點!R395="","",最佳化斷筋點!R395)</f>
        <v>3</v>
      </c>
      <c r="AQ395" s="6">
        <f>IF(最佳化斷筋點!S395="","",最佳化斷筋點!S395)</f>
        <v>4</v>
      </c>
      <c r="AR395" s="6">
        <f>IF(最佳化斷筋點!T395="","",最佳化斷筋點!T395)</f>
        <v>5</v>
      </c>
      <c r="AS395" s="6">
        <f>IF(最佳化斷筋點!U395="","",最佳化斷筋點!U395)</f>
        <v>5</v>
      </c>
      <c r="AT395" s="6">
        <f>IF(最佳化斷筋點!V395="","",最佳化斷筋點!V395)</f>
        <v>6</v>
      </c>
      <c r="AU395" s="6">
        <f>IF(最佳化斷筋點!W395="","",最佳化斷筋點!W395)</f>
        <v>7</v>
      </c>
      <c r="AV395" s="6">
        <f>IF(最佳化斷筋點!X395="","",最佳化斷筋點!X395)</f>
        <v>7</v>
      </c>
      <c r="AX395" s="6" t="s">
        <v>50</v>
      </c>
      <c r="AY395" s="6">
        <v>2</v>
      </c>
      <c r="AZ395" s="6">
        <v>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3</v>
      </c>
      <c r="BN395" s="6">
        <v>4</v>
      </c>
      <c r="BO395" s="6">
        <v>5</v>
      </c>
      <c r="BP395" s="6">
        <v>5</v>
      </c>
      <c r="BQ395" s="6">
        <v>6</v>
      </c>
      <c r="BR395" s="6">
        <v>7</v>
      </c>
      <c r="BS395" s="6">
        <v>7</v>
      </c>
    </row>
    <row r="396" spans="4:71" x14ac:dyDescent="0.25">
      <c r="E396" s="6">
        <f t="shared" si="127"/>
        <v>0</v>
      </c>
      <c r="F396" s="6">
        <f t="shared" si="128"/>
        <v>0</v>
      </c>
      <c r="G396" s="6">
        <f t="shared" si="129"/>
        <v>0</v>
      </c>
      <c r="H396" s="6">
        <f t="shared" si="130"/>
        <v>0</v>
      </c>
      <c r="I396" s="6">
        <f t="shared" si="131"/>
        <v>0</v>
      </c>
      <c r="J396" s="6">
        <f t="shared" si="132"/>
        <v>0</v>
      </c>
      <c r="K396" s="6">
        <f t="shared" si="133"/>
        <v>0</v>
      </c>
      <c r="L396" s="6">
        <f t="shared" si="134"/>
        <v>0</v>
      </c>
      <c r="M396" s="6">
        <f t="shared" si="135"/>
        <v>0</v>
      </c>
      <c r="N396" s="6">
        <f t="shared" si="136"/>
        <v>0</v>
      </c>
      <c r="O396" s="6">
        <f t="shared" si="137"/>
        <v>0</v>
      </c>
      <c r="P396" s="6">
        <f t="shared" si="138"/>
        <v>0</v>
      </c>
      <c r="Q396" s="6">
        <f t="shared" si="139"/>
        <v>0</v>
      </c>
      <c r="R396" s="6">
        <f t="shared" si="140"/>
        <v>0</v>
      </c>
      <c r="S396" s="6">
        <f t="shared" si="141"/>
        <v>0</v>
      </c>
      <c r="T396" s="6">
        <f t="shared" si="142"/>
        <v>0</v>
      </c>
      <c r="U396" s="6">
        <f t="shared" si="143"/>
        <v>0</v>
      </c>
      <c r="V396" s="6">
        <f t="shared" si="144"/>
        <v>0</v>
      </c>
      <c r="W396" s="6">
        <f t="shared" si="145"/>
        <v>0</v>
      </c>
      <c r="X396" s="6">
        <f t="shared" si="146"/>
        <v>0</v>
      </c>
      <c r="Y396" s="6">
        <f t="shared" si="147"/>
        <v>0</v>
      </c>
      <c r="AA396" s="6" t="str">
        <f>IF(最佳化斷筋點!C396="","",最佳化斷筋點!C396)</f>
        <v/>
      </c>
      <c r="AB396" s="6" t="str">
        <f>IF(最佳化斷筋點!D396="","",最佳化斷筋點!D396)</f>
        <v/>
      </c>
      <c r="AC396" s="6" t="str">
        <f>IF(最佳化斷筋點!E396="","",最佳化斷筋點!E396)</f>
        <v/>
      </c>
      <c r="AD396" s="6" t="str">
        <f>IF(最佳化斷筋點!F396="","",最佳化斷筋點!F396)</f>
        <v/>
      </c>
      <c r="AE396" s="6" t="str">
        <f>IF(最佳化斷筋點!G396="","",最佳化斷筋點!G396)</f>
        <v/>
      </c>
      <c r="AF396" s="6" t="str">
        <f>IF(最佳化斷筋點!H396="","",最佳化斷筋點!H396)</f>
        <v/>
      </c>
      <c r="AG396" s="6" t="str">
        <f>IF(最佳化斷筋點!I396="","",最佳化斷筋點!I396)</f>
        <v/>
      </c>
      <c r="AH396" s="6" t="str">
        <f>IF(最佳化斷筋點!J396="","",最佳化斷筋點!J396)</f>
        <v/>
      </c>
      <c r="AI396" s="6" t="str">
        <f>IF(最佳化斷筋點!K396="","",最佳化斷筋點!K396)</f>
        <v/>
      </c>
      <c r="AJ396" s="6" t="str">
        <f>IF(最佳化斷筋點!L396="","",最佳化斷筋點!L396)</f>
        <v/>
      </c>
      <c r="AK396" s="6" t="str">
        <f>IF(最佳化斷筋點!M396="","",最佳化斷筋點!M396)</f>
        <v/>
      </c>
      <c r="AL396" s="6" t="str">
        <f>IF(最佳化斷筋點!N396="","",最佳化斷筋點!N396)</f>
        <v/>
      </c>
      <c r="AM396" s="6" t="str">
        <f>IF(最佳化斷筋點!O396="","",最佳化斷筋點!O396)</f>
        <v/>
      </c>
      <c r="AN396" s="6" t="str">
        <f>IF(最佳化斷筋點!P396="","",最佳化斷筋點!P396)</f>
        <v/>
      </c>
      <c r="AO396" s="6" t="str">
        <f>IF(最佳化斷筋點!Q396="","",最佳化斷筋點!Q396)</f>
        <v/>
      </c>
      <c r="AP396" s="6" t="str">
        <f>IF(最佳化斷筋點!R396="","",最佳化斷筋點!R396)</f>
        <v/>
      </c>
      <c r="AQ396" s="6" t="str">
        <f>IF(最佳化斷筋點!S396="","",最佳化斷筋點!S396)</f>
        <v/>
      </c>
      <c r="AR396" s="6" t="str">
        <f>IF(最佳化斷筋點!T396="","",最佳化斷筋點!T396)</f>
        <v/>
      </c>
      <c r="AS396" s="6" t="str">
        <f>IF(最佳化斷筋點!U396="","",最佳化斷筋點!U396)</f>
        <v/>
      </c>
      <c r="AT396" s="6" t="str">
        <f>IF(最佳化斷筋點!V396="","",最佳化斷筋點!V396)</f>
        <v/>
      </c>
      <c r="AU396" s="6" t="str">
        <f>IF(最佳化斷筋點!W396="","",最佳化斷筋點!W396)</f>
        <v/>
      </c>
      <c r="AV396" s="6" t="str">
        <f>IF(最佳化斷筋點!X396="","",最佳化斷筋點!X396)</f>
        <v/>
      </c>
    </row>
    <row r="397" spans="4:71" x14ac:dyDescent="0.25">
      <c r="D397" s="6" t="s">
        <v>51</v>
      </c>
      <c r="E397" s="6">
        <f t="shared" si="127"/>
        <v>0</v>
      </c>
      <c r="F397" s="6">
        <f t="shared" si="128"/>
        <v>0</v>
      </c>
      <c r="G397" s="6">
        <f t="shared" si="129"/>
        <v>0</v>
      </c>
      <c r="H397" s="6">
        <f t="shared" si="130"/>
        <v>0</v>
      </c>
      <c r="I397" s="6">
        <f t="shared" si="131"/>
        <v>0</v>
      </c>
      <c r="J397" s="6">
        <f t="shared" si="132"/>
        <v>0</v>
      </c>
      <c r="K397" s="6">
        <f t="shared" si="133"/>
        <v>0</v>
      </c>
      <c r="L397" s="6">
        <f t="shared" si="134"/>
        <v>0</v>
      </c>
      <c r="M397" s="6">
        <f t="shared" si="135"/>
        <v>0</v>
      </c>
      <c r="N397" s="6">
        <f t="shared" si="136"/>
        <v>0</v>
      </c>
      <c r="O397" s="6">
        <f t="shared" si="137"/>
        <v>0</v>
      </c>
      <c r="P397" s="6">
        <f t="shared" si="138"/>
        <v>0</v>
      </c>
      <c r="Q397" s="6">
        <f t="shared" si="139"/>
        <v>0</v>
      </c>
      <c r="R397" s="6">
        <f t="shared" si="140"/>
        <v>0</v>
      </c>
      <c r="S397" s="6">
        <f t="shared" si="141"/>
        <v>0</v>
      </c>
      <c r="T397" s="6">
        <f t="shared" si="142"/>
        <v>0</v>
      </c>
      <c r="U397" s="6">
        <f t="shared" si="143"/>
        <v>0</v>
      </c>
      <c r="V397" s="6">
        <f t="shared" si="144"/>
        <v>0</v>
      </c>
      <c r="W397" s="6">
        <f t="shared" si="145"/>
        <v>0</v>
      </c>
      <c r="X397" s="6">
        <f t="shared" si="146"/>
        <v>0</v>
      </c>
      <c r="Y397" s="6">
        <f t="shared" si="147"/>
        <v>0</v>
      </c>
      <c r="AA397" s="6" t="str">
        <f>IF(最佳化斷筋點!C397="","",最佳化斷筋點!C397)</f>
        <v>下層</v>
      </c>
      <c r="AB397" s="6">
        <f>IF(最佳化斷筋點!D397="","",最佳化斷筋點!D397)</f>
        <v>7</v>
      </c>
      <c r="AC397" s="6">
        <f>IF(最佳化斷筋點!E397="","",最佳化斷筋點!E397)</f>
        <v>7</v>
      </c>
      <c r="AD397" s="6">
        <f>IF(最佳化斷筋點!F397="","",最佳化斷筋點!F397)</f>
        <v>6</v>
      </c>
      <c r="AE397" s="6">
        <f>IF(最佳化斷筋點!G397="","",最佳化斷筋點!G397)</f>
        <v>5</v>
      </c>
      <c r="AF397" s="6">
        <f>IF(最佳化斷筋點!H397="","",最佳化斷筋點!H397)</f>
        <v>6</v>
      </c>
      <c r="AG397" s="6">
        <f>IF(最佳化斷筋點!I397="","",最佳化斷筋點!I397)</f>
        <v>7</v>
      </c>
      <c r="AH397" s="6">
        <f>IF(最佳化斷筋點!J397="","",最佳化斷筋點!J397)</f>
        <v>8</v>
      </c>
      <c r="AI397" s="6">
        <f>IF(最佳化斷筋點!K397="","",最佳化斷筋點!K397)</f>
        <v>9</v>
      </c>
      <c r="AJ397" s="6">
        <f>IF(最佳化斷筋點!L397="","",最佳化斷筋點!L397)</f>
        <v>9</v>
      </c>
      <c r="AK397" s="6">
        <f>IF(最佳化斷筋點!M397="","",最佳化斷筋點!M397)</f>
        <v>9</v>
      </c>
      <c r="AL397" s="6">
        <f>IF(最佳化斷筋點!N397="","",最佳化斷筋點!N397)</f>
        <v>9</v>
      </c>
      <c r="AM397" s="6">
        <f>IF(最佳化斷筋點!O397="","",最佳化斷筋點!O397)</f>
        <v>9</v>
      </c>
      <c r="AN397" s="6">
        <f>IF(最佳化斷筋點!P397="","",最佳化斷筋點!P397)</f>
        <v>9</v>
      </c>
      <c r="AO397" s="6">
        <f>IF(最佳化斷筋點!Q397="","",最佳化斷筋點!Q397)</f>
        <v>9</v>
      </c>
      <c r="AP397" s="6">
        <f>IF(最佳化斷筋點!R397="","",最佳化斷筋點!R397)</f>
        <v>8</v>
      </c>
      <c r="AQ397" s="6">
        <f>IF(最佳化斷筋點!S397="","",最佳化斷筋點!S397)</f>
        <v>7</v>
      </c>
      <c r="AR397" s="6">
        <f>IF(最佳化斷筋點!T397="","",最佳化斷筋點!T397)</f>
        <v>6</v>
      </c>
      <c r="AS397" s="6">
        <f>IF(最佳化斷筋點!U397="","",最佳化斷筋點!U397)</f>
        <v>5</v>
      </c>
      <c r="AT397" s="6">
        <f>IF(最佳化斷筋點!V397="","",最佳化斷筋點!V397)</f>
        <v>4</v>
      </c>
      <c r="AU397" s="6">
        <f>IF(最佳化斷筋點!W397="","",最佳化斷筋點!W397)</f>
        <v>5</v>
      </c>
      <c r="AV397" s="6">
        <f>IF(最佳化斷筋點!X397="","",最佳化斷筋點!X397)</f>
        <v>5</v>
      </c>
      <c r="AX397" s="6" t="s">
        <v>51</v>
      </c>
      <c r="AY397" s="6">
        <v>7</v>
      </c>
      <c r="AZ397" s="6">
        <v>7</v>
      </c>
      <c r="BA397" s="6">
        <v>6</v>
      </c>
      <c r="BB397" s="6">
        <v>5</v>
      </c>
      <c r="BC397" s="6">
        <v>6</v>
      </c>
      <c r="BD397" s="6">
        <v>7</v>
      </c>
      <c r="BE397" s="6">
        <v>8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8</v>
      </c>
      <c r="BN397" s="6">
        <v>7</v>
      </c>
      <c r="BO397" s="6">
        <v>6</v>
      </c>
      <c r="BP397" s="6">
        <v>5</v>
      </c>
      <c r="BQ397" s="6">
        <v>4</v>
      </c>
      <c r="BR397" s="6">
        <v>5</v>
      </c>
      <c r="BS397" s="6">
        <v>5</v>
      </c>
    </row>
    <row r="398" spans="4:71" x14ac:dyDescent="0.25">
      <c r="E398" s="6">
        <f t="shared" si="127"/>
        <v>0</v>
      </c>
      <c r="F398" s="6">
        <f t="shared" si="128"/>
        <v>0</v>
      </c>
      <c r="G398" s="6">
        <f t="shared" si="129"/>
        <v>0</v>
      </c>
      <c r="H398" s="6">
        <f t="shared" si="130"/>
        <v>0</v>
      </c>
      <c r="I398" s="6">
        <f t="shared" si="131"/>
        <v>0</v>
      </c>
      <c r="J398" s="6">
        <f t="shared" si="132"/>
        <v>0</v>
      </c>
      <c r="K398" s="6">
        <f t="shared" si="133"/>
        <v>0</v>
      </c>
      <c r="L398" s="6">
        <f t="shared" si="134"/>
        <v>0</v>
      </c>
      <c r="M398" s="6">
        <f t="shared" si="135"/>
        <v>0</v>
      </c>
      <c r="N398" s="6">
        <f t="shared" si="136"/>
        <v>0</v>
      </c>
      <c r="O398" s="6">
        <f t="shared" si="137"/>
        <v>0</v>
      </c>
      <c r="P398" s="6">
        <f t="shared" si="138"/>
        <v>0</v>
      </c>
      <c r="Q398" s="6">
        <f t="shared" si="139"/>
        <v>0</v>
      </c>
      <c r="R398" s="6">
        <f t="shared" si="140"/>
        <v>0</v>
      </c>
      <c r="S398" s="6">
        <f t="shared" si="141"/>
        <v>0</v>
      </c>
      <c r="T398" s="6">
        <f t="shared" si="142"/>
        <v>0</v>
      </c>
      <c r="U398" s="6">
        <f t="shared" si="143"/>
        <v>0</v>
      </c>
      <c r="V398" s="6">
        <f t="shared" si="144"/>
        <v>0</v>
      </c>
      <c r="W398" s="6">
        <f t="shared" si="145"/>
        <v>0</v>
      </c>
      <c r="X398" s="6">
        <f t="shared" si="146"/>
        <v>0</v>
      </c>
      <c r="Y398" s="6">
        <f t="shared" si="147"/>
        <v>0</v>
      </c>
      <c r="AA398" s="6" t="str">
        <f>IF(最佳化斷筋點!C398="","",最佳化斷筋點!C398)</f>
        <v/>
      </c>
      <c r="AB398" s="6" t="str">
        <f>IF(最佳化斷筋點!D398="","",最佳化斷筋點!D398)</f>
        <v/>
      </c>
      <c r="AC398" s="6" t="str">
        <f>IF(最佳化斷筋點!E398="","",最佳化斷筋點!E398)</f>
        <v/>
      </c>
      <c r="AD398" s="6" t="str">
        <f>IF(最佳化斷筋點!F398="","",最佳化斷筋點!F398)</f>
        <v/>
      </c>
      <c r="AE398" s="6" t="str">
        <f>IF(最佳化斷筋點!G398="","",最佳化斷筋點!G398)</f>
        <v/>
      </c>
      <c r="AF398" s="6" t="str">
        <f>IF(最佳化斷筋點!H398="","",最佳化斷筋點!H398)</f>
        <v/>
      </c>
      <c r="AG398" s="6" t="str">
        <f>IF(最佳化斷筋點!I398="","",最佳化斷筋點!I398)</f>
        <v/>
      </c>
      <c r="AH398" s="6" t="str">
        <f>IF(最佳化斷筋點!J398="","",最佳化斷筋點!J398)</f>
        <v/>
      </c>
      <c r="AI398" s="6" t="str">
        <f>IF(最佳化斷筋點!K398="","",最佳化斷筋點!K398)</f>
        <v/>
      </c>
      <c r="AJ398" s="6" t="str">
        <f>IF(最佳化斷筋點!L398="","",最佳化斷筋點!L398)</f>
        <v/>
      </c>
      <c r="AK398" s="6" t="str">
        <f>IF(最佳化斷筋點!M398="","",最佳化斷筋點!M398)</f>
        <v/>
      </c>
      <c r="AL398" s="6" t="str">
        <f>IF(最佳化斷筋點!N398="","",最佳化斷筋點!N398)</f>
        <v/>
      </c>
      <c r="AM398" s="6" t="str">
        <f>IF(最佳化斷筋點!O398="","",最佳化斷筋點!O398)</f>
        <v/>
      </c>
      <c r="AN398" s="6" t="str">
        <f>IF(最佳化斷筋點!P398="","",最佳化斷筋點!P398)</f>
        <v/>
      </c>
      <c r="AO398" s="6" t="str">
        <f>IF(最佳化斷筋點!Q398="","",最佳化斷筋點!Q398)</f>
        <v/>
      </c>
      <c r="AP398" s="6" t="str">
        <f>IF(最佳化斷筋點!R398="","",最佳化斷筋點!R398)</f>
        <v/>
      </c>
      <c r="AQ398" s="6" t="str">
        <f>IF(最佳化斷筋點!S398="","",最佳化斷筋點!S398)</f>
        <v/>
      </c>
      <c r="AR398" s="6" t="str">
        <f>IF(最佳化斷筋點!T398="","",最佳化斷筋點!T398)</f>
        <v/>
      </c>
      <c r="AS398" s="6" t="str">
        <f>IF(最佳化斷筋點!U398="","",最佳化斷筋點!U398)</f>
        <v/>
      </c>
      <c r="AT398" s="6" t="str">
        <f>IF(最佳化斷筋點!V398="","",最佳化斷筋點!V398)</f>
        <v/>
      </c>
      <c r="AU398" s="6" t="str">
        <f>IF(最佳化斷筋點!W398="","",最佳化斷筋點!W398)</f>
        <v/>
      </c>
      <c r="AV398" s="6" t="str">
        <f>IF(最佳化斷筋點!X398="","",最佳化斷筋點!X398)</f>
        <v/>
      </c>
    </row>
    <row r="399" spans="4:71" x14ac:dyDescent="0.25">
      <c r="D399" s="6" t="s">
        <v>50</v>
      </c>
      <c r="E399" s="6">
        <f t="shared" si="127"/>
        <v>0</v>
      </c>
      <c r="F399" s="6">
        <f t="shared" si="128"/>
        <v>0</v>
      </c>
      <c r="G399" s="6">
        <f t="shared" si="129"/>
        <v>0</v>
      </c>
      <c r="H399" s="6">
        <f t="shared" si="130"/>
        <v>0</v>
      </c>
      <c r="I399" s="6">
        <f t="shared" si="131"/>
        <v>0</v>
      </c>
      <c r="J399" s="6">
        <f t="shared" si="132"/>
        <v>0</v>
      </c>
      <c r="K399" s="6">
        <f t="shared" si="133"/>
        <v>0</v>
      </c>
      <c r="L399" s="6">
        <f t="shared" si="134"/>
        <v>0</v>
      </c>
      <c r="M399" s="6">
        <f t="shared" si="135"/>
        <v>0</v>
      </c>
      <c r="N399" s="6">
        <f t="shared" si="136"/>
        <v>0</v>
      </c>
      <c r="O399" s="6">
        <f t="shared" si="137"/>
        <v>0</v>
      </c>
      <c r="P399" s="6">
        <f t="shared" si="138"/>
        <v>0</v>
      </c>
      <c r="Q399" s="6">
        <f t="shared" si="139"/>
        <v>0</v>
      </c>
      <c r="R399" s="6">
        <f t="shared" si="140"/>
        <v>0</v>
      </c>
      <c r="S399" s="6">
        <f t="shared" si="141"/>
        <v>0</v>
      </c>
      <c r="T399" s="6">
        <f t="shared" si="142"/>
        <v>0</v>
      </c>
      <c r="U399" s="6">
        <f t="shared" si="143"/>
        <v>0</v>
      </c>
      <c r="V399" s="6">
        <f t="shared" si="144"/>
        <v>0</v>
      </c>
      <c r="W399" s="6">
        <f t="shared" si="145"/>
        <v>0</v>
      </c>
      <c r="X399" s="6">
        <f t="shared" si="146"/>
        <v>0</v>
      </c>
      <c r="Y399" s="6">
        <f t="shared" si="147"/>
        <v>0</v>
      </c>
      <c r="AA399" s="6" t="str">
        <f>IF(最佳化斷筋點!C399="","",最佳化斷筋點!C399)</f>
        <v>上層</v>
      </c>
      <c r="AB399" s="6">
        <f>IF(最佳化斷筋點!D399="","",最佳化斷筋點!D399)</f>
        <v>7</v>
      </c>
      <c r="AC399" s="6">
        <f>IF(最佳化斷筋點!E399="","",最佳化斷筋點!E399)</f>
        <v>7</v>
      </c>
      <c r="AD399" s="6">
        <f>IF(最佳化斷筋點!F399="","",最佳化斷筋點!F399)</f>
        <v>6</v>
      </c>
      <c r="AE399" s="6">
        <f>IF(最佳化斷筋點!G399="","",最佳化斷筋點!G399)</f>
        <v>5</v>
      </c>
      <c r="AF399" s="6">
        <f>IF(最佳化斷筋點!H399="","",最佳化斷筋點!H399)</f>
        <v>5</v>
      </c>
      <c r="AG399" s="6">
        <f>IF(最佳化斷筋點!I399="","",最佳化斷筋點!I399)</f>
        <v>4</v>
      </c>
      <c r="AH399" s="6">
        <f>IF(最佳化斷筋點!J399="","",最佳化斷筋點!J399)</f>
        <v>3</v>
      </c>
      <c r="AI399" s="6">
        <f>IF(最佳化斷筋點!K399="","",最佳化斷筋點!K399)</f>
        <v>3</v>
      </c>
      <c r="AJ399" s="6">
        <f>IF(最佳化斷筋點!L399="","",最佳化斷筋點!L399)</f>
        <v>2</v>
      </c>
      <c r="AK399" s="6">
        <f>IF(最佳化斷筋點!M399="","",最佳化斷筋點!M399)</f>
        <v>2</v>
      </c>
      <c r="AL399" s="6">
        <f>IF(最佳化斷筋點!N399="","",最佳化斷筋點!N399)</f>
        <v>2</v>
      </c>
      <c r="AM399" s="6">
        <f>IF(最佳化斷筋點!O399="","",最佳化斷筋點!O399)</f>
        <v>2</v>
      </c>
      <c r="AN399" s="6">
        <f>IF(最佳化斷筋點!P399="","",最佳化斷筋點!P399)</f>
        <v>2</v>
      </c>
      <c r="AO399" s="6">
        <f>IF(最佳化斷筋點!Q399="","",最佳化斷筋點!Q399)</f>
        <v>3</v>
      </c>
      <c r="AP399" s="6">
        <f>IF(最佳化斷筋點!R399="","",最佳化斷筋點!R399)</f>
        <v>4</v>
      </c>
      <c r="AQ399" s="6">
        <f>IF(最佳化斷筋點!S399="","",最佳化斷筋點!S399)</f>
        <v>4</v>
      </c>
      <c r="AR399" s="6">
        <f>IF(最佳化斷筋點!T399="","",最佳化斷筋點!T399)</f>
        <v>5</v>
      </c>
      <c r="AS399" s="6">
        <f>IF(最佳化斷筋點!U399="","",最佳化斷筋點!U399)</f>
        <v>6</v>
      </c>
      <c r="AT399" s="6">
        <f>IF(最佳化斷筋點!V399="","",最佳化斷筋點!V399)</f>
        <v>7</v>
      </c>
      <c r="AU399" s="6">
        <f>IF(最佳化斷筋點!W399="","",最佳化斷筋點!W399)</f>
        <v>8</v>
      </c>
      <c r="AV399" s="6">
        <f>IF(最佳化斷筋點!X399="","",最佳化斷筋點!X399)</f>
        <v>8</v>
      </c>
      <c r="AX399" s="6" t="s">
        <v>50</v>
      </c>
      <c r="AY399" s="6">
        <v>7</v>
      </c>
      <c r="AZ399" s="6">
        <v>7</v>
      </c>
      <c r="BA399" s="6">
        <v>6</v>
      </c>
      <c r="BB399" s="6">
        <v>5</v>
      </c>
      <c r="BC399" s="6">
        <v>5</v>
      </c>
      <c r="BD399" s="6">
        <v>4</v>
      </c>
      <c r="BE399" s="6">
        <v>3</v>
      </c>
      <c r="BF399" s="6">
        <v>3</v>
      </c>
      <c r="BG399" s="6">
        <v>2</v>
      </c>
      <c r="BH399" s="6">
        <v>2</v>
      </c>
      <c r="BI399" s="6">
        <v>2</v>
      </c>
      <c r="BJ399" s="6">
        <v>2</v>
      </c>
      <c r="BK399" s="6">
        <v>2</v>
      </c>
      <c r="BL399" s="6">
        <v>3</v>
      </c>
      <c r="BM399" s="6">
        <v>4</v>
      </c>
      <c r="BN399" s="6">
        <v>4</v>
      </c>
      <c r="BO399" s="6">
        <v>5</v>
      </c>
      <c r="BP399" s="6">
        <v>6</v>
      </c>
      <c r="BQ399" s="6">
        <v>7</v>
      </c>
      <c r="BR399" s="6">
        <v>8</v>
      </c>
      <c r="BS399" s="6">
        <v>8</v>
      </c>
    </row>
    <row r="400" spans="4:71" x14ac:dyDescent="0.25">
      <c r="E400" s="6">
        <f t="shared" si="127"/>
        <v>0</v>
      </c>
      <c r="F400" s="6">
        <f t="shared" si="128"/>
        <v>0</v>
      </c>
      <c r="G400" s="6">
        <f t="shared" si="129"/>
        <v>0</v>
      </c>
      <c r="H400" s="6">
        <f t="shared" si="130"/>
        <v>0</v>
      </c>
      <c r="I400" s="6">
        <f t="shared" si="131"/>
        <v>0</v>
      </c>
      <c r="J400" s="6">
        <f t="shared" si="132"/>
        <v>0</v>
      </c>
      <c r="K400" s="6">
        <f t="shared" si="133"/>
        <v>0</v>
      </c>
      <c r="L400" s="6">
        <f t="shared" si="134"/>
        <v>0</v>
      </c>
      <c r="M400" s="6">
        <f t="shared" si="135"/>
        <v>0</v>
      </c>
      <c r="N400" s="6">
        <f t="shared" si="136"/>
        <v>0</v>
      </c>
      <c r="O400" s="6">
        <f t="shared" si="137"/>
        <v>0</v>
      </c>
      <c r="P400" s="6">
        <f t="shared" si="138"/>
        <v>0</v>
      </c>
      <c r="Q400" s="6">
        <f t="shared" si="139"/>
        <v>0</v>
      </c>
      <c r="R400" s="6">
        <f t="shared" si="140"/>
        <v>0</v>
      </c>
      <c r="S400" s="6">
        <f t="shared" si="141"/>
        <v>0</v>
      </c>
      <c r="T400" s="6">
        <f t="shared" si="142"/>
        <v>0</v>
      </c>
      <c r="U400" s="6">
        <f t="shared" si="143"/>
        <v>0</v>
      </c>
      <c r="V400" s="6">
        <f t="shared" si="144"/>
        <v>0</v>
      </c>
      <c r="W400" s="6">
        <f t="shared" si="145"/>
        <v>0</v>
      </c>
      <c r="X400" s="6">
        <f t="shared" si="146"/>
        <v>0</v>
      </c>
      <c r="Y400" s="6">
        <f t="shared" si="147"/>
        <v>0</v>
      </c>
      <c r="AA400" s="6" t="str">
        <f>IF(最佳化斷筋點!C400="","",最佳化斷筋點!C400)</f>
        <v/>
      </c>
      <c r="AB400" s="6" t="str">
        <f>IF(最佳化斷筋點!D400="","",最佳化斷筋點!D400)</f>
        <v/>
      </c>
      <c r="AC400" s="6" t="str">
        <f>IF(最佳化斷筋點!E400="","",最佳化斷筋點!E400)</f>
        <v/>
      </c>
      <c r="AD400" s="6" t="str">
        <f>IF(最佳化斷筋點!F400="","",最佳化斷筋點!F400)</f>
        <v/>
      </c>
      <c r="AE400" s="6" t="str">
        <f>IF(最佳化斷筋點!G400="","",最佳化斷筋點!G400)</f>
        <v/>
      </c>
      <c r="AF400" s="6" t="str">
        <f>IF(最佳化斷筋點!H400="","",最佳化斷筋點!H400)</f>
        <v/>
      </c>
      <c r="AG400" s="6" t="str">
        <f>IF(最佳化斷筋點!I400="","",最佳化斷筋點!I400)</f>
        <v/>
      </c>
      <c r="AH400" s="6" t="str">
        <f>IF(最佳化斷筋點!J400="","",最佳化斷筋點!J400)</f>
        <v/>
      </c>
      <c r="AI400" s="6" t="str">
        <f>IF(最佳化斷筋點!K400="","",最佳化斷筋點!K400)</f>
        <v/>
      </c>
      <c r="AJ400" s="6" t="str">
        <f>IF(最佳化斷筋點!L400="","",最佳化斷筋點!L400)</f>
        <v/>
      </c>
      <c r="AK400" s="6" t="str">
        <f>IF(最佳化斷筋點!M400="","",最佳化斷筋點!M400)</f>
        <v/>
      </c>
      <c r="AL400" s="6" t="str">
        <f>IF(最佳化斷筋點!N400="","",最佳化斷筋點!N400)</f>
        <v/>
      </c>
      <c r="AM400" s="6" t="str">
        <f>IF(最佳化斷筋點!O400="","",最佳化斷筋點!O400)</f>
        <v/>
      </c>
      <c r="AN400" s="6" t="str">
        <f>IF(最佳化斷筋點!P400="","",最佳化斷筋點!P400)</f>
        <v/>
      </c>
      <c r="AO400" s="6" t="str">
        <f>IF(最佳化斷筋點!Q400="","",最佳化斷筋點!Q400)</f>
        <v/>
      </c>
      <c r="AP400" s="6" t="str">
        <f>IF(最佳化斷筋點!R400="","",最佳化斷筋點!R400)</f>
        <v/>
      </c>
      <c r="AQ400" s="6" t="str">
        <f>IF(最佳化斷筋點!S400="","",最佳化斷筋點!S400)</f>
        <v/>
      </c>
      <c r="AR400" s="6" t="str">
        <f>IF(最佳化斷筋點!T400="","",最佳化斷筋點!T400)</f>
        <v/>
      </c>
      <c r="AS400" s="6" t="str">
        <f>IF(最佳化斷筋點!U400="","",最佳化斷筋點!U400)</f>
        <v/>
      </c>
      <c r="AT400" s="6" t="str">
        <f>IF(最佳化斷筋點!V400="","",最佳化斷筋點!V400)</f>
        <v/>
      </c>
      <c r="AU400" s="6" t="str">
        <f>IF(最佳化斷筋點!W400="","",最佳化斷筋點!W400)</f>
        <v/>
      </c>
      <c r="AV400" s="6" t="str">
        <f>IF(最佳化斷筋點!X400="","",最佳化斷筋點!X400)</f>
        <v/>
      </c>
    </row>
    <row r="401" spans="4:71" x14ac:dyDescent="0.25">
      <c r="D401" s="6" t="s">
        <v>51</v>
      </c>
      <c r="E401" s="6">
        <f t="shared" si="127"/>
        <v>0</v>
      </c>
      <c r="F401" s="6">
        <f t="shared" si="128"/>
        <v>0</v>
      </c>
      <c r="G401" s="6">
        <f t="shared" si="129"/>
        <v>0</v>
      </c>
      <c r="H401" s="6">
        <f t="shared" si="130"/>
        <v>0</v>
      </c>
      <c r="I401" s="6">
        <f t="shared" si="131"/>
        <v>0</v>
      </c>
      <c r="J401" s="6">
        <f t="shared" si="132"/>
        <v>0</v>
      </c>
      <c r="K401" s="6">
        <f t="shared" si="133"/>
        <v>0</v>
      </c>
      <c r="L401" s="6">
        <f t="shared" si="134"/>
        <v>0</v>
      </c>
      <c r="M401" s="6">
        <f t="shared" si="135"/>
        <v>0</v>
      </c>
      <c r="N401" s="6">
        <f t="shared" si="136"/>
        <v>0</v>
      </c>
      <c r="O401" s="6">
        <f t="shared" si="137"/>
        <v>0</v>
      </c>
      <c r="P401" s="6">
        <f t="shared" si="138"/>
        <v>0</v>
      </c>
      <c r="Q401" s="6">
        <f t="shared" si="139"/>
        <v>0</v>
      </c>
      <c r="R401" s="6">
        <f t="shared" si="140"/>
        <v>0</v>
      </c>
      <c r="S401" s="6">
        <f t="shared" si="141"/>
        <v>0</v>
      </c>
      <c r="T401" s="6">
        <f t="shared" si="142"/>
        <v>0</v>
      </c>
      <c r="U401" s="6">
        <f t="shared" si="143"/>
        <v>0</v>
      </c>
      <c r="V401" s="6">
        <f t="shared" si="144"/>
        <v>0</v>
      </c>
      <c r="W401" s="6">
        <f t="shared" si="145"/>
        <v>0</v>
      </c>
      <c r="X401" s="6">
        <f t="shared" si="146"/>
        <v>0</v>
      </c>
      <c r="Y401" s="6">
        <f t="shared" si="147"/>
        <v>0</v>
      </c>
      <c r="AA401" s="6" t="str">
        <f>IF(最佳化斷筋點!C401="","",最佳化斷筋點!C401)</f>
        <v>下層</v>
      </c>
      <c r="AB401" s="6">
        <f>IF(最佳化斷筋點!D401="","",最佳化斷筋點!D401)</f>
        <v>5</v>
      </c>
      <c r="AC401" s="6">
        <f>IF(最佳化斷筋點!E401="","",最佳化斷筋點!E401)</f>
        <v>5</v>
      </c>
      <c r="AD401" s="6">
        <f>IF(最佳化斷筋點!F401="","",最佳化斷筋點!F401)</f>
        <v>4</v>
      </c>
      <c r="AE401" s="6">
        <f>IF(最佳化斷筋點!G401="","",最佳化斷筋點!G401)</f>
        <v>4</v>
      </c>
      <c r="AF401" s="6">
        <f>IF(最佳化斷筋點!H401="","",最佳化斷筋點!H401)</f>
        <v>5</v>
      </c>
      <c r="AG401" s="6">
        <f>IF(最佳化斷筋點!I401="","",最佳化斷筋點!I401)</f>
        <v>6</v>
      </c>
      <c r="AH401" s="6">
        <f>IF(最佳化斷筋點!J401="","",最佳化斷筋點!J401)</f>
        <v>6</v>
      </c>
      <c r="AI401" s="6">
        <f>IF(最佳化斷筋點!K401="","",最佳化斷筋點!K401)</f>
        <v>7</v>
      </c>
      <c r="AJ401" s="6">
        <f>IF(最佳化斷筋點!L401="","",最佳化斷筋點!L401)</f>
        <v>7</v>
      </c>
      <c r="AK401" s="6">
        <f>IF(最佳化斷筋點!M401="","",最佳化斷筋點!M401)</f>
        <v>7</v>
      </c>
      <c r="AL401" s="6">
        <f>IF(最佳化斷筋點!N401="","",最佳化斷筋點!N401)</f>
        <v>7</v>
      </c>
      <c r="AM401" s="6">
        <f>IF(最佳化斷筋點!O401="","",最佳化斷筋點!O401)</f>
        <v>7</v>
      </c>
      <c r="AN401" s="6">
        <f>IF(最佳化斷筋點!P401="","",最佳化斷筋點!P401)</f>
        <v>7</v>
      </c>
      <c r="AO401" s="6">
        <f>IF(最佳化斷筋點!Q401="","",最佳化斷筋點!Q401)</f>
        <v>7</v>
      </c>
      <c r="AP401" s="6">
        <f>IF(最佳化斷筋點!R401="","",最佳化斷筋點!R401)</f>
        <v>6</v>
      </c>
      <c r="AQ401" s="6">
        <f>IF(最佳化斷筋點!S401="","",最佳化斷筋點!S401)</f>
        <v>6</v>
      </c>
      <c r="AR401" s="6">
        <f>IF(最佳化斷筋點!T401="","",最佳化斷筋點!T401)</f>
        <v>5</v>
      </c>
      <c r="AS401" s="6">
        <f>IF(最佳化斷筋點!U401="","",最佳化斷筋點!U401)</f>
        <v>4</v>
      </c>
      <c r="AT401" s="6">
        <f>IF(最佳化斷筋點!V401="","",最佳化斷筋點!V401)</f>
        <v>4</v>
      </c>
      <c r="AU401" s="6">
        <f>IF(最佳化斷筋點!W401="","",最佳化斷筋點!W401)</f>
        <v>4</v>
      </c>
      <c r="AV401" s="6">
        <f>IF(最佳化斷筋點!X401="","",最佳化斷筋點!X401)</f>
        <v>4</v>
      </c>
      <c r="AX401" s="6" t="s">
        <v>51</v>
      </c>
      <c r="AY401" s="6">
        <v>5</v>
      </c>
      <c r="AZ401" s="6">
        <v>5</v>
      </c>
      <c r="BA401" s="6">
        <v>4</v>
      </c>
      <c r="BB401" s="6">
        <v>4</v>
      </c>
      <c r="BC401" s="6">
        <v>5</v>
      </c>
      <c r="BD401" s="6">
        <v>6</v>
      </c>
      <c r="BE401" s="6">
        <v>6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6</v>
      </c>
      <c r="BN401" s="6">
        <v>6</v>
      </c>
      <c r="BO401" s="6">
        <v>5</v>
      </c>
      <c r="BP401" s="6">
        <v>4</v>
      </c>
      <c r="BQ401" s="6">
        <v>4</v>
      </c>
      <c r="BR401" s="6">
        <v>4</v>
      </c>
      <c r="BS401" s="6">
        <v>4</v>
      </c>
    </row>
    <row r="402" spans="4:71" x14ac:dyDescent="0.25">
      <c r="E402" s="6">
        <f t="shared" si="127"/>
        <v>0</v>
      </c>
      <c r="F402" s="6">
        <f t="shared" si="128"/>
        <v>0</v>
      </c>
      <c r="G402" s="6">
        <f t="shared" si="129"/>
        <v>0</v>
      </c>
      <c r="H402" s="6">
        <f t="shared" si="130"/>
        <v>0</v>
      </c>
      <c r="I402" s="6">
        <f t="shared" si="131"/>
        <v>0</v>
      </c>
      <c r="J402" s="6">
        <f t="shared" si="132"/>
        <v>0</v>
      </c>
      <c r="K402" s="6">
        <f t="shared" si="133"/>
        <v>0</v>
      </c>
      <c r="L402" s="6">
        <f t="shared" si="134"/>
        <v>0</v>
      </c>
      <c r="M402" s="6">
        <f t="shared" si="135"/>
        <v>0</v>
      </c>
      <c r="N402" s="6">
        <f t="shared" si="136"/>
        <v>0</v>
      </c>
      <c r="O402" s="6">
        <f t="shared" si="137"/>
        <v>0</v>
      </c>
      <c r="P402" s="6">
        <f t="shared" si="138"/>
        <v>0</v>
      </c>
      <c r="Q402" s="6">
        <f t="shared" si="139"/>
        <v>0</v>
      </c>
      <c r="R402" s="6">
        <f t="shared" si="140"/>
        <v>0</v>
      </c>
      <c r="S402" s="6">
        <f t="shared" si="141"/>
        <v>0</v>
      </c>
      <c r="T402" s="6">
        <f t="shared" si="142"/>
        <v>0</v>
      </c>
      <c r="U402" s="6">
        <f t="shared" si="143"/>
        <v>0</v>
      </c>
      <c r="V402" s="6">
        <f t="shared" si="144"/>
        <v>0</v>
      </c>
      <c r="W402" s="6">
        <f t="shared" si="145"/>
        <v>0</v>
      </c>
      <c r="X402" s="6">
        <f t="shared" si="146"/>
        <v>0</v>
      </c>
      <c r="Y402" s="6">
        <f t="shared" si="147"/>
        <v>0</v>
      </c>
      <c r="AA402" s="6" t="str">
        <f>IF(最佳化斷筋點!C402="","",最佳化斷筋點!C402)</f>
        <v/>
      </c>
      <c r="AB402" s="6" t="str">
        <f>IF(最佳化斷筋點!D402="","",最佳化斷筋點!D402)</f>
        <v/>
      </c>
      <c r="AC402" s="6" t="str">
        <f>IF(最佳化斷筋點!E402="","",最佳化斷筋點!E402)</f>
        <v/>
      </c>
      <c r="AD402" s="6" t="str">
        <f>IF(最佳化斷筋點!F402="","",最佳化斷筋點!F402)</f>
        <v/>
      </c>
      <c r="AE402" s="6" t="str">
        <f>IF(最佳化斷筋點!G402="","",最佳化斷筋點!G402)</f>
        <v/>
      </c>
      <c r="AF402" s="6" t="str">
        <f>IF(最佳化斷筋點!H402="","",最佳化斷筋點!H402)</f>
        <v/>
      </c>
      <c r="AG402" s="6" t="str">
        <f>IF(最佳化斷筋點!I402="","",最佳化斷筋點!I402)</f>
        <v/>
      </c>
      <c r="AH402" s="6" t="str">
        <f>IF(最佳化斷筋點!J402="","",最佳化斷筋點!J402)</f>
        <v/>
      </c>
      <c r="AI402" s="6" t="str">
        <f>IF(最佳化斷筋點!K402="","",最佳化斷筋點!K402)</f>
        <v/>
      </c>
      <c r="AJ402" s="6" t="str">
        <f>IF(最佳化斷筋點!L402="","",最佳化斷筋點!L402)</f>
        <v/>
      </c>
      <c r="AK402" s="6" t="str">
        <f>IF(最佳化斷筋點!M402="","",最佳化斷筋點!M402)</f>
        <v/>
      </c>
      <c r="AL402" s="6" t="str">
        <f>IF(最佳化斷筋點!N402="","",最佳化斷筋點!N402)</f>
        <v/>
      </c>
      <c r="AM402" s="6" t="str">
        <f>IF(最佳化斷筋點!O402="","",最佳化斷筋點!O402)</f>
        <v/>
      </c>
      <c r="AN402" s="6" t="str">
        <f>IF(最佳化斷筋點!P402="","",最佳化斷筋點!P402)</f>
        <v/>
      </c>
      <c r="AO402" s="6" t="str">
        <f>IF(最佳化斷筋點!Q402="","",最佳化斷筋點!Q402)</f>
        <v/>
      </c>
      <c r="AP402" s="6" t="str">
        <f>IF(最佳化斷筋點!R402="","",最佳化斷筋點!R402)</f>
        <v/>
      </c>
      <c r="AQ402" s="6" t="str">
        <f>IF(最佳化斷筋點!S402="","",最佳化斷筋點!S402)</f>
        <v/>
      </c>
      <c r="AR402" s="6" t="str">
        <f>IF(最佳化斷筋點!T402="","",最佳化斷筋點!T402)</f>
        <v/>
      </c>
      <c r="AS402" s="6" t="str">
        <f>IF(最佳化斷筋點!U402="","",最佳化斷筋點!U402)</f>
        <v/>
      </c>
      <c r="AT402" s="6" t="str">
        <f>IF(最佳化斷筋點!V402="","",最佳化斷筋點!V402)</f>
        <v/>
      </c>
      <c r="AU402" s="6" t="str">
        <f>IF(最佳化斷筋點!W402="","",最佳化斷筋點!W402)</f>
        <v/>
      </c>
      <c r="AV402" s="6" t="str">
        <f>IF(最佳化斷筋點!X402="","",最佳化斷筋點!X402)</f>
        <v/>
      </c>
    </row>
    <row r="403" spans="4:71" x14ac:dyDescent="0.25">
      <c r="D403" s="6" t="s">
        <v>50</v>
      </c>
      <c r="E403" s="6">
        <f t="shared" si="127"/>
        <v>0</v>
      </c>
      <c r="F403" s="6">
        <f t="shared" si="128"/>
        <v>0</v>
      </c>
      <c r="G403" s="6">
        <f t="shared" si="129"/>
        <v>0</v>
      </c>
      <c r="H403" s="6">
        <f t="shared" si="130"/>
        <v>0</v>
      </c>
      <c r="I403" s="6">
        <f t="shared" si="131"/>
        <v>0</v>
      </c>
      <c r="J403" s="6">
        <f t="shared" si="132"/>
        <v>0</v>
      </c>
      <c r="K403" s="6">
        <f t="shared" si="133"/>
        <v>0</v>
      </c>
      <c r="L403" s="6">
        <f t="shared" si="134"/>
        <v>0</v>
      </c>
      <c r="M403" s="6">
        <f t="shared" si="135"/>
        <v>0</v>
      </c>
      <c r="N403" s="6">
        <f t="shared" si="136"/>
        <v>0</v>
      </c>
      <c r="O403" s="6">
        <f t="shared" si="137"/>
        <v>0</v>
      </c>
      <c r="P403" s="6">
        <f t="shared" si="138"/>
        <v>0</v>
      </c>
      <c r="Q403" s="6">
        <f t="shared" si="139"/>
        <v>0</v>
      </c>
      <c r="R403" s="6">
        <f t="shared" si="140"/>
        <v>0</v>
      </c>
      <c r="S403" s="6">
        <f t="shared" si="141"/>
        <v>0</v>
      </c>
      <c r="T403" s="6">
        <f t="shared" si="142"/>
        <v>0</v>
      </c>
      <c r="U403" s="6">
        <f t="shared" si="143"/>
        <v>0</v>
      </c>
      <c r="V403" s="6">
        <f t="shared" si="144"/>
        <v>0</v>
      </c>
      <c r="W403" s="6">
        <f t="shared" si="145"/>
        <v>0</v>
      </c>
      <c r="X403" s="6">
        <f t="shared" si="146"/>
        <v>0</v>
      </c>
      <c r="Y403" s="6">
        <f t="shared" si="147"/>
        <v>0</v>
      </c>
      <c r="AA403" s="6" t="str">
        <f>IF(最佳化斷筋點!C403="","",最佳化斷筋點!C403)</f>
        <v>上層</v>
      </c>
      <c r="AB403" s="6">
        <f>IF(最佳化斷筋點!D403="","",最佳化斷筋點!D403)</f>
        <v>8</v>
      </c>
      <c r="AC403" s="6">
        <f>IF(最佳化斷筋點!E403="","",最佳化斷筋點!E403)</f>
        <v>8</v>
      </c>
      <c r="AD403" s="6">
        <f>IF(最佳化斷筋點!F403="","",最佳化斷筋點!F403)</f>
        <v>7</v>
      </c>
      <c r="AE403" s="6">
        <f>IF(最佳化斷筋點!G403="","",最佳化斷筋點!G403)</f>
        <v>6</v>
      </c>
      <c r="AF403" s="6">
        <f>IF(最佳化斷筋點!H403="","",最佳化斷筋點!H403)</f>
        <v>5</v>
      </c>
      <c r="AG403" s="6">
        <f>IF(最佳化斷筋點!I403="","",最佳化斷筋點!I403)</f>
        <v>5</v>
      </c>
      <c r="AH403" s="6">
        <f>IF(最佳化斷筋點!J403="","",最佳化斷筋點!J403)</f>
        <v>4</v>
      </c>
      <c r="AI403" s="6">
        <f>IF(最佳化斷筋點!K403="","",最佳化斷筋點!K403)</f>
        <v>3</v>
      </c>
      <c r="AJ403" s="6">
        <f>IF(最佳化斷筋點!L403="","",最佳化斷筋點!L403)</f>
        <v>2</v>
      </c>
      <c r="AK403" s="6">
        <f>IF(最佳化斷筋點!M403="","",最佳化斷筋點!M403)</f>
        <v>2</v>
      </c>
      <c r="AL403" s="6">
        <f>IF(最佳化斷筋點!N403="","",最佳化斷筋點!N403)</f>
        <v>2</v>
      </c>
      <c r="AM403" s="6">
        <f>IF(最佳化斷筋點!O403="","",最佳化斷筋點!O403)</f>
        <v>2</v>
      </c>
      <c r="AN403" s="6">
        <f>IF(最佳化斷筋點!P403="","",最佳化斷筋點!P403)</f>
        <v>2</v>
      </c>
      <c r="AO403" s="6">
        <f>IF(最佳化斷筋點!Q403="","",最佳化斷筋點!Q403)</f>
        <v>3</v>
      </c>
      <c r="AP403" s="6">
        <f>IF(最佳化斷筋點!R403="","",最佳化斷筋點!R403)</f>
        <v>3</v>
      </c>
      <c r="AQ403" s="6">
        <f>IF(最佳化斷筋點!S403="","",最佳化斷筋點!S403)</f>
        <v>4</v>
      </c>
      <c r="AR403" s="6">
        <f>IF(最佳化斷筋點!T403="","",最佳化斷筋點!T403)</f>
        <v>5</v>
      </c>
      <c r="AS403" s="6">
        <f>IF(最佳化斷筋點!U403="","",最佳化斷筋點!U403)</f>
        <v>5</v>
      </c>
      <c r="AT403" s="6">
        <f>IF(最佳化斷筋點!V403="","",最佳化斷筋點!V403)</f>
        <v>6</v>
      </c>
      <c r="AU403" s="6">
        <f>IF(最佳化斷筋點!W403="","",最佳化斷筋點!W403)</f>
        <v>7</v>
      </c>
      <c r="AV403" s="6">
        <f>IF(最佳化斷筋點!X403="","",最佳化斷筋點!X403)</f>
        <v>7</v>
      </c>
      <c r="AX403" s="6" t="s">
        <v>50</v>
      </c>
      <c r="AY403" s="6">
        <v>8</v>
      </c>
      <c r="AZ403" s="6">
        <v>8</v>
      </c>
      <c r="BA403" s="6">
        <v>7</v>
      </c>
      <c r="BB403" s="6">
        <v>6</v>
      </c>
      <c r="BC403" s="6">
        <v>5</v>
      </c>
      <c r="BD403" s="6">
        <v>5</v>
      </c>
      <c r="BE403" s="6">
        <v>4</v>
      </c>
      <c r="BF403" s="6">
        <v>3</v>
      </c>
      <c r="BG403" s="6">
        <v>2</v>
      </c>
      <c r="BH403" s="6">
        <v>2</v>
      </c>
      <c r="BI403" s="6">
        <v>2</v>
      </c>
      <c r="BJ403" s="6">
        <v>2</v>
      </c>
      <c r="BK403" s="6">
        <v>2</v>
      </c>
      <c r="BL403" s="6">
        <v>3</v>
      </c>
      <c r="BM403" s="6">
        <v>3</v>
      </c>
      <c r="BN403" s="6">
        <v>4</v>
      </c>
      <c r="BO403" s="6">
        <v>5</v>
      </c>
      <c r="BP403" s="6">
        <v>5</v>
      </c>
      <c r="BQ403" s="6">
        <v>6</v>
      </c>
      <c r="BR403" s="6">
        <v>7</v>
      </c>
      <c r="BS403" s="6">
        <v>7</v>
      </c>
    </row>
    <row r="404" spans="4:71" x14ac:dyDescent="0.25">
      <c r="E404" s="6">
        <f t="shared" si="127"/>
        <v>0</v>
      </c>
      <c r="F404" s="6">
        <f t="shared" si="128"/>
        <v>0</v>
      </c>
      <c r="G404" s="6">
        <f t="shared" si="129"/>
        <v>0</v>
      </c>
      <c r="H404" s="6">
        <f t="shared" si="130"/>
        <v>0</v>
      </c>
      <c r="I404" s="6">
        <f t="shared" si="131"/>
        <v>0</v>
      </c>
      <c r="J404" s="6">
        <f t="shared" si="132"/>
        <v>0</v>
      </c>
      <c r="K404" s="6">
        <f t="shared" si="133"/>
        <v>0</v>
      </c>
      <c r="L404" s="6">
        <f t="shared" si="134"/>
        <v>0</v>
      </c>
      <c r="M404" s="6">
        <f t="shared" si="135"/>
        <v>0</v>
      </c>
      <c r="N404" s="6">
        <f t="shared" si="136"/>
        <v>0</v>
      </c>
      <c r="O404" s="6">
        <f t="shared" si="137"/>
        <v>0</v>
      </c>
      <c r="P404" s="6">
        <f t="shared" si="138"/>
        <v>0</v>
      </c>
      <c r="Q404" s="6">
        <f t="shared" si="139"/>
        <v>0</v>
      </c>
      <c r="R404" s="6">
        <f t="shared" si="140"/>
        <v>0</v>
      </c>
      <c r="S404" s="6">
        <f t="shared" si="141"/>
        <v>0</v>
      </c>
      <c r="T404" s="6">
        <f t="shared" si="142"/>
        <v>0</v>
      </c>
      <c r="U404" s="6">
        <f t="shared" si="143"/>
        <v>0</v>
      </c>
      <c r="V404" s="6">
        <f t="shared" si="144"/>
        <v>0</v>
      </c>
      <c r="W404" s="6">
        <f t="shared" si="145"/>
        <v>0</v>
      </c>
      <c r="X404" s="6">
        <f t="shared" si="146"/>
        <v>0</v>
      </c>
      <c r="Y404" s="6">
        <f t="shared" si="147"/>
        <v>0</v>
      </c>
      <c r="AA404" s="6" t="str">
        <f>IF(最佳化斷筋點!C404="","",最佳化斷筋點!C404)</f>
        <v/>
      </c>
      <c r="AB404" s="6" t="str">
        <f>IF(最佳化斷筋點!D404="","",最佳化斷筋點!D404)</f>
        <v/>
      </c>
      <c r="AC404" s="6" t="str">
        <f>IF(最佳化斷筋點!E404="","",最佳化斷筋點!E404)</f>
        <v/>
      </c>
      <c r="AD404" s="6" t="str">
        <f>IF(最佳化斷筋點!F404="","",最佳化斷筋點!F404)</f>
        <v/>
      </c>
      <c r="AE404" s="6" t="str">
        <f>IF(最佳化斷筋點!G404="","",最佳化斷筋點!G404)</f>
        <v/>
      </c>
      <c r="AF404" s="6" t="str">
        <f>IF(最佳化斷筋點!H404="","",最佳化斷筋點!H404)</f>
        <v/>
      </c>
      <c r="AG404" s="6" t="str">
        <f>IF(最佳化斷筋點!I404="","",最佳化斷筋點!I404)</f>
        <v/>
      </c>
      <c r="AH404" s="6" t="str">
        <f>IF(最佳化斷筋點!J404="","",最佳化斷筋點!J404)</f>
        <v/>
      </c>
      <c r="AI404" s="6" t="str">
        <f>IF(最佳化斷筋點!K404="","",最佳化斷筋點!K404)</f>
        <v/>
      </c>
      <c r="AJ404" s="6" t="str">
        <f>IF(最佳化斷筋點!L404="","",最佳化斷筋點!L404)</f>
        <v/>
      </c>
      <c r="AK404" s="6" t="str">
        <f>IF(最佳化斷筋點!M404="","",最佳化斷筋點!M404)</f>
        <v/>
      </c>
      <c r="AL404" s="6" t="str">
        <f>IF(最佳化斷筋點!N404="","",最佳化斷筋點!N404)</f>
        <v/>
      </c>
      <c r="AM404" s="6" t="str">
        <f>IF(最佳化斷筋點!O404="","",最佳化斷筋點!O404)</f>
        <v/>
      </c>
      <c r="AN404" s="6" t="str">
        <f>IF(最佳化斷筋點!P404="","",最佳化斷筋點!P404)</f>
        <v/>
      </c>
      <c r="AO404" s="6" t="str">
        <f>IF(最佳化斷筋點!Q404="","",最佳化斷筋點!Q404)</f>
        <v/>
      </c>
      <c r="AP404" s="6" t="str">
        <f>IF(最佳化斷筋點!R404="","",最佳化斷筋點!R404)</f>
        <v/>
      </c>
      <c r="AQ404" s="6" t="str">
        <f>IF(最佳化斷筋點!S404="","",最佳化斷筋點!S404)</f>
        <v/>
      </c>
      <c r="AR404" s="6" t="str">
        <f>IF(最佳化斷筋點!T404="","",最佳化斷筋點!T404)</f>
        <v/>
      </c>
      <c r="AS404" s="6" t="str">
        <f>IF(最佳化斷筋點!U404="","",最佳化斷筋點!U404)</f>
        <v/>
      </c>
      <c r="AT404" s="6" t="str">
        <f>IF(最佳化斷筋點!V404="","",最佳化斷筋點!V404)</f>
        <v/>
      </c>
      <c r="AU404" s="6" t="str">
        <f>IF(最佳化斷筋點!W404="","",最佳化斷筋點!W404)</f>
        <v/>
      </c>
      <c r="AV404" s="6" t="str">
        <f>IF(最佳化斷筋點!X404="","",最佳化斷筋點!X404)</f>
        <v/>
      </c>
    </row>
    <row r="405" spans="4:71" x14ac:dyDescent="0.25">
      <c r="D405" s="6" t="s">
        <v>51</v>
      </c>
      <c r="E405" s="6">
        <f t="shared" si="127"/>
        <v>0</v>
      </c>
      <c r="F405" s="6">
        <f t="shared" si="128"/>
        <v>0</v>
      </c>
      <c r="G405" s="6">
        <f t="shared" si="129"/>
        <v>0</v>
      </c>
      <c r="H405" s="6">
        <f t="shared" si="130"/>
        <v>0</v>
      </c>
      <c r="I405" s="6">
        <f t="shared" si="131"/>
        <v>0</v>
      </c>
      <c r="J405" s="6">
        <f t="shared" si="132"/>
        <v>0</v>
      </c>
      <c r="K405" s="6">
        <f t="shared" si="133"/>
        <v>0</v>
      </c>
      <c r="L405" s="6">
        <f t="shared" si="134"/>
        <v>0</v>
      </c>
      <c r="M405" s="6">
        <f t="shared" si="135"/>
        <v>0</v>
      </c>
      <c r="N405" s="6">
        <f t="shared" si="136"/>
        <v>0</v>
      </c>
      <c r="O405" s="6">
        <f t="shared" si="137"/>
        <v>0</v>
      </c>
      <c r="P405" s="6">
        <f t="shared" si="138"/>
        <v>0</v>
      </c>
      <c r="Q405" s="6">
        <f t="shared" si="139"/>
        <v>0</v>
      </c>
      <c r="R405" s="6">
        <f t="shared" si="140"/>
        <v>0</v>
      </c>
      <c r="S405" s="6">
        <f t="shared" si="141"/>
        <v>0</v>
      </c>
      <c r="T405" s="6">
        <f t="shared" si="142"/>
        <v>0</v>
      </c>
      <c r="U405" s="6">
        <f t="shared" si="143"/>
        <v>0</v>
      </c>
      <c r="V405" s="6">
        <f t="shared" si="144"/>
        <v>0</v>
      </c>
      <c r="W405" s="6">
        <f t="shared" si="145"/>
        <v>0</v>
      </c>
      <c r="X405" s="6">
        <f t="shared" si="146"/>
        <v>0</v>
      </c>
      <c r="Y405" s="6">
        <f t="shared" si="147"/>
        <v>0</v>
      </c>
      <c r="AA405" s="6" t="str">
        <f>IF(最佳化斷筋點!C405="","",最佳化斷筋點!C405)</f>
        <v>下層</v>
      </c>
      <c r="AB405" s="6">
        <f>IF(最佳化斷筋點!D405="","",最佳化斷筋點!D405)</f>
        <v>4</v>
      </c>
      <c r="AC405" s="6">
        <f>IF(最佳化斷筋點!E405="","",最佳化斷筋點!E405)</f>
        <v>4</v>
      </c>
      <c r="AD405" s="6">
        <f>IF(最佳化斷筋點!F405="","",最佳化斷筋點!F405)</f>
        <v>4</v>
      </c>
      <c r="AE405" s="6">
        <f>IF(最佳化斷筋點!G405="","",最佳化斷筋點!G405)</f>
        <v>4</v>
      </c>
      <c r="AF405" s="6">
        <f>IF(最佳化斷筋點!H405="","",最佳化斷筋點!H405)</f>
        <v>5</v>
      </c>
      <c r="AG405" s="6">
        <f>IF(最佳化斷筋點!I405="","",最佳化斷筋點!I405)</f>
        <v>6</v>
      </c>
      <c r="AH405" s="6">
        <f>IF(最佳化斷筋點!J405="","",最佳化斷筋點!J405)</f>
        <v>6</v>
      </c>
      <c r="AI405" s="6">
        <f>IF(最佳化斷筋點!K405="","",最佳化斷筋點!K405)</f>
        <v>7</v>
      </c>
      <c r="AJ405" s="6">
        <f>IF(最佳化斷筋點!L405="","",最佳化斷筋點!L405)</f>
        <v>7</v>
      </c>
      <c r="AK405" s="6">
        <f>IF(最佳化斷筋點!M405="","",最佳化斷筋點!M405)</f>
        <v>7</v>
      </c>
      <c r="AL405" s="6">
        <f>IF(最佳化斷筋點!N405="","",最佳化斷筋點!N405)</f>
        <v>7</v>
      </c>
      <c r="AM405" s="6">
        <f>IF(最佳化斷筋點!O405="","",最佳化斷筋點!O405)</f>
        <v>7</v>
      </c>
      <c r="AN405" s="6">
        <f>IF(最佳化斷筋點!P405="","",最佳化斷筋點!P405)</f>
        <v>7</v>
      </c>
      <c r="AO405" s="6">
        <f>IF(最佳化斷筋點!Q405="","",最佳化斷筋點!Q405)</f>
        <v>7</v>
      </c>
      <c r="AP405" s="6">
        <f>IF(最佳化斷筋點!R405="","",最佳化斷筋點!R405)</f>
        <v>6</v>
      </c>
      <c r="AQ405" s="6">
        <f>IF(最佳化斷筋點!S405="","",最佳化斷筋點!S405)</f>
        <v>6</v>
      </c>
      <c r="AR405" s="6">
        <f>IF(最佳化斷筋點!T405="","",最佳化斷筋點!T405)</f>
        <v>5</v>
      </c>
      <c r="AS405" s="6">
        <f>IF(最佳化斷筋點!U405="","",最佳化斷筋點!U405)</f>
        <v>4</v>
      </c>
      <c r="AT405" s="6">
        <f>IF(最佳化斷筋點!V405="","",最佳化斷筋點!V405)</f>
        <v>4</v>
      </c>
      <c r="AU405" s="6">
        <f>IF(最佳化斷筋點!W405="","",最佳化斷筋點!W405)</f>
        <v>4</v>
      </c>
      <c r="AV405" s="6">
        <f>IF(最佳化斷筋點!X405="","",最佳化斷筋點!X405)</f>
        <v>4</v>
      </c>
      <c r="AX405" s="6" t="s">
        <v>51</v>
      </c>
      <c r="AY405" s="6">
        <v>4</v>
      </c>
      <c r="AZ405" s="6">
        <v>4</v>
      </c>
      <c r="BA405" s="6">
        <v>4</v>
      </c>
      <c r="BB405" s="6">
        <v>4</v>
      </c>
      <c r="BC405" s="6">
        <v>5</v>
      </c>
      <c r="BD405" s="6">
        <v>6</v>
      </c>
      <c r="BE405" s="6">
        <v>6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6</v>
      </c>
      <c r="BN405" s="6">
        <v>6</v>
      </c>
      <c r="BO405" s="6">
        <v>5</v>
      </c>
      <c r="BP405" s="6">
        <v>4</v>
      </c>
      <c r="BQ405" s="6">
        <v>4</v>
      </c>
      <c r="BR405" s="6">
        <v>4</v>
      </c>
      <c r="BS405" s="6">
        <v>4</v>
      </c>
    </row>
    <row r="406" spans="4:71" x14ac:dyDescent="0.25">
      <c r="E406" s="6">
        <f t="shared" si="127"/>
        <v>0</v>
      </c>
      <c r="F406" s="6">
        <f t="shared" si="128"/>
        <v>0</v>
      </c>
      <c r="G406" s="6">
        <f t="shared" si="129"/>
        <v>0</v>
      </c>
      <c r="H406" s="6">
        <f t="shared" si="130"/>
        <v>0</v>
      </c>
      <c r="I406" s="6">
        <f t="shared" si="131"/>
        <v>0</v>
      </c>
      <c r="J406" s="6">
        <f t="shared" si="132"/>
        <v>0</v>
      </c>
      <c r="K406" s="6">
        <f t="shared" si="133"/>
        <v>0</v>
      </c>
      <c r="L406" s="6">
        <f t="shared" si="134"/>
        <v>0</v>
      </c>
      <c r="M406" s="6">
        <f t="shared" si="135"/>
        <v>0</v>
      </c>
      <c r="N406" s="6">
        <f t="shared" si="136"/>
        <v>0</v>
      </c>
      <c r="O406" s="6">
        <f t="shared" si="137"/>
        <v>0</v>
      </c>
      <c r="P406" s="6">
        <f t="shared" si="138"/>
        <v>0</v>
      </c>
      <c r="Q406" s="6">
        <f t="shared" si="139"/>
        <v>0</v>
      </c>
      <c r="R406" s="6">
        <f t="shared" si="140"/>
        <v>0</v>
      </c>
      <c r="S406" s="6">
        <f t="shared" si="141"/>
        <v>0</v>
      </c>
      <c r="T406" s="6">
        <f t="shared" si="142"/>
        <v>0</v>
      </c>
      <c r="U406" s="6">
        <f t="shared" si="143"/>
        <v>0</v>
      </c>
      <c r="V406" s="6">
        <f t="shared" si="144"/>
        <v>0</v>
      </c>
      <c r="W406" s="6">
        <f t="shared" si="145"/>
        <v>0</v>
      </c>
      <c r="X406" s="6">
        <f t="shared" si="146"/>
        <v>0</v>
      </c>
      <c r="Y406" s="6">
        <f t="shared" si="147"/>
        <v>0</v>
      </c>
      <c r="AA406" s="6" t="str">
        <f>IF(最佳化斷筋點!C406="","",最佳化斷筋點!C406)</f>
        <v/>
      </c>
      <c r="AB406" s="6" t="str">
        <f>IF(最佳化斷筋點!D406="","",最佳化斷筋點!D406)</f>
        <v/>
      </c>
      <c r="AC406" s="6" t="str">
        <f>IF(最佳化斷筋點!E406="","",最佳化斷筋點!E406)</f>
        <v/>
      </c>
      <c r="AD406" s="6" t="str">
        <f>IF(最佳化斷筋點!F406="","",最佳化斷筋點!F406)</f>
        <v/>
      </c>
      <c r="AE406" s="6" t="str">
        <f>IF(最佳化斷筋點!G406="","",最佳化斷筋點!G406)</f>
        <v/>
      </c>
      <c r="AF406" s="6" t="str">
        <f>IF(最佳化斷筋點!H406="","",最佳化斷筋點!H406)</f>
        <v/>
      </c>
      <c r="AG406" s="6" t="str">
        <f>IF(最佳化斷筋點!I406="","",最佳化斷筋點!I406)</f>
        <v/>
      </c>
      <c r="AH406" s="6" t="str">
        <f>IF(最佳化斷筋點!J406="","",最佳化斷筋點!J406)</f>
        <v/>
      </c>
      <c r="AI406" s="6" t="str">
        <f>IF(最佳化斷筋點!K406="","",最佳化斷筋點!K406)</f>
        <v/>
      </c>
      <c r="AJ406" s="6" t="str">
        <f>IF(最佳化斷筋點!L406="","",最佳化斷筋點!L406)</f>
        <v/>
      </c>
      <c r="AK406" s="6" t="str">
        <f>IF(最佳化斷筋點!M406="","",最佳化斷筋點!M406)</f>
        <v/>
      </c>
      <c r="AL406" s="6" t="str">
        <f>IF(最佳化斷筋點!N406="","",最佳化斷筋點!N406)</f>
        <v/>
      </c>
      <c r="AM406" s="6" t="str">
        <f>IF(最佳化斷筋點!O406="","",最佳化斷筋點!O406)</f>
        <v/>
      </c>
      <c r="AN406" s="6" t="str">
        <f>IF(最佳化斷筋點!P406="","",最佳化斷筋點!P406)</f>
        <v/>
      </c>
      <c r="AO406" s="6" t="str">
        <f>IF(最佳化斷筋點!Q406="","",最佳化斷筋點!Q406)</f>
        <v/>
      </c>
      <c r="AP406" s="6" t="str">
        <f>IF(最佳化斷筋點!R406="","",最佳化斷筋點!R406)</f>
        <v/>
      </c>
      <c r="AQ406" s="6" t="str">
        <f>IF(最佳化斷筋點!S406="","",最佳化斷筋點!S406)</f>
        <v/>
      </c>
      <c r="AR406" s="6" t="str">
        <f>IF(最佳化斷筋點!T406="","",最佳化斷筋點!T406)</f>
        <v/>
      </c>
      <c r="AS406" s="6" t="str">
        <f>IF(最佳化斷筋點!U406="","",最佳化斷筋點!U406)</f>
        <v/>
      </c>
      <c r="AT406" s="6" t="str">
        <f>IF(最佳化斷筋點!V406="","",最佳化斷筋點!V406)</f>
        <v/>
      </c>
      <c r="AU406" s="6" t="str">
        <f>IF(最佳化斷筋點!W406="","",最佳化斷筋點!W406)</f>
        <v/>
      </c>
      <c r="AV406" s="6" t="str">
        <f>IF(最佳化斷筋點!X406="","",最佳化斷筋點!X406)</f>
        <v/>
      </c>
    </row>
    <row r="407" spans="4:71" x14ac:dyDescent="0.25">
      <c r="D407" s="6" t="s">
        <v>50</v>
      </c>
      <c r="E407" s="6">
        <f t="shared" si="127"/>
        <v>0</v>
      </c>
      <c r="F407" s="6">
        <f t="shared" si="128"/>
        <v>0</v>
      </c>
      <c r="G407" s="6">
        <f t="shared" si="129"/>
        <v>0</v>
      </c>
      <c r="H407" s="6">
        <f t="shared" si="130"/>
        <v>0</v>
      </c>
      <c r="I407" s="6">
        <f t="shared" si="131"/>
        <v>0</v>
      </c>
      <c r="J407" s="6">
        <f t="shared" si="132"/>
        <v>0</v>
      </c>
      <c r="K407" s="6">
        <f t="shared" si="133"/>
        <v>0</v>
      </c>
      <c r="L407" s="6">
        <f t="shared" si="134"/>
        <v>0</v>
      </c>
      <c r="M407" s="6">
        <f t="shared" si="135"/>
        <v>0</v>
      </c>
      <c r="N407" s="6">
        <f t="shared" si="136"/>
        <v>0</v>
      </c>
      <c r="O407" s="6">
        <f t="shared" si="137"/>
        <v>0</v>
      </c>
      <c r="P407" s="6">
        <f t="shared" si="138"/>
        <v>0</v>
      </c>
      <c r="Q407" s="6">
        <f t="shared" si="139"/>
        <v>0</v>
      </c>
      <c r="R407" s="6">
        <f t="shared" si="140"/>
        <v>0</v>
      </c>
      <c r="S407" s="6">
        <f t="shared" si="141"/>
        <v>0</v>
      </c>
      <c r="T407" s="6">
        <f t="shared" si="142"/>
        <v>0</v>
      </c>
      <c r="U407" s="6">
        <f t="shared" si="143"/>
        <v>0</v>
      </c>
      <c r="V407" s="6">
        <f t="shared" si="144"/>
        <v>0</v>
      </c>
      <c r="W407" s="6">
        <f t="shared" si="145"/>
        <v>0</v>
      </c>
      <c r="X407" s="6">
        <f t="shared" si="146"/>
        <v>0</v>
      </c>
      <c r="Y407" s="6">
        <f t="shared" si="147"/>
        <v>0</v>
      </c>
      <c r="AA407" s="6" t="str">
        <f>IF(最佳化斷筋點!C407="","",最佳化斷筋點!C407)</f>
        <v>上層</v>
      </c>
      <c r="AB407" s="6">
        <f>IF(最佳化斷筋點!D407="","",最佳化斷筋點!D407)</f>
        <v>7</v>
      </c>
      <c r="AC407" s="6">
        <f>IF(最佳化斷筋點!E407="","",最佳化斷筋點!E407)</f>
        <v>7</v>
      </c>
      <c r="AD407" s="6">
        <f>IF(最佳化斷筋點!F407="","",最佳化斷筋點!F407)</f>
        <v>6</v>
      </c>
      <c r="AE407" s="6">
        <f>IF(最佳化斷筋點!G407="","",最佳化斷筋點!G407)</f>
        <v>5</v>
      </c>
      <c r="AF407" s="6">
        <f>IF(最佳化斷筋點!H407="","",最佳化斷筋點!H407)</f>
        <v>5</v>
      </c>
      <c r="AG407" s="6">
        <f>IF(最佳化斷筋點!I407="","",最佳化斷筋點!I407)</f>
        <v>4</v>
      </c>
      <c r="AH407" s="6">
        <f>IF(最佳化斷筋點!J407="","",最佳化斷筋點!J407)</f>
        <v>3</v>
      </c>
      <c r="AI407" s="6">
        <f>IF(最佳化斷筋點!K407="","",最佳化斷筋點!K407)</f>
        <v>3</v>
      </c>
      <c r="AJ407" s="6">
        <f>IF(最佳化斷筋點!L407="","",最佳化斷筋點!L407)</f>
        <v>2</v>
      </c>
      <c r="AK407" s="6">
        <f>IF(最佳化斷筋點!M407="","",最佳化斷筋點!M407)</f>
        <v>2</v>
      </c>
      <c r="AL407" s="6">
        <f>IF(最佳化斷筋點!N407="","",最佳化斷筋點!N407)</f>
        <v>2</v>
      </c>
      <c r="AM407" s="6">
        <f>IF(最佳化斷筋點!O407="","",最佳化斷筋點!O407)</f>
        <v>2</v>
      </c>
      <c r="AN407" s="6">
        <f>IF(最佳化斷筋點!P407="","",最佳化斷筋點!P407)</f>
        <v>2</v>
      </c>
      <c r="AO407" s="6">
        <f>IF(最佳化斷筋點!Q407="","",最佳化斷筋點!Q407)</f>
        <v>3</v>
      </c>
      <c r="AP407" s="6">
        <f>IF(最佳化斷筋點!R407="","",最佳化斷筋點!R407)</f>
        <v>4</v>
      </c>
      <c r="AQ407" s="6">
        <f>IF(最佳化斷筋點!S407="","",最佳化斷筋點!S407)</f>
        <v>4</v>
      </c>
      <c r="AR407" s="6">
        <f>IF(最佳化斷筋點!T407="","",最佳化斷筋點!T407)</f>
        <v>5</v>
      </c>
      <c r="AS407" s="6">
        <f>IF(最佳化斷筋點!U407="","",最佳化斷筋點!U407)</f>
        <v>6</v>
      </c>
      <c r="AT407" s="6">
        <f>IF(最佳化斷筋點!V407="","",最佳化斷筋點!V407)</f>
        <v>7</v>
      </c>
      <c r="AU407" s="6">
        <f>IF(最佳化斷筋點!W407="","",最佳化斷筋點!W407)</f>
        <v>8</v>
      </c>
      <c r="AV407" s="6">
        <f>IF(最佳化斷筋點!X407="","",最佳化斷筋點!X407)</f>
        <v>8</v>
      </c>
      <c r="AX407" s="6" t="s">
        <v>50</v>
      </c>
      <c r="AY407" s="6">
        <v>7</v>
      </c>
      <c r="AZ407" s="6">
        <v>7</v>
      </c>
      <c r="BA407" s="6">
        <v>6</v>
      </c>
      <c r="BB407" s="6">
        <v>5</v>
      </c>
      <c r="BC407" s="6">
        <v>5</v>
      </c>
      <c r="BD407" s="6">
        <v>4</v>
      </c>
      <c r="BE407" s="6">
        <v>3</v>
      </c>
      <c r="BF407" s="6">
        <v>3</v>
      </c>
      <c r="BG407" s="6">
        <v>2</v>
      </c>
      <c r="BH407" s="6">
        <v>2</v>
      </c>
      <c r="BI407" s="6">
        <v>2</v>
      </c>
      <c r="BJ407" s="6">
        <v>2</v>
      </c>
      <c r="BK407" s="6">
        <v>2</v>
      </c>
      <c r="BL407" s="6">
        <v>3</v>
      </c>
      <c r="BM407" s="6">
        <v>4</v>
      </c>
      <c r="BN407" s="6">
        <v>4</v>
      </c>
      <c r="BO407" s="6">
        <v>5</v>
      </c>
      <c r="BP407" s="6">
        <v>6</v>
      </c>
      <c r="BQ407" s="6">
        <v>7</v>
      </c>
      <c r="BR407" s="6">
        <v>8</v>
      </c>
      <c r="BS407" s="6">
        <v>8</v>
      </c>
    </row>
    <row r="408" spans="4:71" x14ac:dyDescent="0.25">
      <c r="E408" s="6">
        <f t="shared" si="127"/>
        <v>0</v>
      </c>
      <c r="F408" s="6">
        <f t="shared" si="128"/>
        <v>0</v>
      </c>
      <c r="G408" s="6">
        <f t="shared" si="129"/>
        <v>0</v>
      </c>
      <c r="H408" s="6">
        <f t="shared" si="130"/>
        <v>0</v>
      </c>
      <c r="I408" s="6">
        <f t="shared" si="131"/>
        <v>0</v>
      </c>
      <c r="J408" s="6">
        <f t="shared" si="132"/>
        <v>0</v>
      </c>
      <c r="K408" s="6">
        <f t="shared" si="133"/>
        <v>0</v>
      </c>
      <c r="L408" s="6">
        <f t="shared" si="134"/>
        <v>0</v>
      </c>
      <c r="M408" s="6">
        <f t="shared" si="135"/>
        <v>0</v>
      </c>
      <c r="N408" s="6">
        <f t="shared" si="136"/>
        <v>0</v>
      </c>
      <c r="O408" s="6">
        <f t="shared" si="137"/>
        <v>0</v>
      </c>
      <c r="P408" s="6">
        <f t="shared" si="138"/>
        <v>0</v>
      </c>
      <c r="Q408" s="6">
        <f t="shared" si="139"/>
        <v>0</v>
      </c>
      <c r="R408" s="6">
        <f t="shared" si="140"/>
        <v>0</v>
      </c>
      <c r="S408" s="6">
        <f t="shared" si="141"/>
        <v>0</v>
      </c>
      <c r="T408" s="6">
        <f t="shared" si="142"/>
        <v>0</v>
      </c>
      <c r="U408" s="6">
        <f t="shared" si="143"/>
        <v>0</v>
      </c>
      <c r="V408" s="6">
        <f t="shared" si="144"/>
        <v>0</v>
      </c>
      <c r="W408" s="6">
        <f t="shared" si="145"/>
        <v>0</v>
      </c>
      <c r="X408" s="6">
        <f t="shared" si="146"/>
        <v>0</v>
      </c>
      <c r="Y408" s="6">
        <f t="shared" si="147"/>
        <v>0</v>
      </c>
      <c r="AA408" s="6" t="str">
        <f>IF(最佳化斷筋點!C408="","",最佳化斷筋點!C408)</f>
        <v/>
      </c>
      <c r="AB408" s="6" t="str">
        <f>IF(最佳化斷筋點!D408="","",最佳化斷筋點!D408)</f>
        <v/>
      </c>
      <c r="AC408" s="6" t="str">
        <f>IF(最佳化斷筋點!E408="","",最佳化斷筋點!E408)</f>
        <v/>
      </c>
      <c r="AD408" s="6" t="str">
        <f>IF(最佳化斷筋點!F408="","",最佳化斷筋點!F408)</f>
        <v/>
      </c>
      <c r="AE408" s="6" t="str">
        <f>IF(最佳化斷筋點!G408="","",最佳化斷筋點!G408)</f>
        <v/>
      </c>
      <c r="AF408" s="6" t="str">
        <f>IF(最佳化斷筋點!H408="","",最佳化斷筋點!H408)</f>
        <v/>
      </c>
      <c r="AG408" s="6" t="str">
        <f>IF(最佳化斷筋點!I408="","",最佳化斷筋點!I408)</f>
        <v/>
      </c>
      <c r="AH408" s="6" t="str">
        <f>IF(最佳化斷筋點!J408="","",最佳化斷筋點!J408)</f>
        <v/>
      </c>
      <c r="AI408" s="6" t="str">
        <f>IF(最佳化斷筋點!K408="","",最佳化斷筋點!K408)</f>
        <v/>
      </c>
      <c r="AJ408" s="6" t="str">
        <f>IF(最佳化斷筋點!L408="","",最佳化斷筋點!L408)</f>
        <v/>
      </c>
      <c r="AK408" s="6" t="str">
        <f>IF(最佳化斷筋點!M408="","",最佳化斷筋點!M408)</f>
        <v/>
      </c>
      <c r="AL408" s="6" t="str">
        <f>IF(最佳化斷筋點!N408="","",最佳化斷筋點!N408)</f>
        <v/>
      </c>
      <c r="AM408" s="6" t="str">
        <f>IF(最佳化斷筋點!O408="","",最佳化斷筋點!O408)</f>
        <v/>
      </c>
      <c r="AN408" s="6" t="str">
        <f>IF(最佳化斷筋點!P408="","",最佳化斷筋點!P408)</f>
        <v/>
      </c>
      <c r="AO408" s="6" t="str">
        <f>IF(最佳化斷筋點!Q408="","",最佳化斷筋點!Q408)</f>
        <v/>
      </c>
      <c r="AP408" s="6" t="str">
        <f>IF(最佳化斷筋點!R408="","",最佳化斷筋點!R408)</f>
        <v/>
      </c>
      <c r="AQ408" s="6" t="str">
        <f>IF(最佳化斷筋點!S408="","",最佳化斷筋點!S408)</f>
        <v/>
      </c>
      <c r="AR408" s="6" t="str">
        <f>IF(最佳化斷筋點!T408="","",最佳化斷筋點!T408)</f>
        <v/>
      </c>
      <c r="AS408" s="6" t="str">
        <f>IF(最佳化斷筋點!U408="","",最佳化斷筋點!U408)</f>
        <v/>
      </c>
      <c r="AT408" s="6" t="str">
        <f>IF(最佳化斷筋點!V408="","",最佳化斷筋點!V408)</f>
        <v/>
      </c>
      <c r="AU408" s="6" t="str">
        <f>IF(最佳化斷筋點!W408="","",最佳化斷筋點!W408)</f>
        <v/>
      </c>
      <c r="AV408" s="6" t="str">
        <f>IF(最佳化斷筋點!X408="","",最佳化斷筋點!X408)</f>
        <v/>
      </c>
    </row>
    <row r="409" spans="4:71" x14ac:dyDescent="0.25">
      <c r="D409" s="6" t="s">
        <v>51</v>
      </c>
      <c r="E409" s="6">
        <f t="shared" si="127"/>
        <v>0</v>
      </c>
      <c r="F409" s="6">
        <f t="shared" si="128"/>
        <v>0</v>
      </c>
      <c r="G409" s="6">
        <f t="shared" si="129"/>
        <v>0</v>
      </c>
      <c r="H409" s="6">
        <f t="shared" si="130"/>
        <v>0</v>
      </c>
      <c r="I409" s="6">
        <f t="shared" si="131"/>
        <v>0</v>
      </c>
      <c r="J409" s="6">
        <f t="shared" si="132"/>
        <v>0</v>
      </c>
      <c r="K409" s="6">
        <f t="shared" si="133"/>
        <v>0</v>
      </c>
      <c r="L409" s="6">
        <f t="shared" si="134"/>
        <v>0</v>
      </c>
      <c r="M409" s="6">
        <f t="shared" si="135"/>
        <v>0</v>
      </c>
      <c r="N409" s="6">
        <f t="shared" si="136"/>
        <v>0</v>
      </c>
      <c r="O409" s="6">
        <f t="shared" si="137"/>
        <v>0</v>
      </c>
      <c r="P409" s="6">
        <f t="shared" si="138"/>
        <v>0</v>
      </c>
      <c r="Q409" s="6">
        <f t="shared" si="139"/>
        <v>0</v>
      </c>
      <c r="R409" s="6">
        <f t="shared" si="140"/>
        <v>0</v>
      </c>
      <c r="S409" s="6">
        <f t="shared" si="141"/>
        <v>0</v>
      </c>
      <c r="T409" s="6">
        <f t="shared" si="142"/>
        <v>0</v>
      </c>
      <c r="U409" s="6">
        <f t="shared" si="143"/>
        <v>0</v>
      </c>
      <c r="V409" s="6">
        <f t="shared" si="144"/>
        <v>0</v>
      </c>
      <c r="W409" s="6">
        <f t="shared" si="145"/>
        <v>0</v>
      </c>
      <c r="X409" s="6">
        <f t="shared" si="146"/>
        <v>0</v>
      </c>
      <c r="Y409" s="6">
        <f t="shared" si="147"/>
        <v>0</v>
      </c>
      <c r="AA409" s="6" t="str">
        <f>IF(最佳化斷筋點!C409="","",最佳化斷筋點!C409)</f>
        <v>下層</v>
      </c>
      <c r="AB409" s="6">
        <f>IF(最佳化斷筋點!D409="","",最佳化斷筋點!D409)</f>
        <v>4</v>
      </c>
      <c r="AC409" s="6">
        <f>IF(最佳化斷筋點!E409="","",最佳化斷筋點!E409)</f>
        <v>4</v>
      </c>
      <c r="AD409" s="6">
        <f>IF(最佳化斷筋點!F409="","",最佳化斷筋點!F409)</f>
        <v>4</v>
      </c>
      <c r="AE409" s="6">
        <f>IF(最佳化斷筋點!G409="","",最佳化斷筋點!G409)</f>
        <v>4</v>
      </c>
      <c r="AF409" s="6">
        <f>IF(最佳化斷筋點!H409="","",最佳化斷筋點!H409)</f>
        <v>5</v>
      </c>
      <c r="AG409" s="6">
        <f>IF(最佳化斷筋點!I409="","",最佳化斷筋點!I409)</f>
        <v>6</v>
      </c>
      <c r="AH409" s="6">
        <f>IF(最佳化斷筋點!J409="","",最佳化斷筋點!J409)</f>
        <v>6</v>
      </c>
      <c r="AI409" s="6">
        <f>IF(最佳化斷筋點!K409="","",最佳化斷筋點!K409)</f>
        <v>7</v>
      </c>
      <c r="AJ409" s="6">
        <f>IF(最佳化斷筋點!L409="","",最佳化斷筋點!L409)</f>
        <v>7</v>
      </c>
      <c r="AK409" s="6">
        <f>IF(最佳化斷筋點!M409="","",最佳化斷筋點!M409)</f>
        <v>7</v>
      </c>
      <c r="AL409" s="6">
        <f>IF(最佳化斷筋點!N409="","",最佳化斷筋點!N409)</f>
        <v>7</v>
      </c>
      <c r="AM409" s="6">
        <f>IF(最佳化斷筋點!O409="","",最佳化斷筋點!O409)</f>
        <v>7</v>
      </c>
      <c r="AN409" s="6">
        <f>IF(最佳化斷筋點!P409="","",最佳化斷筋點!P409)</f>
        <v>7</v>
      </c>
      <c r="AO409" s="6">
        <f>IF(最佳化斷筋點!Q409="","",最佳化斷筋點!Q409)</f>
        <v>7</v>
      </c>
      <c r="AP409" s="6">
        <f>IF(最佳化斷筋點!R409="","",最佳化斷筋點!R409)</f>
        <v>6</v>
      </c>
      <c r="AQ409" s="6">
        <f>IF(最佳化斷筋點!S409="","",最佳化斷筋點!S409)</f>
        <v>6</v>
      </c>
      <c r="AR409" s="6">
        <f>IF(最佳化斷筋點!T409="","",最佳化斷筋點!T409)</f>
        <v>5</v>
      </c>
      <c r="AS409" s="6">
        <f>IF(最佳化斷筋點!U409="","",最佳化斷筋點!U409)</f>
        <v>4</v>
      </c>
      <c r="AT409" s="6">
        <f>IF(最佳化斷筋點!V409="","",最佳化斷筋點!V409)</f>
        <v>4</v>
      </c>
      <c r="AU409" s="6">
        <f>IF(最佳化斷筋點!W409="","",最佳化斷筋點!W409)</f>
        <v>4</v>
      </c>
      <c r="AV409" s="6">
        <f>IF(最佳化斷筋點!X409="","",最佳化斷筋點!X409)</f>
        <v>4</v>
      </c>
      <c r="AX409" s="6" t="s">
        <v>51</v>
      </c>
      <c r="AY409" s="6">
        <v>4</v>
      </c>
      <c r="AZ409" s="6">
        <v>4</v>
      </c>
      <c r="BA409" s="6">
        <v>4</v>
      </c>
      <c r="BB409" s="6">
        <v>4</v>
      </c>
      <c r="BC409" s="6">
        <v>5</v>
      </c>
      <c r="BD409" s="6">
        <v>6</v>
      </c>
      <c r="BE409" s="6">
        <v>6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6</v>
      </c>
      <c r="BN409" s="6">
        <v>6</v>
      </c>
      <c r="BO409" s="6">
        <v>5</v>
      </c>
      <c r="BP409" s="6">
        <v>4</v>
      </c>
      <c r="BQ409" s="6">
        <v>4</v>
      </c>
      <c r="BR409" s="6">
        <v>4</v>
      </c>
      <c r="BS409" s="6">
        <v>4</v>
      </c>
    </row>
    <row r="410" spans="4:71" x14ac:dyDescent="0.25">
      <c r="E410" s="6">
        <f t="shared" si="127"/>
        <v>0</v>
      </c>
      <c r="F410" s="6">
        <f t="shared" si="128"/>
        <v>0</v>
      </c>
      <c r="G410" s="6">
        <f t="shared" si="129"/>
        <v>0</v>
      </c>
      <c r="H410" s="6">
        <f t="shared" si="130"/>
        <v>0</v>
      </c>
      <c r="I410" s="6">
        <f t="shared" si="131"/>
        <v>0</v>
      </c>
      <c r="J410" s="6">
        <f t="shared" si="132"/>
        <v>0</v>
      </c>
      <c r="K410" s="6">
        <f t="shared" si="133"/>
        <v>0</v>
      </c>
      <c r="L410" s="6">
        <f t="shared" si="134"/>
        <v>0</v>
      </c>
      <c r="M410" s="6">
        <f t="shared" si="135"/>
        <v>0</v>
      </c>
      <c r="N410" s="6">
        <f t="shared" si="136"/>
        <v>0</v>
      </c>
      <c r="O410" s="6">
        <f t="shared" si="137"/>
        <v>0</v>
      </c>
      <c r="P410" s="6">
        <f t="shared" si="138"/>
        <v>0</v>
      </c>
      <c r="Q410" s="6">
        <f t="shared" si="139"/>
        <v>0</v>
      </c>
      <c r="R410" s="6">
        <f t="shared" si="140"/>
        <v>0</v>
      </c>
      <c r="S410" s="6">
        <f t="shared" si="141"/>
        <v>0</v>
      </c>
      <c r="T410" s="6">
        <f t="shared" si="142"/>
        <v>0</v>
      </c>
      <c r="U410" s="6">
        <f t="shared" si="143"/>
        <v>0</v>
      </c>
      <c r="V410" s="6">
        <f t="shared" si="144"/>
        <v>0</v>
      </c>
      <c r="W410" s="6">
        <f t="shared" si="145"/>
        <v>0</v>
      </c>
      <c r="X410" s="6">
        <f t="shared" si="146"/>
        <v>0</v>
      </c>
      <c r="Y410" s="6">
        <f t="shared" si="147"/>
        <v>0</v>
      </c>
      <c r="AA410" s="6" t="str">
        <f>IF(最佳化斷筋點!C410="","",最佳化斷筋點!C410)</f>
        <v/>
      </c>
      <c r="AB410" s="6" t="str">
        <f>IF(最佳化斷筋點!D410="","",最佳化斷筋點!D410)</f>
        <v/>
      </c>
      <c r="AC410" s="6" t="str">
        <f>IF(最佳化斷筋點!E410="","",最佳化斷筋點!E410)</f>
        <v/>
      </c>
      <c r="AD410" s="6" t="str">
        <f>IF(最佳化斷筋點!F410="","",最佳化斷筋點!F410)</f>
        <v/>
      </c>
      <c r="AE410" s="6" t="str">
        <f>IF(最佳化斷筋點!G410="","",最佳化斷筋點!G410)</f>
        <v/>
      </c>
      <c r="AF410" s="6" t="str">
        <f>IF(最佳化斷筋點!H410="","",最佳化斷筋點!H410)</f>
        <v/>
      </c>
      <c r="AG410" s="6" t="str">
        <f>IF(最佳化斷筋點!I410="","",最佳化斷筋點!I410)</f>
        <v/>
      </c>
      <c r="AH410" s="6" t="str">
        <f>IF(最佳化斷筋點!J410="","",最佳化斷筋點!J410)</f>
        <v/>
      </c>
      <c r="AI410" s="6" t="str">
        <f>IF(最佳化斷筋點!K410="","",最佳化斷筋點!K410)</f>
        <v/>
      </c>
      <c r="AJ410" s="6" t="str">
        <f>IF(最佳化斷筋點!L410="","",最佳化斷筋點!L410)</f>
        <v/>
      </c>
      <c r="AK410" s="6" t="str">
        <f>IF(最佳化斷筋點!M410="","",最佳化斷筋點!M410)</f>
        <v/>
      </c>
      <c r="AL410" s="6" t="str">
        <f>IF(最佳化斷筋點!N410="","",最佳化斷筋點!N410)</f>
        <v/>
      </c>
      <c r="AM410" s="6" t="str">
        <f>IF(最佳化斷筋點!O410="","",最佳化斷筋點!O410)</f>
        <v/>
      </c>
      <c r="AN410" s="6" t="str">
        <f>IF(最佳化斷筋點!P410="","",最佳化斷筋點!P410)</f>
        <v/>
      </c>
      <c r="AO410" s="6" t="str">
        <f>IF(最佳化斷筋點!Q410="","",最佳化斷筋點!Q410)</f>
        <v/>
      </c>
      <c r="AP410" s="6" t="str">
        <f>IF(最佳化斷筋點!R410="","",最佳化斷筋點!R410)</f>
        <v/>
      </c>
      <c r="AQ410" s="6" t="str">
        <f>IF(最佳化斷筋點!S410="","",最佳化斷筋點!S410)</f>
        <v/>
      </c>
      <c r="AR410" s="6" t="str">
        <f>IF(最佳化斷筋點!T410="","",最佳化斷筋點!T410)</f>
        <v/>
      </c>
      <c r="AS410" s="6" t="str">
        <f>IF(最佳化斷筋點!U410="","",最佳化斷筋點!U410)</f>
        <v/>
      </c>
      <c r="AT410" s="6" t="str">
        <f>IF(最佳化斷筋點!V410="","",最佳化斷筋點!V410)</f>
        <v/>
      </c>
      <c r="AU410" s="6" t="str">
        <f>IF(最佳化斷筋點!W410="","",最佳化斷筋點!W410)</f>
        <v/>
      </c>
      <c r="AV410" s="6" t="str">
        <f>IF(最佳化斷筋點!X410="","",最佳化斷筋點!X410)</f>
        <v/>
      </c>
    </row>
    <row r="411" spans="4:71" x14ac:dyDescent="0.25">
      <c r="D411" s="6" t="s">
        <v>50</v>
      </c>
      <c r="E411" s="6">
        <f t="shared" si="127"/>
        <v>0</v>
      </c>
      <c r="F411" s="6">
        <f t="shared" si="128"/>
        <v>0</v>
      </c>
      <c r="G411" s="6">
        <f t="shared" si="129"/>
        <v>0</v>
      </c>
      <c r="H411" s="6">
        <f t="shared" si="130"/>
        <v>0</v>
      </c>
      <c r="I411" s="6">
        <f t="shared" si="131"/>
        <v>0</v>
      </c>
      <c r="J411" s="6">
        <f t="shared" si="132"/>
        <v>0</v>
      </c>
      <c r="K411" s="6">
        <f t="shared" si="133"/>
        <v>0</v>
      </c>
      <c r="L411" s="6">
        <f t="shared" si="134"/>
        <v>0</v>
      </c>
      <c r="M411" s="6">
        <f t="shared" si="135"/>
        <v>0</v>
      </c>
      <c r="N411" s="6">
        <f t="shared" si="136"/>
        <v>0</v>
      </c>
      <c r="O411" s="6">
        <f t="shared" si="137"/>
        <v>0</v>
      </c>
      <c r="P411" s="6">
        <f t="shared" si="138"/>
        <v>0</v>
      </c>
      <c r="Q411" s="6">
        <f t="shared" si="139"/>
        <v>0</v>
      </c>
      <c r="R411" s="6">
        <f t="shared" si="140"/>
        <v>0</v>
      </c>
      <c r="S411" s="6">
        <f t="shared" si="141"/>
        <v>0</v>
      </c>
      <c r="T411" s="6">
        <f t="shared" si="142"/>
        <v>0</v>
      </c>
      <c r="U411" s="6">
        <f t="shared" si="143"/>
        <v>0</v>
      </c>
      <c r="V411" s="6">
        <f t="shared" si="144"/>
        <v>0</v>
      </c>
      <c r="W411" s="6">
        <f t="shared" si="145"/>
        <v>0</v>
      </c>
      <c r="X411" s="6">
        <f t="shared" si="146"/>
        <v>0</v>
      </c>
      <c r="Y411" s="6">
        <f t="shared" si="147"/>
        <v>0</v>
      </c>
      <c r="AA411" s="6" t="str">
        <f>IF(最佳化斷筋點!C411="","",最佳化斷筋點!C411)</f>
        <v>上層</v>
      </c>
      <c r="AB411" s="6">
        <f>IF(最佳化斷筋點!D411="","",最佳化斷筋點!D411)</f>
        <v>8</v>
      </c>
      <c r="AC411" s="6">
        <f>IF(最佳化斷筋點!E411="","",最佳化斷筋點!E411)</f>
        <v>8</v>
      </c>
      <c r="AD411" s="6">
        <f>IF(最佳化斷筋點!F411="","",最佳化斷筋點!F411)</f>
        <v>7</v>
      </c>
      <c r="AE411" s="6">
        <f>IF(最佳化斷筋點!G411="","",最佳化斷筋點!G411)</f>
        <v>6</v>
      </c>
      <c r="AF411" s="6">
        <f>IF(最佳化斷筋點!H411="","",最佳化斷筋點!H411)</f>
        <v>5</v>
      </c>
      <c r="AG411" s="6">
        <f>IF(最佳化斷筋點!I411="","",最佳化斷筋點!I411)</f>
        <v>5</v>
      </c>
      <c r="AH411" s="6">
        <f>IF(最佳化斷筋點!J411="","",最佳化斷筋點!J411)</f>
        <v>4</v>
      </c>
      <c r="AI411" s="6">
        <f>IF(最佳化斷筋點!K411="","",最佳化斷筋點!K411)</f>
        <v>3</v>
      </c>
      <c r="AJ411" s="6">
        <f>IF(最佳化斷筋點!L411="","",最佳化斷筋點!L411)</f>
        <v>2</v>
      </c>
      <c r="AK411" s="6">
        <f>IF(最佳化斷筋點!M411="","",最佳化斷筋點!M411)</f>
        <v>2</v>
      </c>
      <c r="AL411" s="6">
        <f>IF(最佳化斷筋點!N411="","",最佳化斷筋點!N411)</f>
        <v>2</v>
      </c>
      <c r="AM411" s="6">
        <f>IF(最佳化斷筋點!O411="","",最佳化斷筋點!O411)</f>
        <v>2</v>
      </c>
      <c r="AN411" s="6">
        <f>IF(最佳化斷筋點!P411="","",最佳化斷筋點!P411)</f>
        <v>2</v>
      </c>
      <c r="AO411" s="6">
        <f>IF(最佳化斷筋點!Q411="","",最佳化斷筋點!Q411)</f>
        <v>2</v>
      </c>
      <c r="AP411" s="6">
        <f>IF(最佳化斷筋點!R411="","",最佳化斷筋點!R411)</f>
        <v>2</v>
      </c>
      <c r="AQ411" s="6">
        <f>IF(最佳化斷筋點!S411="","",最佳化斷筋點!S411)</f>
        <v>3</v>
      </c>
      <c r="AR411" s="6">
        <f>IF(最佳化斷筋點!T411="","",最佳化斷筋點!T411)</f>
        <v>3</v>
      </c>
      <c r="AS411" s="6">
        <f>IF(最佳化斷筋點!U411="","",最佳化斷筋點!U411)</f>
        <v>4</v>
      </c>
      <c r="AT411" s="6">
        <f>IF(最佳化斷筋點!V411="","",最佳化斷筋點!V411)</f>
        <v>4</v>
      </c>
      <c r="AU411" s="6">
        <f>IF(最佳化斷筋點!W411="","",最佳化斷筋點!W411)</f>
        <v>5</v>
      </c>
      <c r="AV411" s="6">
        <f>IF(最佳化斷筋點!X411="","",最佳化斷筋點!X411)</f>
        <v>5</v>
      </c>
      <c r="AX411" s="6" t="s">
        <v>50</v>
      </c>
      <c r="AY411" s="6">
        <v>8</v>
      </c>
      <c r="AZ411" s="6">
        <v>8</v>
      </c>
      <c r="BA411" s="6">
        <v>7</v>
      </c>
      <c r="BB411" s="6">
        <v>6</v>
      </c>
      <c r="BC411" s="6">
        <v>5</v>
      </c>
      <c r="BD411" s="6">
        <v>5</v>
      </c>
      <c r="BE411" s="6">
        <v>4</v>
      </c>
      <c r="BF411" s="6">
        <v>3</v>
      </c>
      <c r="BG411" s="6">
        <v>2</v>
      </c>
      <c r="BH411" s="6">
        <v>2</v>
      </c>
      <c r="BI411" s="6">
        <v>2</v>
      </c>
      <c r="BJ411" s="6">
        <v>2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</row>
    <row r="412" spans="4:71" x14ac:dyDescent="0.25">
      <c r="E412" s="6">
        <f t="shared" si="127"/>
        <v>0</v>
      </c>
      <c r="F412" s="6">
        <f t="shared" si="128"/>
        <v>0</v>
      </c>
      <c r="G412" s="6">
        <f t="shared" si="129"/>
        <v>0</v>
      </c>
      <c r="H412" s="6">
        <f t="shared" si="130"/>
        <v>0</v>
      </c>
      <c r="I412" s="6">
        <f t="shared" si="131"/>
        <v>0</v>
      </c>
      <c r="J412" s="6">
        <f t="shared" si="132"/>
        <v>0</v>
      </c>
      <c r="K412" s="6">
        <f t="shared" si="133"/>
        <v>0</v>
      </c>
      <c r="L412" s="6">
        <f t="shared" si="134"/>
        <v>0</v>
      </c>
      <c r="M412" s="6">
        <f t="shared" si="135"/>
        <v>0</v>
      </c>
      <c r="N412" s="6">
        <f t="shared" si="136"/>
        <v>0</v>
      </c>
      <c r="O412" s="6">
        <f t="shared" si="137"/>
        <v>0</v>
      </c>
      <c r="P412" s="6">
        <f t="shared" si="138"/>
        <v>0</v>
      </c>
      <c r="Q412" s="6">
        <f t="shared" si="139"/>
        <v>0</v>
      </c>
      <c r="R412" s="6">
        <f t="shared" si="140"/>
        <v>0</v>
      </c>
      <c r="S412" s="6">
        <f t="shared" si="141"/>
        <v>0</v>
      </c>
      <c r="T412" s="6">
        <f t="shared" si="142"/>
        <v>0</v>
      </c>
      <c r="U412" s="6">
        <f t="shared" si="143"/>
        <v>0</v>
      </c>
      <c r="V412" s="6">
        <f t="shared" si="144"/>
        <v>0</v>
      </c>
      <c r="W412" s="6">
        <f t="shared" si="145"/>
        <v>0</v>
      </c>
      <c r="X412" s="6">
        <f t="shared" si="146"/>
        <v>0</v>
      </c>
      <c r="Y412" s="6">
        <f t="shared" si="147"/>
        <v>0</v>
      </c>
      <c r="AA412" s="6" t="str">
        <f>IF(最佳化斷筋點!C412="","",最佳化斷筋點!C412)</f>
        <v/>
      </c>
      <c r="AB412" s="6" t="str">
        <f>IF(最佳化斷筋點!D412="","",最佳化斷筋點!D412)</f>
        <v/>
      </c>
      <c r="AC412" s="6" t="str">
        <f>IF(最佳化斷筋點!E412="","",最佳化斷筋點!E412)</f>
        <v/>
      </c>
      <c r="AD412" s="6" t="str">
        <f>IF(最佳化斷筋點!F412="","",最佳化斷筋點!F412)</f>
        <v/>
      </c>
      <c r="AE412" s="6" t="str">
        <f>IF(最佳化斷筋點!G412="","",最佳化斷筋點!G412)</f>
        <v/>
      </c>
      <c r="AF412" s="6" t="str">
        <f>IF(最佳化斷筋點!H412="","",最佳化斷筋點!H412)</f>
        <v/>
      </c>
      <c r="AG412" s="6" t="str">
        <f>IF(最佳化斷筋點!I412="","",最佳化斷筋點!I412)</f>
        <v/>
      </c>
      <c r="AH412" s="6" t="str">
        <f>IF(最佳化斷筋點!J412="","",最佳化斷筋點!J412)</f>
        <v/>
      </c>
      <c r="AI412" s="6" t="str">
        <f>IF(最佳化斷筋點!K412="","",最佳化斷筋點!K412)</f>
        <v/>
      </c>
      <c r="AJ412" s="6" t="str">
        <f>IF(最佳化斷筋點!L412="","",最佳化斷筋點!L412)</f>
        <v/>
      </c>
      <c r="AK412" s="6" t="str">
        <f>IF(最佳化斷筋點!M412="","",最佳化斷筋點!M412)</f>
        <v/>
      </c>
      <c r="AL412" s="6" t="str">
        <f>IF(最佳化斷筋點!N412="","",最佳化斷筋點!N412)</f>
        <v/>
      </c>
      <c r="AM412" s="6" t="str">
        <f>IF(最佳化斷筋點!O412="","",最佳化斷筋點!O412)</f>
        <v/>
      </c>
      <c r="AN412" s="6" t="str">
        <f>IF(最佳化斷筋點!P412="","",最佳化斷筋點!P412)</f>
        <v/>
      </c>
      <c r="AO412" s="6" t="str">
        <f>IF(最佳化斷筋點!Q412="","",最佳化斷筋點!Q412)</f>
        <v/>
      </c>
      <c r="AP412" s="6" t="str">
        <f>IF(最佳化斷筋點!R412="","",最佳化斷筋點!R412)</f>
        <v/>
      </c>
      <c r="AQ412" s="6" t="str">
        <f>IF(最佳化斷筋點!S412="","",最佳化斷筋點!S412)</f>
        <v/>
      </c>
      <c r="AR412" s="6" t="str">
        <f>IF(最佳化斷筋點!T412="","",最佳化斷筋點!T412)</f>
        <v/>
      </c>
      <c r="AS412" s="6" t="str">
        <f>IF(最佳化斷筋點!U412="","",最佳化斷筋點!U412)</f>
        <v/>
      </c>
      <c r="AT412" s="6" t="str">
        <f>IF(最佳化斷筋點!V412="","",最佳化斷筋點!V412)</f>
        <v/>
      </c>
      <c r="AU412" s="6" t="str">
        <f>IF(最佳化斷筋點!W412="","",最佳化斷筋點!W412)</f>
        <v/>
      </c>
      <c r="AV412" s="6" t="str">
        <f>IF(最佳化斷筋點!X412="","",最佳化斷筋點!X412)</f>
        <v/>
      </c>
    </row>
    <row r="413" spans="4:71" x14ac:dyDescent="0.25">
      <c r="D413" s="6" t="s">
        <v>51</v>
      </c>
      <c r="E413" s="6">
        <f t="shared" si="127"/>
        <v>0</v>
      </c>
      <c r="F413" s="6">
        <f t="shared" si="128"/>
        <v>0</v>
      </c>
      <c r="G413" s="6">
        <f t="shared" si="129"/>
        <v>0</v>
      </c>
      <c r="H413" s="6">
        <f t="shared" si="130"/>
        <v>0</v>
      </c>
      <c r="I413" s="6">
        <f t="shared" si="131"/>
        <v>0</v>
      </c>
      <c r="J413" s="6">
        <f t="shared" si="132"/>
        <v>0</v>
      </c>
      <c r="K413" s="6">
        <f t="shared" si="133"/>
        <v>0</v>
      </c>
      <c r="L413" s="6">
        <f t="shared" si="134"/>
        <v>0</v>
      </c>
      <c r="M413" s="6">
        <f t="shared" si="135"/>
        <v>0</v>
      </c>
      <c r="N413" s="6">
        <f t="shared" si="136"/>
        <v>0</v>
      </c>
      <c r="O413" s="6">
        <f t="shared" si="137"/>
        <v>0</v>
      </c>
      <c r="P413" s="6">
        <f t="shared" si="138"/>
        <v>0</v>
      </c>
      <c r="Q413" s="6">
        <f t="shared" si="139"/>
        <v>0</v>
      </c>
      <c r="R413" s="6">
        <f t="shared" si="140"/>
        <v>0</v>
      </c>
      <c r="S413" s="6">
        <f t="shared" si="141"/>
        <v>0</v>
      </c>
      <c r="T413" s="6">
        <f t="shared" si="142"/>
        <v>0</v>
      </c>
      <c r="U413" s="6">
        <f t="shared" si="143"/>
        <v>0</v>
      </c>
      <c r="V413" s="6">
        <f t="shared" si="144"/>
        <v>0</v>
      </c>
      <c r="W413" s="6">
        <f t="shared" si="145"/>
        <v>0</v>
      </c>
      <c r="X413" s="6">
        <f t="shared" si="146"/>
        <v>0</v>
      </c>
      <c r="Y413" s="6">
        <f t="shared" si="147"/>
        <v>0</v>
      </c>
      <c r="AA413" s="6" t="str">
        <f>IF(最佳化斷筋點!C413="","",最佳化斷筋點!C413)</f>
        <v>下層</v>
      </c>
      <c r="AB413" s="6">
        <f>IF(最佳化斷筋點!D413="","",最佳化斷筋點!D413)</f>
        <v>4</v>
      </c>
      <c r="AC413" s="6">
        <f>IF(最佳化斷筋點!E413="","",最佳化斷筋點!E413)</f>
        <v>4</v>
      </c>
      <c r="AD413" s="6">
        <f>IF(最佳化斷筋點!F413="","",最佳化斷筋點!F413)</f>
        <v>4</v>
      </c>
      <c r="AE413" s="6">
        <f>IF(最佳化斷筋點!G413="","",最佳化斷筋點!G413)</f>
        <v>4</v>
      </c>
      <c r="AF413" s="6">
        <f>IF(最佳化斷筋點!H413="","",最佳化斷筋點!H413)</f>
        <v>5</v>
      </c>
      <c r="AG413" s="6">
        <f>IF(最佳化斷筋點!I413="","",最佳化斷筋點!I413)</f>
        <v>6</v>
      </c>
      <c r="AH413" s="6">
        <f>IF(最佳化斷筋點!J413="","",最佳化斷筋點!J413)</f>
        <v>6</v>
      </c>
      <c r="AI413" s="6">
        <f>IF(最佳化斷筋點!K413="","",最佳化斷筋點!K413)</f>
        <v>7</v>
      </c>
      <c r="AJ413" s="6">
        <f>IF(最佳化斷筋點!L413="","",最佳化斷筋點!L413)</f>
        <v>7</v>
      </c>
      <c r="AK413" s="6">
        <f>IF(最佳化斷筋點!M413="","",最佳化斷筋點!M413)</f>
        <v>7</v>
      </c>
      <c r="AL413" s="6">
        <f>IF(最佳化斷筋點!N413="","",最佳化斷筋點!N413)</f>
        <v>7</v>
      </c>
      <c r="AM413" s="6">
        <f>IF(最佳化斷筋點!O413="","",最佳化斷筋點!O413)</f>
        <v>7</v>
      </c>
      <c r="AN413" s="6">
        <f>IF(最佳化斷筋點!P413="","",最佳化斷筋點!P413)</f>
        <v>7</v>
      </c>
      <c r="AO413" s="6">
        <f>IF(最佳化斷筋點!Q413="","",最佳化斷筋點!Q413)</f>
        <v>7</v>
      </c>
      <c r="AP413" s="6">
        <f>IF(最佳化斷筋點!R413="","",最佳化斷筋點!R413)</f>
        <v>6</v>
      </c>
      <c r="AQ413" s="6">
        <f>IF(最佳化斷筋點!S413="","",最佳化斷筋點!S413)</f>
        <v>6</v>
      </c>
      <c r="AR413" s="6">
        <f>IF(最佳化斷筋點!T413="","",最佳化斷筋點!T413)</f>
        <v>5</v>
      </c>
      <c r="AS413" s="6">
        <f>IF(最佳化斷筋點!U413="","",最佳化斷筋點!U413)</f>
        <v>4</v>
      </c>
      <c r="AT413" s="6">
        <f>IF(最佳化斷筋點!V413="","",最佳化斷筋點!V413)</f>
        <v>4</v>
      </c>
      <c r="AU413" s="6">
        <f>IF(最佳化斷筋點!W413="","",最佳化斷筋點!W413)</f>
        <v>5</v>
      </c>
      <c r="AV413" s="6">
        <f>IF(最佳化斷筋點!X413="","",最佳化斷筋點!X413)</f>
        <v>5</v>
      </c>
      <c r="AX413" s="6" t="s">
        <v>51</v>
      </c>
      <c r="AY413" s="6">
        <v>4</v>
      </c>
      <c r="AZ413" s="6">
        <v>4</v>
      </c>
      <c r="BA413" s="6">
        <v>4</v>
      </c>
      <c r="BB413" s="6">
        <v>4</v>
      </c>
      <c r="BC413" s="6">
        <v>5</v>
      </c>
      <c r="BD413" s="6">
        <v>6</v>
      </c>
      <c r="BE413" s="6">
        <v>6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6</v>
      </c>
      <c r="BN413" s="6">
        <v>6</v>
      </c>
      <c r="BO413" s="6">
        <v>5</v>
      </c>
      <c r="BP413" s="6">
        <v>4</v>
      </c>
      <c r="BQ413" s="6">
        <v>4</v>
      </c>
      <c r="BR413" s="6">
        <v>5</v>
      </c>
      <c r="BS413" s="6">
        <v>5</v>
      </c>
    </row>
    <row r="414" spans="4:71" x14ac:dyDescent="0.25">
      <c r="E414" s="6">
        <f t="shared" si="127"/>
        <v>0</v>
      </c>
      <c r="F414" s="6">
        <f t="shared" si="128"/>
        <v>0</v>
      </c>
      <c r="G414" s="6">
        <f t="shared" si="129"/>
        <v>0</v>
      </c>
      <c r="H414" s="6">
        <f t="shared" si="130"/>
        <v>0</v>
      </c>
      <c r="I414" s="6">
        <f t="shared" si="131"/>
        <v>0</v>
      </c>
      <c r="J414" s="6">
        <f t="shared" si="132"/>
        <v>0</v>
      </c>
      <c r="K414" s="6">
        <f t="shared" si="133"/>
        <v>0</v>
      </c>
      <c r="L414" s="6">
        <f t="shared" si="134"/>
        <v>0</v>
      </c>
      <c r="M414" s="6">
        <f t="shared" si="135"/>
        <v>0</v>
      </c>
      <c r="N414" s="6">
        <f t="shared" si="136"/>
        <v>0</v>
      </c>
      <c r="O414" s="6">
        <f t="shared" si="137"/>
        <v>0</v>
      </c>
      <c r="P414" s="6">
        <f t="shared" si="138"/>
        <v>0</v>
      </c>
      <c r="Q414" s="6">
        <f t="shared" si="139"/>
        <v>0</v>
      </c>
      <c r="R414" s="6">
        <f t="shared" si="140"/>
        <v>0</v>
      </c>
      <c r="S414" s="6">
        <f t="shared" si="141"/>
        <v>0</v>
      </c>
      <c r="T414" s="6">
        <f t="shared" si="142"/>
        <v>0</v>
      </c>
      <c r="U414" s="6">
        <f t="shared" si="143"/>
        <v>0</v>
      </c>
      <c r="V414" s="6">
        <f t="shared" si="144"/>
        <v>0</v>
      </c>
      <c r="W414" s="6">
        <f t="shared" si="145"/>
        <v>0</v>
      </c>
      <c r="X414" s="6">
        <f t="shared" si="146"/>
        <v>0</v>
      </c>
      <c r="Y414" s="6">
        <f t="shared" si="147"/>
        <v>0</v>
      </c>
      <c r="AA414" s="6" t="str">
        <f>IF(最佳化斷筋點!C414="","",最佳化斷筋點!C414)</f>
        <v/>
      </c>
      <c r="AB414" s="6" t="str">
        <f>IF(最佳化斷筋點!D414="","",最佳化斷筋點!D414)</f>
        <v/>
      </c>
      <c r="AC414" s="6" t="str">
        <f>IF(最佳化斷筋點!E414="","",最佳化斷筋點!E414)</f>
        <v/>
      </c>
      <c r="AD414" s="6" t="str">
        <f>IF(最佳化斷筋點!F414="","",最佳化斷筋點!F414)</f>
        <v/>
      </c>
      <c r="AE414" s="6" t="str">
        <f>IF(最佳化斷筋點!G414="","",最佳化斷筋點!G414)</f>
        <v/>
      </c>
      <c r="AF414" s="6" t="str">
        <f>IF(最佳化斷筋點!H414="","",最佳化斷筋點!H414)</f>
        <v/>
      </c>
      <c r="AG414" s="6" t="str">
        <f>IF(最佳化斷筋點!I414="","",最佳化斷筋點!I414)</f>
        <v/>
      </c>
      <c r="AH414" s="6" t="str">
        <f>IF(最佳化斷筋點!J414="","",最佳化斷筋點!J414)</f>
        <v/>
      </c>
      <c r="AI414" s="6" t="str">
        <f>IF(最佳化斷筋點!K414="","",最佳化斷筋點!K414)</f>
        <v/>
      </c>
      <c r="AJ414" s="6" t="str">
        <f>IF(最佳化斷筋點!L414="","",最佳化斷筋點!L414)</f>
        <v/>
      </c>
      <c r="AK414" s="6" t="str">
        <f>IF(最佳化斷筋點!M414="","",最佳化斷筋點!M414)</f>
        <v/>
      </c>
      <c r="AL414" s="6" t="str">
        <f>IF(最佳化斷筋點!N414="","",最佳化斷筋點!N414)</f>
        <v/>
      </c>
      <c r="AM414" s="6" t="str">
        <f>IF(最佳化斷筋點!O414="","",最佳化斷筋點!O414)</f>
        <v/>
      </c>
      <c r="AN414" s="6" t="str">
        <f>IF(最佳化斷筋點!P414="","",最佳化斷筋點!P414)</f>
        <v/>
      </c>
      <c r="AO414" s="6" t="str">
        <f>IF(最佳化斷筋點!Q414="","",最佳化斷筋點!Q414)</f>
        <v/>
      </c>
      <c r="AP414" s="6" t="str">
        <f>IF(最佳化斷筋點!R414="","",最佳化斷筋點!R414)</f>
        <v/>
      </c>
      <c r="AQ414" s="6" t="str">
        <f>IF(最佳化斷筋點!S414="","",最佳化斷筋點!S414)</f>
        <v/>
      </c>
      <c r="AR414" s="6" t="str">
        <f>IF(最佳化斷筋點!T414="","",最佳化斷筋點!T414)</f>
        <v/>
      </c>
      <c r="AS414" s="6" t="str">
        <f>IF(最佳化斷筋點!U414="","",最佳化斷筋點!U414)</f>
        <v/>
      </c>
      <c r="AT414" s="6" t="str">
        <f>IF(最佳化斷筋點!V414="","",最佳化斷筋點!V414)</f>
        <v/>
      </c>
      <c r="AU414" s="6" t="str">
        <f>IF(最佳化斷筋點!W414="","",最佳化斷筋點!W414)</f>
        <v/>
      </c>
      <c r="AV414" s="6" t="str">
        <f>IF(最佳化斷筋點!X414="","",最佳化斷筋點!X414)</f>
        <v/>
      </c>
    </row>
    <row r="415" spans="4:71" x14ac:dyDescent="0.25">
      <c r="D415" s="6" t="s">
        <v>50</v>
      </c>
      <c r="E415" s="6">
        <f t="shared" si="127"/>
        <v>0</v>
      </c>
      <c r="F415" s="6">
        <f t="shared" si="128"/>
        <v>0</v>
      </c>
      <c r="G415" s="6">
        <f t="shared" si="129"/>
        <v>0</v>
      </c>
      <c r="H415" s="6">
        <f t="shared" si="130"/>
        <v>0</v>
      </c>
      <c r="I415" s="6">
        <f t="shared" si="131"/>
        <v>0</v>
      </c>
      <c r="J415" s="6">
        <f t="shared" si="132"/>
        <v>0</v>
      </c>
      <c r="K415" s="6">
        <f t="shared" si="133"/>
        <v>0</v>
      </c>
      <c r="L415" s="6">
        <f t="shared" si="134"/>
        <v>0</v>
      </c>
      <c r="M415" s="6">
        <f t="shared" si="135"/>
        <v>0</v>
      </c>
      <c r="N415" s="6">
        <f t="shared" si="136"/>
        <v>0</v>
      </c>
      <c r="O415" s="6">
        <f t="shared" si="137"/>
        <v>0</v>
      </c>
      <c r="P415" s="6">
        <f t="shared" si="138"/>
        <v>0</v>
      </c>
      <c r="Q415" s="6">
        <f t="shared" si="139"/>
        <v>0</v>
      </c>
      <c r="R415" s="6">
        <f t="shared" si="140"/>
        <v>0</v>
      </c>
      <c r="S415" s="6">
        <f t="shared" si="141"/>
        <v>0</v>
      </c>
      <c r="T415" s="6">
        <f t="shared" si="142"/>
        <v>0</v>
      </c>
      <c r="U415" s="6">
        <f t="shared" si="143"/>
        <v>0</v>
      </c>
      <c r="V415" s="6">
        <f t="shared" si="144"/>
        <v>0</v>
      </c>
      <c r="W415" s="6">
        <f t="shared" si="145"/>
        <v>0</v>
      </c>
      <c r="X415" s="6">
        <f t="shared" si="146"/>
        <v>0</v>
      </c>
      <c r="Y415" s="6">
        <f t="shared" si="147"/>
        <v>0</v>
      </c>
      <c r="AA415" s="6" t="str">
        <f>IF(最佳化斷筋點!C415="","",最佳化斷筋點!C415)</f>
        <v>上層</v>
      </c>
      <c r="AB415" s="6">
        <f>IF(最佳化斷筋點!D415="","",最佳化斷筋點!D415)</f>
        <v>4</v>
      </c>
      <c r="AC415" s="6">
        <f>IF(最佳化斷筋點!E415="","",最佳化斷筋點!E415)</f>
        <v>4</v>
      </c>
      <c r="AD415" s="6">
        <f>IF(最佳化斷筋點!F415="","",最佳化斷筋點!F415)</f>
        <v>4</v>
      </c>
      <c r="AE415" s="6">
        <f>IF(最佳化斷筋點!G415="","",最佳化斷筋點!G415)</f>
        <v>3</v>
      </c>
      <c r="AF415" s="6">
        <f>IF(最佳化斷筋點!H415="","",最佳化斷筋點!H415)</f>
        <v>3</v>
      </c>
      <c r="AG415" s="6">
        <f>IF(最佳化斷筋點!I415="","",最佳化斷筋點!I415)</f>
        <v>3</v>
      </c>
      <c r="AH415" s="6">
        <f>IF(最佳化斷筋點!J415="","",最佳化斷筋點!J415)</f>
        <v>2</v>
      </c>
      <c r="AI415" s="6">
        <f>IF(最佳化斷筋點!K415="","",最佳化斷筋點!K415)</f>
        <v>2</v>
      </c>
      <c r="AJ415" s="6">
        <f>IF(最佳化斷筋點!L415="","",最佳化斷筋點!L415)</f>
        <v>2</v>
      </c>
      <c r="AK415" s="6">
        <f>IF(最佳化斷筋點!M415="","",最佳化斷筋點!M415)</f>
        <v>2</v>
      </c>
      <c r="AL415" s="6">
        <f>IF(最佳化斷筋點!N415="","",最佳化斷筋點!N415)</f>
        <v>2</v>
      </c>
      <c r="AM415" s="6">
        <f>IF(最佳化斷筋點!O415="","",最佳化斷筋點!O415)</f>
        <v>2</v>
      </c>
      <c r="AN415" s="6">
        <f>IF(最佳化斷筋點!P415="","",最佳化斷筋點!P415)</f>
        <v>3</v>
      </c>
      <c r="AO415" s="6">
        <f>IF(最佳化斷筋點!Q415="","",最佳化斷筋點!Q415)</f>
        <v>4</v>
      </c>
      <c r="AP415" s="6">
        <f>IF(最佳化斷筋點!R415="","",最佳化斷筋點!R415)</f>
        <v>5</v>
      </c>
      <c r="AQ415" s="6">
        <f>IF(最佳化斷筋點!S415="","",最佳化斷筋點!S415)</f>
        <v>6</v>
      </c>
      <c r="AR415" s="6">
        <f>IF(最佳化斷筋點!T415="","",最佳化斷筋點!T415)</f>
        <v>8</v>
      </c>
      <c r="AS415" s="6">
        <f>IF(最佳化斷筋點!U415="","",最佳化斷筋點!U415)</f>
        <v>9</v>
      </c>
      <c r="AT415" s="6">
        <f>IF(最佳化斷筋點!V415="","",最佳化斷筋點!V415)</f>
        <v>10</v>
      </c>
      <c r="AU415" s="6">
        <f>IF(最佳化斷筋點!W415="","",最佳化斷筋點!W415)</f>
        <v>11</v>
      </c>
      <c r="AV415" s="6">
        <f>IF(最佳化斷筋點!X415="","",最佳化斷筋點!X415)</f>
        <v>12</v>
      </c>
      <c r="AX415" s="6" t="s">
        <v>50</v>
      </c>
      <c r="AY415" s="6">
        <v>4</v>
      </c>
      <c r="AZ415" s="6">
        <v>4</v>
      </c>
      <c r="BA415" s="6">
        <v>4</v>
      </c>
      <c r="BB415" s="6">
        <v>3</v>
      </c>
      <c r="BC415" s="6">
        <v>3</v>
      </c>
      <c r="BD415" s="6">
        <v>3</v>
      </c>
      <c r="BE415" s="6">
        <v>2</v>
      </c>
      <c r="BF415" s="6">
        <v>2</v>
      </c>
      <c r="BG415" s="6">
        <v>2</v>
      </c>
      <c r="BH415" s="6">
        <v>2</v>
      </c>
      <c r="BI415" s="6">
        <v>2</v>
      </c>
      <c r="BJ415" s="6">
        <v>2</v>
      </c>
      <c r="BK415" s="6">
        <v>3</v>
      </c>
      <c r="BL415" s="6">
        <v>4</v>
      </c>
      <c r="BM415" s="6">
        <v>5</v>
      </c>
      <c r="BN415" s="6">
        <v>6</v>
      </c>
      <c r="BO415" s="6">
        <v>8</v>
      </c>
      <c r="BP415" s="6">
        <v>9</v>
      </c>
      <c r="BQ415" s="6">
        <v>10</v>
      </c>
      <c r="BR415" s="6">
        <v>11</v>
      </c>
      <c r="BS415" s="6">
        <v>12</v>
      </c>
    </row>
    <row r="416" spans="4:71" x14ac:dyDescent="0.25">
      <c r="E416" s="6">
        <f t="shared" si="127"/>
        <v>0</v>
      </c>
      <c r="F416" s="6">
        <f t="shared" si="128"/>
        <v>0</v>
      </c>
      <c r="G416" s="6">
        <f t="shared" si="129"/>
        <v>0</v>
      </c>
      <c r="H416" s="6">
        <f t="shared" si="130"/>
        <v>0</v>
      </c>
      <c r="I416" s="6">
        <f t="shared" si="131"/>
        <v>0</v>
      </c>
      <c r="J416" s="6">
        <f t="shared" si="132"/>
        <v>0</v>
      </c>
      <c r="K416" s="6">
        <f t="shared" si="133"/>
        <v>0</v>
      </c>
      <c r="L416" s="6">
        <f t="shared" si="134"/>
        <v>0</v>
      </c>
      <c r="M416" s="6">
        <f t="shared" si="135"/>
        <v>0</v>
      </c>
      <c r="N416" s="6">
        <f t="shared" si="136"/>
        <v>0</v>
      </c>
      <c r="O416" s="6">
        <f t="shared" si="137"/>
        <v>0</v>
      </c>
      <c r="P416" s="6">
        <f t="shared" si="138"/>
        <v>0</v>
      </c>
      <c r="Q416" s="6">
        <f t="shared" si="139"/>
        <v>0</v>
      </c>
      <c r="R416" s="6">
        <f t="shared" si="140"/>
        <v>0</v>
      </c>
      <c r="S416" s="6">
        <f t="shared" si="141"/>
        <v>0</v>
      </c>
      <c r="T416" s="6">
        <f t="shared" si="142"/>
        <v>0</v>
      </c>
      <c r="U416" s="6">
        <f t="shared" si="143"/>
        <v>0</v>
      </c>
      <c r="V416" s="6">
        <f t="shared" si="144"/>
        <v>0</v>
      </c>
      <c r="W416" s="6">
        <f t="shared" si="145"/>
        <v>0</v>
      </c>
      <c r="X416" s="6">
        <f t="shared" si="146"/>
        <v>0</v>
      </c>
      <c r="Y416" s="6">
        <f t="shared" si="147"/>
        <v>0</v>
      </c>
      <c r="AA416" s="6" t="str">
        <f>IF(最佳化斷筋點!C416="","",最佳化斷筋點!C416)</f>
        <v/>
      </c>
      <c r="AB416" s="6" t="str">
        <f>IF(最佳化斷筋點!D416="","",最佳化斷筋點!D416)</f>
        <v/>
      </c>
      <c r="AC416" s="6" t="str">
        <f>IF(最佳化斷筋點!E416="","",最佳化斷筋點!E416)</f>
        <v/>
      </c>
      <c r="AD416" s="6" t="str">
        <f>IF(最佳化斷筋點!F416="","",最佳化斷筋點!F416)</f>
        <v/>
      </c>
      <c r="AE416" s="6" t="str">
        <f>IF(最佳化斷筋點!G416="","",最佳化斷筋點!G416)</f>
        <v/>
      </c>
      <c r="AF416" s="6" t="str">
        <f>IF(最佳化斷筋點!H416="","",最佳化斷筋點!H416)</f>
        <v/>
      </c>
      <c r="AG416" s="6" t="str">
        <f>IF(最佳化斷筋點!I416="","",最佳化斷筋點!I416)</f>
        <v/>
      </c>
      <c r="AH416" s="6" t="str">
        <f>IF(最佳化斷筋點!J416="","",最佳化斷筋點!J416)</f>
        <v/>
      </c>
      <c r="AI416" s="6" t="str">
        <f>IF(最佳化斷筋點!K416="","",最佳化斷筋點!K416)</f>
        <v/>
      </c>
      <c r="AJ416" s="6" t="str">
        <f>IF(最佳化斷筋點!L416="","",最佳化斷筋點!L416)</f>
        <v/>
      </c>
      <c r="AK416" s="6" t="str">
        <f>IF(最佳化斷筋點!M416="","",最佳化斷筋點!M416)</f>
        <v/>
      </c>
      <c r="AL416" s="6" t="str">
        <f>IF(最佳化斷筋點!N416="","",最佳化斷筋點!N416)</f>
        <v/>
      </c>
      <c r="AM416" s="6" t="str">
        <f>IF(最佳化斷筋點!O416="","",最佳化斷筋點!O416)</f>
        <v/>
      </c>
      <c r="AN416" s="6" t="str">
        <f>IF(最佳化斷筋點!P416="","",最佳化斷筋點!P416)</f>
        <v/>
      </c>
      <c r="AO416" s="6" t="str">
        <f>IF(最佳化斷筋點!Q416="","",最佳化斷筋點!Q416)</f>
        <v/>
      </c>
      <c r="AP416" s="6" t="str">
        <f>IF(最佳化斷筋點!R416="","",最佳化斷筋點!R416)</f>
        <v/>
      </c>
      <c r="AQ416" s="6" t="str">
        <f>IF(最佳化斷筋點!S416="","",最佳化斷筋點!S416)</f>
        <v/>
      </c>
      <c r="AR416" s="6" t="str">
        <f>IF(最佳化斷筋點!T416="","",最佳化斷筋點!T416)</f>
        <v/>
      </c>
      <c r="AS416" s="6" t="str">
        <f>IF(最佳化斷筋點!U416="","",最佳化斷筋點!U416)</f>
        <v/>
      </c>
      <c r="AT416" s="6" t="str">
        <f>IF(最佳化斷筋點!V416="","",最佳化斷筋點!V416)</f>
        <v/>
      </c>
      <c r="AU416" s="6" t="str">
        <f>IF(最佳化斷筋點!W416="","",最佳化斷筋點!W416)</f>
        <v/>
      </c>
      <c r="AV416" s="6" t="str">
        <f>IF(最佳化斷筋點!X416="","",最佳化斷筋點!X416)</f>
        <v/>
      </c>
    </row>
    <row r="417" spans="4:71" x14ac:dyDescent="0.25">
      <c r="D417" s="6" t="s">
        <v>51</v>
      </c>
      <c r="E417" s="6">
        <f t="shared" si="127"/>
        <v>0</v>
      </c>
      <c r="F417" s="6">
        <f t="shared" si="128"/>
        <v>0</v>
      </c>
      <c r="G417" s="6">
        <f t="shared" si="129"/>
        <v>0</v>
      </c>
      <c r="H417" s="6">
        <f t="shared" si="130"/>
        <v>0</v>
      </c>
      <c r="I417" s="6">
        <f t="shared" si="131"/>
        <v>0</v>
      </c>
      <c r="J417" s="6">
        <f t="shared" si="132"/>
        <v>0</v>
      </c>
      <c r="K417" s="6">
        <f t="shared" si="133"/>
        <v>0</v>
      </c>
      <c r="L417" s="6">
        <f t="shared" si="134"/>
        <v>0</v>
      </c>
      <c r="M417" s="6">
        <f t="shared" si="135"/>
        <v>0</v>
      </c>
      <c r="N417" s="6">
        <f t="shared" si="136"/>
        <v>0</v>
      </c>
      <c r="O417" s="6">
        <f t="shared" si="137"/>
        <v>0</v>
      </c>
      <c r="P417" s="6">
        <f t="shared" si="138"/>
        <v>0</v>
      </c>
      <c r="Q417" s="6">
        <f t="shared" si="139"/>
        <v>0</v>
      </c>
      <c r="R417" s="6">
        <f t="shared" si="140"/>
        <v>0</v>
      </c>
      <c r="S417" s="6">
        <f t="shared" si="141"/>
        <v>0</v>
      </c>
      <c r="T417" s="6">
        <f t="shared" si="142"/>
        <v>0</v>
      </c>
      <c r="U417" s="6">
        <f t="shared" si="143"/>
        <v>0</v>
      </c>
      <c r="V417" s="6">
        <f t="shared" si="144"/>
        <v>0</v>
      </c>
      <c r="W417" s="6">
        <f t="shared" si="145"/>
        <v>0</v>
      </c>
      <c r="X417" s="6">
        <f t="shared" si="146"/>
        <v>0</v>
      </c>
      <c r="Y417" s="6">
        <f t="shared" si="147"/>
        <v>0</v>
      </c>
      <c r="AA417" s="6" t="str">
        <f>IF(最佳化斷筋點!C417="","",最佳化斷筋點!C417)</f>
        <v>下層</v>
      </c>
      <c r="AB417" s="6">
        <f>IF(最佳化斷筋點!D417="","",最佳化斷筋點!D417)</f>
        <v>5</v>
      </c>
      <c r="AC417" s="6">
        <f>IF(最佳化斷筋點!E417="","",最佳化斷筋點!E417)</f>
        <v>5</v>
      </c>
      <c r="AD417" s="6">
        <f>IF(最佳化斷筋點!F417="","",最佳化斷筋點!F417)</f>
        <v>4</v>
      </c>
      <c r="AE417" s="6">
        <f>IF(最佳化斷筋點!G417="","",最佳化斷筋點!G417)</f>
        <v>5</v>
      </c>
      <c r="AF417" s="6">
        <f>IF(最佳化斷筋點!H417="","",最佳化斷筋點!H417)</f>
        <v>6</v>
      </c>
      <c r="AG417" s="6">
        <f>IF(最佳化斷筋點!I417="","",最佳化斷筋點!I417)</f>
        <v>7</v>
      </c>
      <c r="AH417" s="6">
        <f>IF(最佳化斷筋點!J417="","",最佳化斷筋點!J417)</f>
        <v>8</v>
      </c>
      <c r="AI417" s="6">
        <f>IF(最佳化斷筋點!K417="","",最佳化斷筋點!K417)</f>
        <v>9</v>
      </c>
      <c r="AJ417" s="6">
        <f>IF(最佳化斷筋點!L417="","",最佳化斷筋點!L417)</f>
        <v>9</v>
      </c>
      <c r="AK417" s="6">
        <f>IF(最佳化斷筋點!M417="","",最佳化斷筋點!M417)</f>
        <v>9</v>
      </c>
      <c r="AL417" s="6">
        <f>IF(最佳化斷筋點!N417="","",最佳化斷筋點!N417)</f>
        <v>9</v>
      </c>
      <c r="AM417" s="6">
        <f>IF(最佳化斷筋點!O417="","",最佳化斷筋點!O417)</f>
        <v>9</v>
      </c>
      <c r="AN417" s="6">
        <f>IF(最佳化斷筋點!P417="","",最佳化斷筋點!P417)</f>
        <v>9</v>
      </c>
      <c r="AO417" s="6">
        <f>IF(最佳化斷筋點!Q417="","",最佳化斷筋點!Q417)</f>
        <v>9</v>
      </c>
      <c r="AP417" s="6">
        <f>IF(最佳化斷筋點!R417="","",最佳化斷筋點!R417)</f>
        <v>8</v>
      </c>
      <c r="AQ417" s="6">
        <f>IF(最佳化斷筋點!S417="","",最佳化斷筋點!S417)</f>
        <v>7</v>
      </c>
      <c r="AR417" s="6">
        <f>IF(最佳化斷筋點!T417="","",最佳化斷筋點!T417)</f>
        <v>6</v>
      </c>
      <c r="AS417" s="6">
        <f>IF(最佳化斷筋點!U417="","",最佳化斷筋點!U417)</f>
        <v>5</v>
      </c>
      <c r="AT417" s="6">
        <f>IF(最佳化斷筋點!V417="","",最佳化斷筋點!V417)</f>
        <v>4</v>
      </c>
      <c r="AU417" s="6">
        <f>IF(最佳化斷筋點!W417="","",最佳化斷筋點!W417)</f>
        <v>3</v>
      </c>
      <c r="AV417" s="6">
        <f>IF(最佳化斷筋點!X417="","",最佳化斷筋點!X417)</f>
        <v>3</v>
      </c>
      <c r="AX417" s="6" t="s">
        <v>51</v>
      </c>
      <c r="AY417" s="6">
        <v>5</v>
      </c>
      <c r="AZ417" s="6">
        <v>5</v>
      </c>
      <c r="BA417" s="6">
        <v>4</v>
      </c>
      <c r="BB417" s="6">
        <v>5</v>
      </c>
      <c r="BC417" s="6">
        <v>6</v>
      </c>
      <c r="BD417" s="6">
        <v>7</v>
      </c>
      <c r="BE417" s="6">
        <v>8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8</v>
      </c>
      <c r="BN417" s="6">
        <v>7</v>
      </c>
      <c r="BO417" s="6">
        <v>6</v>
      </c>
      <c r="BP417" s="6">
        <v>5</v>
      </c>
      <c r="BQ417" s="6">
        <v>4</v>
      </c>
      <c r="BR417" s="6">
        <v>3</v>
      </c>
      <c r="BS417" s="6">
        <v>3</v>
      </c>
    </row>
    <row r="418" spans="4:71" x14ac:dyDescent="0.25">
      <c r="E418" s="6">
        <f t="shared" si="127"/>
        <v>0</v>
      </c>
      <c r="F418" s="6">
        <f t="shared" si="128"/>
        <v>0</v>
      </c>
      <c r="G418" s="6">
        <f t="shared" si="129"/>
        <v>0</v>
      </c>
      <c r="H418" s="6">
        <f t="shared" si="130"/>
        <v>0</v>
      </c>
      <c r="I418" s="6">
        <f t="shared" si="131"/>
        <v>0</v>
      </c>
      <c r="J418" s="6">
        <f t="shared" si="132"/>
        <v>0</v>
      </c>
      <c r="K418" s="6">
        <f t="shared" si="133"/>
        <v>0</v>
      </c>
      <c r="L418" s="6">
        <f t="shared" si="134"/>
        <v>0</v>
      </c>
      <c r="M418" s="6">
        <f t="shared" si="135"/>
        <v>0</v>
      </c>
      <c r="N418" s="6">
        <f t="shared" si="136"/>
        <v>0</v>
      </c>
      <c r="O418" s="6">
        <f t="shared" si="137"/>
        <v>0</v>
      </c>
      <c r="P418" s="6">
        <f t="shared" si="138"/>
        <v>0</v>
      </c>
      <c r="Q418" s="6">
        <f t="shared" si="139"/>
        <v>0</v>
      </c>
      <c r="R418" s="6">
        <f t="shared" si="140"/>
        <v>0</v>
      </c>
      <c r="S418" s="6">
        <f t="shared" si="141"/>
        <v>0</v>
      </c>
      <c r="T418" s="6">
        <f t="shared" si="142"/>
        <v>0</v>
      </c>
      <c r="U418" s="6">
        <f t="shared" si="143"/>
        <v>0</v>
      </c>
      <c r="V418" s="6">
        <f t="shared" si="144"/>
        <v>0</v>
      </c>
      <c r="W418" s="6">
        <f t="shared" si="145"/>
        <v>0</v>
      </c>
      <c r="X418" s="6">
        <f t="shared" si="146"/>
        <v>0</v>
      </c>
      <c r="Y418" s="6">
        <f t="shared" si="147"/>
        <v>0</v>
      </c>
      <c r="AA418" s="6" t="str">
        <f>IF(最佳化斷筋點!C418="","",最佳化斷筋點!C418)</f>
        <v/>
      </c>
      <c r="AB418" s="6" t="str">
        <f>IF(最佳化斷筋點!D418="","",最佳化斷筋點!D418)</f>
        <v/>
      </c>
      <c r="AC418" s="6" t="str">
        <f>IF(最佳化斷筋點!E418="","",最佳化斷筋點!E418)</f>
        <v/>
      </c>
      <c r="AD418" s="6" t="str">
        <f>IF(最佳化斷筋點!F418="","",最佳化斷筋點!F418)</f>
        <v/>
      </c>
      <c r="AE418" s="6" t="str">
        <f>IF(最佳化斷筋點!G418="","",最佳化斷筋點!G418)</f>
        <v/>
      </c>
      <c r="AF418" s="6" t="str">
        <f>IF(最佳化斷筋點!H418="","",最佳化斷筋點!H418)</f>
        <v/>
      </c>
      <c r="AG418" s="6" t="str">
        <f>IF(最佳化斷筋點!I418="","",最佳化斷筋點!I418)</f>
        <v/>
      </c>
      <c r="AH418" s="6" t="str">
        <f>IF(最佳化斷筋點!J418="","",最佳化斷筋點!J418)</f>
        <v/>
      </c>
      <c r="AI418" s="6" t="str">
        <f>IF(最佳化斷筋點!K418="","",最佳化斷筋點!K418)</f>
        <v/>
      </c>
      <c r="AJ418" s="6" t="str">
        <f>IF(最佳化斷筋點!L418="","",最佳化斷筋點!L418)</f>
        <v/>
      </c>
      <c r="AK418" s="6" t="str">
        <f>IF(最佳化斷筋點!M418="","",最佳化斷筋點!M418)</f>
        <v/>
      </c>
      <c r="AL418" s="6" t="str">
        <f>IF(最佳化斷筋點!N418="","",最佳化斷筋點!N418)</f>
        <v/>
      </c>
      <c r="AM418" s="6" t="str">
        <f>IF(最佳化斷筋點!O418="","",最佳化斷筋點!O418)</f>
        <v/>
      </c>
      <c r="AN418" s="6" t="str">
        <f>IF(最佳化斷筋點!P418="","",最佳化斷筋點!P418)</f>
        <v/>
      </c>
      <c r="AO418" s="6" t="str">
        <f>IF(最佳化斷筋點!Q418="","",最佳化斷筋點!Q418)</f>
        <v/>
      </c>
      <c r="AP418" s="6" t="str">
        <f>IF(最佳化斷筋點!R418="","",最佳化斷筋點!R418)</f>
        <v/>
      </c>
      <c r="AQ418" s="6" t="str">
        <f>IF(最佳化斷筋點!S418="","",最佳化斷筋點!S418)</f>
        <v/>
      </c>
      <c r="AR418" s="6" t="str">
        <f>IF(最佳化斷筋點!T418="","",最佳化斷筋點!T418)</f>
        <v/>
      </c>
      <c r="AS418" s="6" t="str">
        <f>IF(最佳化斷筋點!U418="","",最佳化斷筋點!U418)</f>
        <v/>
      </c>
      <c r="AT418" s="6" t="str">
        <f>IF(最佳化斷筋點!V418="","",最佳化斷筋點!V418)</f>
        <v/>
      </c>
      <c r="AU418" s="6" t="str">
        <f>IF(最佳化斷筋點!W418="","",最佳化斷筋點!W418)</f>
        <v/>
      </c>
      <c r="AV418" s="6" t="str">
        <f>IF(最佳化斷筋點!X418="","",最佳化斷筋點!X418)</f>
        <v/>
      </c>
    </row>
    <row r="419" spans="4:71" x14ac:dyDescent="0.25">
      <c r="D419" s="6" t="s">
        <v>50</v>
      </c>
      <c r="E419" s="6">
        <f t="shared" si="127"/>
        <v>0</v>
      </c>
      <c r="F419" s="6">
        <f t="shared" si="128"/>
        <v>0</v>
      </c>
      <c r="G419" s="6">
        <f t="shared" si="129"/>
        <v>0</v>
      </c>
      <c r="H419" s="6">
        <f t="shared" si="130"/>
        <v>0</v>
      </c>
      <c r="I419" s="6">
        <f t="shared" si="131"/>
        <v>0</v>
      </c>
      <c r="J419" s="6">
        <f t="shared" si="132"/>
        <v>0</v>
      </c>
      <c r="K419" s="6">
        <f t="shared" si="133"/>
        <v>0</v>
      </c>
      <c r="L419" s="6">
        <f t="shared" si="134"/>
        <v>0</v>
      </c>
      <c r="M419" s="6">
        <f t="shared" si="135"/>
        <v>0</v>
      </c>
      <c r="N419" s="6">
        <f t="shared" si="136"/>
        <v>0</v>
      </c>
      <c r="O419" s="6">
        <f t="shared" si="137"/>
        <v>0</v>
      </c>
      <c r="P419" s="6">
        <f t="shared" si="138"/>
        <v>0</v>
      </c>
      <c r="Q419" s="6">
        <f t="shared" si="139"/>
        <v>0</v>
      </c>
      <c r="R419" s="6">
        <f t="shared" si="140"/>
        <v>0</v>
      </c>
      <c r="S419" s="6">
        <f t="shared" si="141"/>
        <v>0</v>
      </c>
      <c r="T419" s="6">
        <f t="shared" si="142"/>
        <v>0</v>
      </c>
      <c r="U419" s="6">
        <f t="shared" si="143"/>
        <v>0</v>
      </c>
      <c r="V419" s="6">
        <f t="shared" si="144"/>
        <v>0</v>
      </c>
      <c r="W419" s="6">
        <f t="shared" si="145"/>
        <v>0</v>
      </c>
      <c r="X419" s="6">
        <f t="shared" si="146"/>
        <v>0</v>
      </c>
      <c r="Y419" s="6">
        <f t="shared" si="147"/>
        <v>0</v>
      </c>
      <c r="AA419" s="6" t="str">
        <f>IF(最佳化斷筋點!C419="","",最佳化斷筋點!C419)</f>
        <v>上層</v>
      </c>
      <c r="AB419" s="6">
        <f>IF(最佳化斷筋點!D419="","",最佳化斷筋點!D419)</f>
        <v>2</v>
      </c>
      <c r="AC419" s="6">
        <f>IF(最佳化斷筋點!E419="","",最佳化斷筋點!E419)</f>
        <v>2</v>
      </c>
      <c r="AD419" s="6">
        <f>IF(最佳化斷筋點!F419="","",最佳化斷筋點!F419)</f>
        <v>2</v>
      </c>
      <c r="AE419" s="6">
        <f>IF(最佳化斷筋點!G419="","",最佳化斷筋點!G419)</f>
        <v>2</v>
      </c>
      <c r="AF419" s="6">
        <f>IF(最佳化斷筋點!H419="","",最佳化斷筋點!H419)</f>
        <v>2</v>
      </c>
      <c r="AG419" s="6">
        <f>IF(最佳化斷筋點!I419="","",最佳化斷筋點!I419)</f>
        <v>2</v>
      </c>
      <c r="AH419" s="6">
        <f>IF(最佳化斷筋點!J419="","",最佳化斷筋點!J419)</f>
        <v>2</v>
      </c>
      <c r="AI419" s="6">
        <f>IF(最佳化斷筋點!K419="","",最佳化斷筋點!K419)</f>
        <v>2</v>
      </c>
      <c r="AJ419" s="6">
        <f>IF(最佳化斷筋點!L419="","",最佳化斷筋點!L419)</f>
        <v>2</v>
      </c>
      <c r="AK419" s="6">
        <f>IF(最佳化斷筋點!M419="","",最佳化斷筋點!M419)</f>
        <v>2</v>
      </c>
      <c r="AL419" s="6">
        <f>IF(最佳化斷筋點!N419="","",最佳化斷筋點!N419)</f>
        <v>2</v>
      </c>
      <c r="AM419" s="6">
        <f>IF(最佳化斷筋點!O419="","",最佳化斷筋點!O419)</f>
        <v>2</v>
      </c>
      <c r="AN419" s="6">
        <f>IF(最佳化斷筋點!P419="","",最佳化斷筋點!P419)</f>
        <v>2</v>
      </c>
      <c r="AO419" s="6">
        <f>IF(最佳化斷筋點!Q419="","",最佳化斷筋點!Q419)</f>
        <v>4</v>
      </c>
      <c r="AP419" s="6">
        <f>IF(最佳化斷筋點!R419="","",最佳化斷筋點!R419)</f>
        <v>4</v>
      </c>
      <c r="AQ419" s="6">
        <f>IF(最佳化斷筋點!S419="","",最佳化斷筋點!S419)</f>
        <v>5</v>
      </c>
      <c r="AR419" s="6">
        <f>IF(最佳化斷筋點!T419="","",最佳化斷筋點!T419)</f>
        <v>6</v>
      </c>
      <c r="AS419" s="6">
        <f>IF(最佳化斷筋點!U419="","",最佳化斷筋點!U419)</f>
        <v>7</v>
      </c>
      <c r="AT419" s="6">
        <f>IF(最佳化斷筋點!V419="","",最佳化斷筋點!V419)</f>
        <v>8</v>
      </c>
      <c r="AU419" s="6">
        <f>IF(最佳化斷筋點!W419="","",最佳化斷筋點!W419)</f>
        <v>9</v>
      </c>
      <c r="AV419" s="6">
        <f>IF(最佳化斷筋點!X419="","",最佳化斷筋點!X419)</f>
        <v>10</v>
      </c>
      <c r="AX419" s="6" t="s">
        <v>50</v>
      </c>
      <c r="AY419" s="6">
        <v>2</v>
      </c>
      <c r="AZ419" s="6">
        <v>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</row>
    <row r="420" spans="4:71" x14ac:dyDescent="0.25">
      <c r="E420" s="6">
        <f t="shared" si="127"/>
        <v>0</v>
      </c>
      <c r="F420" s="6">
        <f t="shared" si="128"/>
        <v>0</v>
      </c>
      <c r="G420" s="6">
        <f t="shared" si="129"/>
        <v>0</v>
      </c>
      <c r="H420" s="6">
        <f t="shared" si="130"/>
        <v>0</v>
      </c>
      <c r="I420" s="6">
        <f t="shared" si="131"/>
        <v>0</v>
      </c>
      <c r="J420" s="6">
        <f t="shared" si="132"/>
        <v>0</v>
      </c>
      <c r="K420" s="6">
        <f t="shared" si="133"/>
        <v>0</v>
      </c>
      <c r="L420" s="6">
        <f t="shared" si="134"/>
        <v>0</v>
      </c>
      <c r="M420" s="6">
        <f t="shared" si="135"/>
        <v>0</v>
      </c>
      <c r="N420" s="6">
        <f t="shared" si="136"/>
        <v>0</v>
      </c>
      <c r="O420" s="6">
        <f t="shared" si="137"/>
        <v>0</v>
      </c>
      <c r="P420" s="6">
        <f t="shared" si="138"/>
        <v>0</v>
      </c>
      <c r="Q420" s="6">
        <f t="shared" si="139"/>
        <v>0</v>
      </c>
      <c r="R420" s="6">
        <f t="shared" si="140"/>
        <v>0</v>
      </c>
      <c r="S420" s="6">
        <f t="shared" si="141"/>
        <v>0</v>
      </c>
      <c r="T420" s="6">
        <f t="shared" si="142"/>
        <v>0</v>
      </c>
      <c r="U420" s="6">
        <f t="shared" si="143"/>
        <v>0</v>
      </c>
      <c r="V420" s="6">
        <f t="shared" si="144"/>
        <v>0</v>
      </c>
      <c r="W420" s="6">
        <f t="shared" si="145"/>
        <v>0</v>
      </c>
      <c r="X420" s="6">
        <f t="shared" si="146"/>
        <v>0</v>
      </c>
      <c r="Y420" s="6">
        <f t="shared" si="147"/>
        <v>0</v>
      </c>
      <c r="AA420" s="6" t="str">
        <f>IF(最佳化斷筋點!C420="","",最佳化斷筋點!C420)</f>
        <v/>
      </c>
      <c r="AB420" s="6" t="str">
        <f>IF(最佳化斷筋點!D420="","",最佳化斷筋點!D420)</f>
        <v/>
      </c>
      <c r="AC420" s="6" t="str">
        <f>IF(最佳化斷筋點!E420="","",最佳化斷筋點!E420)</f>
        <v/>
      </c>
      <c r="AD420" s="6" t="str">
        <f>IF(最佳化斷筋點!F420="","",最佳化斷筋點!F420)</f>
        <v/>
      </c>
      <c r="AE420" s="6" t="str">
        <f>IF(最佳化斷筋點!G420="","",最佳化斷筋點!G420)</f>
        <v/>
      </c>
      <c r="AF420" s="6" t="str">
        <f>IF(最佳化斷筋點!H420="","",最佳化斷筋點!H420)</f>
        <v/>
      </c>
      <c r="AG420" s="6" t="str">
        <f>IF(最佳化斷筋點!I420="","",最佳化斷筋點!I420)</f>
        <v/>
      </c>
      <c r="AH420" s="6" t="str">
        <f>IF(最佳化斷筋點!J420="","",最佳化斷筋點!J420)</f>
        <v/>
      </c>
      <c r="AI420" s="6" t="str">
        <f>IF(最佳化斷筋點!K420="","",最佳化斷筋點!K420)</f>
        <v/>
      </c>
      <c r="AJ420" s="6" t="str">
        <f>IF(最佳化斷筋點!L420="","",最佳化斷筋點!L420)</f>
        <v/>
      </c>
      <c r="AK420" s="6" t="str">
        <f>IF(最佳化斷筋點!M420="","",最佳化斷筋點!M420)</f>
        <v/>
      </c>
      <c r="AL420" s="6" t="str">
        <f>IF(最佳化斷筋點!N420="","",最佳化斷筋點!N420)</f>
        <v/>
      </c>
      <c r="AM420" s="6" t="str">
        <f>IF(最佳化斷筋點!O420="","",最佳化斷筋點!O420)</f>
        <v/>
      </c>
      <c r="AN420" s="6" t="str">
        <f>IF(最佳化斷筋點!P420="","",最佳化斷筋點!P420)</f>
        <v/>
      </c>
      <c r="AO420" s="6" t="str">
        <f>IF(最佳化斷筋點!Q420="","",最佳化斷筋點!Q420)</f>
        <v/>
      </c>
      <c r="AP420" s="6" t="str">
        <f>IF(最佳化斷筋點!R420="","",最佳化斷筋點!R420)</f>
        <v/>
      </c>
      <c r="AQ420" s="6" t="str">
        <f>IF(最佳化斷筋點!S420="","",最佳化斷筋點!S420)</f>
        <v/>
      </c>
      <c r="AR420" s="6" t="str">
        <f>IF(最佳化斷筋點!T420="","",最佳化斷筋點!T420)</f>
        <v/>
      </c>
      <c r="AS420" s="6" t="str">
        <f>IF(最佳化斷筋點!U420="","",最佳化斷筋點!U420)</f>
        <v/>
      </c>
      <c r="AT420" s="6" t="str">
        <f>IF(最佳化斷筋點!V420="","",最佳化斷筋點!V420)</f>
        <v/>
      </c>
      <c r="AU420" s="6" t="str">
        <f>IF(最佳化斷筋點!W420="","",最佳化斷筋點!W420)</f>
        <v/>
      </c>
      <c r="AV420" s="6" t="str">
        <f>IF(最佳化斷筋點!X420="","",最佳化斷筋點!X420)</f>
        <v/>
      </c>
    </row>
    <row r="421" spans="4:71" x14ac:dyDescent="0.25">
      <c r="D421" s="6" t="s">
        <v>51</v>
      </c>
      <c r="E421" s="6">
        <f t="shared" si="127"/>
        <v>0</v>
      </c>
      <c r="F421" s="6">
        <f t="shared" si="128"/>
        <v>0</v>
      </c>
      <c r="G421" s="6">
        <f t="shared" si="129"/>
        <v>0</v>
      </c>
      <c r="H421" s="6">
        <f t="shared" si="130"/>
        <v>0</v>
      </c>
      <c r="I421" s="6">
        <f t="shared" si="131"/>
        <v>0</v>
      </c>
      <c r="J421" s="6">
        <f t="shared" si="132"/>
        <v>0</v>
      </c>
      <c r="K421" s="6">
        <f t="shared" si="133"/>
        <v>0</v>
      </c>
      <c r="L421" s="6">
        <f t="shared" si="134"/>
        <v>0</v>
      </c>
      <c r="M421" s="6">
        <f t="shared" si="135"/>
        <v>0</v>
      </c>
      <c r="N421" s="6">
        <f t="shared" si="136"/>
        <v>0</v>
      </c>
      <c r="O421" s="6">
        <f t="shared" si="137"/>
        <v>0</v>
      </c>
      <c r="P421" s="6">
        <f t="shared" si="138"/>
        <v>0</v>
      </c>
      <c r="Q421" s="6">
        <f t="shared" si="139"/>
        <v>0</v>
      </c>
      <c r="R421" s="6">
        <f t="shared" si="140"/>
        <v>0</v>
      </c>
      <c r="S421" s="6">
        <f t="shared" si="141"/>
        <v>0</v>
      </c>
      <c r="T421" s="6">
        <f t="shared" si="142"/>
        <v>0</v>
      </c>
      <c r="U421" s="6">
        <f t="shared" si="143"/>
        <v>0</v>
      </c>
      <c r="V421" s="6">
        <f t="shared" si="144"/>
        <v>0</v>
      </c>
      <c r="W421" s="6">
        <f t="shared" si="145"/>
        <v>0</v>
      </c>
      <c r="X421" s="6">
        <f t="shared" si="146"/>
        <v>0</v>
      </c>
      <c r="Y421" s="6">
        <f t="shared" si="147"/>
        <v>0</v>
      </c>
      <c r="AA421" s="6" t="str">
        <f>IF(最佳化斷筋點!C421="","",最佳化斷筋點!C421)</f>
        <v>下層</v>
      </c>
      <c r="AB421" s="6">
        <f>IF(最佳化斷筋點!D421="","",最佳化斷筋點!D421)</f>
        <v>6</v>
      </c>
      <c r="AC421" s="6">
        <f>IF(最佳化斷筋點!E421="","",最佳化斷筋點!E421)</f>
        <v>6</v>
      </c>
      <c r="AD421" s="6">
        <f>IF(最佳化斷筋點!F421="","",最佳化斷筋點!F421)</f>
        <v>5</v>
      </c>
      <c r="AE421" s="6">
        <f>IF(最佳化斷筋點!G421="","",最佳化斷筋點!G421)</f>
        <v>5</v>
      </c>
      <c r="AF421" s="6">
        <f>IF(最佳化斷筋點!H421="","",最佳化斷筋點!H421)</f>
        <v>5</v>
      </c>
      <c r="AG421" s="6">
        <f>IF(最佳化斷筋點!I421="","",最佳化斷筋點!I421)</f>
        <v>6</v>
      </c>
      <c r="AH421" s="6">
        <f>IF(最佳化斷筋點!J421="","",最佳化斷筋點!J421)</f>
        <v>6</v>
      </c>
      <c r="AI421" s="6">
        <f>IF(最佳化斷筋點!K421="","",最佳化斷筋點!K421)</f>
        <v>7</v>
      </c>
      <c r="AJ421" s="6">
        <f>IF(最佳化斷筋點!L421="","",最佳化斷筋點!L421)</f>
        <v>7</v>
      </c>
      <c r="AK421" s="6">
        <f>IF(最佳化斷筋點!M421="","",最佳化斷筋點!M421)</f>
        <v>7</v>
      </c>
      <c r="AL421" s="6">
        <f>IF(最佳化斷筋點!N421="","",最佳化斷筋點!N421)</f>
        <v>7</v>
      </c>
      <c r="AM421" s="6">
        <f>IF(最佳化斷筋點!O421="","",最佳化斷筋點!O421)</f>
        <v>7</v>
      </c>
      <c r="AN421" s="6">
        <f>IF(最佳化斷筋點!P421="","",最佳化斷筋點!P421)</f>
        <v>7</v>
      </c>
      <c r="AO421" s="6">
        <f>IF(最佳化斷筋點!Q421="","",最佳化斷筋點!Q421)</f>
        <v>7</v>
      </c>
      <c r="AP421" s="6">
        <f>IF(最佳化斷筋點!R421="","",最佳化斷筋點!R421)</f>
        <v>6</v>
      </c>
      <c r="AQ421" s="6">
        <f>IF(最佳化斷筋點!S421="","",最佳化斷筋點!S421)</f>
        <v>6</v>
      </c>
      <c r="AR421" s="6">
        <f>IF(最佳化斷筋點!T421="","",最佳化斷筋點!T421)</f>
        <v>5</v>
      </c>
      <c r="AS421" s="6">
        <f>IF(最佳化斷筋點!U421="","",最佳化斷筋點!U421)</f>
        <v>5</v>
      </c>
      <c r="AT421" s="6">
        <f>IF(最佳化斷筋點!V421="","",最佳化斷筋點!V421)</f>
        <v>6</v>
      </c>
      <c r="AU421" s="6">
        <f>IF(最佳化斷筋點!W421="","",最佳化斷筋點!W421)</f>
        <v>7</v>
      </c>
      <c r="AV421" s="6">
        <f>IF(最佳化斷筋點!X421="","",最佳化斷筋點!X421)</f>
        <v>7</v>
      </c>
      <c r="AX421" s="6" t="s">
        <v>51</v>
      </c>
      <c r="AY421" s="6">
        <v>6</v>
      </c>
      <c r="AZ421" s="6">
        <v>6</v>
      </c>
      <c r="BA421" s="6">
        <v>5</v>
      </c>
      <c r="BB421" s="6">
        <v>5</v>
      </c>
      <c r="BC421" s="6">
        <v>5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6</v>
      </c>
      <c r="BN421" s="6">
        <v>6</v>
      </c>
      <c r="BO421" s="6">
        <v>5</v>
      </c>
      <c r="BP421" s="6">
        <v>5</v>
      </c>
      <c r="BQ421" s="6">
        <v>6</v>
      </c>
      <c r="BR421" s="6">
        <v>7</v>
      </c>
      <c r="BS421" s="6">
        <v>7</v>
      </c>
    </row>
    <row r="422" spans="4:71" x14ac:dyDescent="0.25">
      <c r="E422" s="6">
        <f t="shared" si="127"/>
        <v>0</v>
      </c>
      <c r="F422" s="6">
        <f t="shared" si="128"/>
        <v>0</v>
      </c>
      <c r="G422" s="6">
        <f t="shared" si="129"/>
        <v>0</v>
      </c>
      <c r="H422" s="6">
        <f t="shared" si="130"/>
        <v>0</v>
      </c>
      <c r="I422" s="6">
        <f t="shared" si="131"/>
        <v>0</v>
      </c>
      <c r="J422" s="6">
        <f t="shared" si="132"/>
        <v>0</v>
      </c>
      <c r="K422" s="6">
        <f t="shared" si="133"/>
        <v>0</v>
      </c>
      <c r="L422" s="6">
        <f t="shared" si="134"/>
        <v>0</v>
      </c>
      <c r="M422" s="6">
        <f t="shared" si="135"/>
        <v>0</v>
      </c>
      <c r="N422" s="6">
        <f t="shared" si="136"/>
        <v>0</v>
      </c>
      <c r="O422" s="6">
        <f t="shared" si="137"/>
        <v>0</v>
      </c>
      <c r="P422" s="6">
        <f t="shared" si="138"/>
        <v>0</v>
      </c>
      <c r="Q422" s="6">
        <f t="shared" si="139"/>
        <v>0</v>
      </c>
      <c r="R422" s="6">
        <f t="shared" si="140"/>
        <v>0</v>
      </c>
      <c r="S422" s="6">
        <f t="shared" si="141"/>
        <v>0</v>
      </c>
      <c r="T422" s="6">
        <f t="shared" si="142"/>
        <v>0</v>
      </c>
      <c r="U422" s="6">
        <f t="shared" si="143"/>
        <v>0</v>
      </c>
      <c r="V422" s="6">
        <f t="shared" si="144"/>
        <v>0</v>
      </c>
      <c r="W422" s="6">
        <f t="shared" si="145"/>
        <v>0</v>
      </c>
      <c r="X422" s="6">
        <f t="shared" si="146"/>
        <v>0</v>
      </c>
      <c r="Y422" s="6">
        <f t="shared" si="147"/>
        <v>0</v>
      </c>
      <c r="AA422" s="6" t="str">
        <f>IF(最佳化斷筋點!C422="","",最佳化斷筋點!C422)</f>
        <v/>
      </c>
      <c r="AB422" s="6" t="str">
        <f>IF(最佳化斷筋點!D422="","",最佳化斷筋點!D422)</f>
        <v/>
      </c>
      <c r="AC422" s="6" t="str">
        <f>IF(最佳化斷筋點!E422="","",最佳化斷筋點!E422)</f>
        <v/>
      </c>
      <c r="AD422" s="6" t="str">
        <f>IF(最佳化斷筋點!F422="","",最佳化斷筋點!F422)</f>
        <v/>
      </c>
      <c r="AE422" s="6" t="str">
        <f>IF(最佳化斷筋點!G422="","",最佳化斷筋點!G422)</f>
        <v/>
      </c>
      <c r="AF422" s="6" t="str">
        <f>IF(最佳化斷筋點!H422="","",最佳化斷筋點!H422)</f>
        <v/>
      </c>
      <c r="AG422" s="6" t="str">
        <f>IF(最佳化斷筋點!I422="","",最佳化斷筋點!I422)</f>
        <v/>
      </c>
      <c r="AH422" s="6" t="str">
        <f>IF(最佳化斷筋點!J422="","",最佳化斷筋點!J422)</f>
        <v/>
      </c>
      <c r="AI422" s="6" t="str">
        <f>IF(最佳化斷筋點!K422="","",最佳化斷筋點!K422)</f>
        <v/>
      </c>
      <c r="AJ422" s="6" t="str">
        <f>IF(最佳化斷筋點!L422="","",最佳化斷筋點!L422)</f>
        <v/>
      </c>
      <c r="AK422" s="6" t="str">
        <f>IF(最佳化斷筋點!M422="","",最佳化斷筋點!M422)</f>
        <v/>
      </c>
      <c r="AL422" s="6" t="str">
        <f>IF(最佳化斷筋點!N422="","",最佳化斷筋點!N422)</f>
        <v/>
      </c>
      <c r="AM422" s="6" t="str">
        <f>IF(最佳化斷筋點!O422="","",最佳化斷筋點!O422)</f>
        <v/>
      </c>
      <c r="AN422" s="6" t="str">
        <f>IF(最佳化斷筋點!P422="","",最佳化斷筋點!P422)</f>
        <v/>
      </c>
      <c r="AO422" s="6" t="str">
        <f>IF(最佳化斷筋點!Q422="","",最佳化斷筋點!Q422)</f>
        <v/>
      </c>
      <c r="AP422" s="6" t="str">
        <f>IF(最佳化斷筋點!R422="","",最佳化斷筋點!R422)</f>
        <v/>
      </c>
      <c r="AQ422" s="6" t="str">
        <f>IF(最佳化斷筋點!S422="","",最佳化斷筋點!S422)</f>
        <v/>
      </c>
      <c r="AR422" s="6" t="str">
        <f>IF(最佳化斷筋點!T422="","",最佳化斷筋點!T422)</f>
        <v/>
      </c>
      <c r="AS422" s="6" t="str">
        <f>IF(最佳化斷筋點!U422="","",最佳化斷筋點!U422)</f>
        <v/>
      </c>
      <c r="AT422" s="6" t="str">
        <f>IF(最佳化斷筋點!V422="","",最佳化斷筋點!V422)</f>
        <v/>
      </c>
      <c r="AU422" s="6" t="str">
        <f>IF(最佳化斷筋點!W422="","",最佳化斷筋點!W422)</f>
        <v/>
      </c>
      <c r="AV422" s="6" t="str">
        <f>IF(最佳化斷筋點!X422="","",最佳化斷筋點!X422)</f>
        <v/>
      </c>
    </row>
    <row r="423" spans="4:71" x14ac:dyDescent="0.25">
      <c r="D423" s="6" t="s">
        <v>50</v>
      </c>
      <c r="E423" s="6">
        <f t="shared" si="127"/>
        <v>0</v>
      </c>
      <c r="F423" s="6">
        <f t="shared" si="128"/>
        <v>0</v>
      </c>
      <c r="G423" s="6">
        <f t="shared" si="129"/>
        <v>0</v>
      </c>
      <c r="H423" s="6">
        <f t="shared" si="130"/>
        <v>0</v>
      </c>
      <c r="I423" s="6">
        <f t="shared" si="131"/>
        <v>0</v>
      </c>
      <c r="J423" s="6">
        <f t="shared" si="132"/>
        <v>0</v>
      </c>
      <c r="K423" s="6">
        <f t="shared" si="133"/>
        <v>0</v>
      </c>
      <c r="L423" s="6">
        <f t="shared" si="134"/>
        <v>0</v>
      </c>
      <c r="M423" s="6">
        <f t="shared" si="135"/>
        <v>0</v>
      </c>
      <c r="N423" s="6">
        <f t="shared" si="136"/>
        <v>0</v>
      </c>
      <c r="O423" s="6">
        <f t="shared" si="137"/>
        <v>0</v>
      </c>
      <c r="P423" s="6">
        <f t="shared" si="138"/>
        <v>0</v>
      </c>
      <c r="Q423" s="6">
        <f t="shared" si="139"/>
        <v>0</v>
      </c>
      <c r="R423" s="6">
        <f t="shared" si="140"/>
        <v>0</v>
      </c>
      <c r="S423" s="6">
        <f t="shared" si="141"/>
        <v>0</v>
      </c>
      <c r="T423" s="6">
        <f t="shared" si="142"/>
        <v>0</v>
      </c>
      <c r="U423" s="6">
        <f t="shared" si="143"/>
        <v>0</v>
      </c>
      <c r="V423" s="6">
        <f t="shared" si="144"/>
        <v>0</v>
      </c>
      <c r="W423" s="6">
        <f t="shared" si="145"/>
        <v>0</v>
      </c>
      <c r="X423" s="6">
        <f t="shared" si="146"/>
        <v>0</v>
      </c>
      <c r="Y423" s="6">
        <f t="shared" si="147"/>
        <v>0</v>
      </c>
      <c r="AA423" s="6" t="str">
        <f>IF(最佳化斷筋點!C423="","",最佳化斷筋點!C423)</f>
        <v>上層</v>
      </c>
      <c r="AB423" s="6">
        <f>IF(最佳化斷筋點!D423="","",最佳化斷筋點!D423)</f>
        <v>10</v>
      </c>
      <c r="AC423" s="6">
        <f>IF(最佳化斷筋點!E423="","",最佳化斷筋點!E423)</f>
        <v>9</v>
      </c>
      <c r="AD423" s="6">
        <f>IF(最佳化斷筋點!F423="","",最佳化斷筋點!F423)</f>
        <v>8</v>
      </c>
      <c r="AE423" s="6">
        <f>IF(最佳化斷筋點!G423="","",最佳化斷筋點!G423)</f>
        <v>8</v>
      </c>
      <c r="AF423" s="6">
        <f>IF(最佳化斷筋點!H423="","",最佳化斷筋點!H423)</f>
        <v>7</v>
      </c>
      <c r="AG423" s="6">
        <f>IF(最佳化斷筋點!I423="","",最佳化斷筋點!I423)</f>
        <v>6</v>
      </c>
      <c r="AH423" s="6">
        <f>IF(最佳化斷筋點!J423="","",最佳化斷筋點!J423)</f>
        <v>5</v>
      </c>
      <c r="AI423" s="6">
        <f>IF(最佳化斷筋點!K423="","",最佳化斷筋點!K423)</f>
        <v>4</v>
      </c>
      <c r="AJ423" s="6">
        <f>IF(最佳化斷筋點!L423="","",最佳化斷筋點!L423)</f>
        <v>3</v>
      </c>
      <c r="AK423" s="6">
        <f>IF(最佳化斷筋點!M423="","",最佳化斷筋點!M423)</f>
        <v>2</v>
      </c>
      <c r="AL423" s="6">
        <f>IF(最佳化斷筋點!N423="","",最佳化斷筋點!N423)</f>
        <v>2</v>
      </c>
      <c r="AM423" s="6">
        <f>IF(最佳化斷筋點!O423="","",最佳化斷筋點!O423)</f>
        <v>2</v>
      </c>
      <c r="AN423" s="6">
        <f>IF(最佳化斷筋點!P423="","",最佳化斷筋點!P423)</f>
        <v>2</v>
      </c>
      <c r="AO423" s="6">
        <f>IF(最佳化斷筋點!Q423="","",最佳化斷筋點!Q423)</f>
        <v>4</v>
      </c>
      <c r="AP423" s="6">
        <f>IF(最佳化斷筋點!R423="","",最佳化斷筋點!R423)</f>
        <v>4</v>
      </c>
      <c r="AQ423" s="6">
        <f>IF(最佳化斷筋點!S423="","",最佳化斷筋點!S423)</f>
        <v>5</v>
      </c>
      <c r="AR423" s="6">
        <f>IF(最佳化斷筋點!T423="","",最佳化斷筋點!T423)</f>
        <v>6</v>
      </c>
      <c r="AS423" s="6">
        <f>IF(最佳化斷筋點!U423="","",最佳化斷筋點!U423)</f>
        <v>7</v>
      </c>
      <c r="AT423" s="6">
        <f>IF(最佳化斷筋點!V423="","",最佳化斷筋點!V423)</f>
        <v>8</v>
      </c>
      <c r="AU423" s="6">
        <f>IF(最佳化斷筋點!W423="","",最佳化斷筋點!W423)</f>
        <v>9</v>
      </c>
      <c r="AV423" s="6">
        <f>IF(最佳化斷筋點!X423="","",最佳化斷筋點!X423)</f>
        <v>10</v>
      </c>
      <c r="AX423" s="6" t="s">
        <v>50</v>
      </c>
      <c r="AY423" s="6">
        <v>10</v>
      </c>
      <c r="AZ423" s="6">
        <v>9</v>
      </c>
      <c r="BA423" s="6">
        <v>8</v>
      </c>
      <c r="BB423" s="6">
        <v>8</v>
      </c>
      <c r="BC423" s="6">
        <v>7</v>
      </c>
      <c r="BD423" s="6">
        <v>6</v>
      </c>
      <c r="BE423" s="6">
        <v>5</v>
      </c>
      <c r="BF423" s="6">
        <v>4</v>
      </c>
      <c r="BG423" s="6">
        <v>3</v>
      </c>
      <c r="BH423" s="6">
        <v>2</v>
      </c>
      <c r="BI423" s="6">
        <v>2</v>
      </c>
      <c r="BJ423" s="6">
        <v>2</v>
      </c>
      <c r="BK423" s="6">
        <v>2</v>
      </c>
      <c r="BL423" s="6">
        <v>4</v>
      </c>
      <c r="BM423" s="6">
        <v>4</v>
      </c>
      <c r="BN423" s="6">
        <v>5</v>
      </c>
      <c r="BO423" s="6">
        <v>6</v>
      </c>
      <c r="BP423" s="6">
        <v>7</v>
      </c>
      <c r="BQ423" s="6">
        <v>8</v>
      </c>
      <c r="BR423" s="6">
        <v>9</v>
      </c>
      <c r="BS423" s="6">
        <v>10</v>
      </c>
    </row>
    <row r="424" spans="4:71" x14ac:dyDescent="0.25">
      <c r="E424" s="6">
        <f t="shared" si="127"/>
        <v>0</v>
      </c>
      <c r="F424" s="6">
        <f t="shared" si="128"/>
        <v>0</v>
      </c>
      <c r="G424" s="6">
        <f t="shared" si="129"/>
        <v>0</v>
      </c>
      <c r="H424" s="6">
        <f t="shared" si="130"/>
        <v>0</v>
      </c>
      <c r="I424" s="6">
        <f t="shared" si="131"/>
        <v>0</v>
      </c>
      <c r="J424" s="6">
        <f t="shared" si="132"/>
        <v>0</v>
      </c>
      <c r="K424" s="6">
        <f t="shared" si="133"/>
        <v>0</v>
      </c>
      <c r="L424" s="6">
        <f t="shared" si="134"/>
        <v>0</v>
      </c>
      <c r="M424" s="6">
        <f t="shared" si="135"/>
        <v>0</v>
      </c>
      <c r="N424" s="6">
        <f t="shared" si="136"/>
        <v>0</v>
      </c>
      <c r="O424" s="6">
        <f t="shared" si="137"/>
        <v>0</v>
      </c>
      <c r="P424" s="6">
        <f t="shared" si="138"/>
        <v>0</v>
      </c>
      <c r="Q424" s="6">
        <f t="shared" si="139"/>
        <v>0</v>
      </c>
      <c r="R424" s="6">
        <f t="shared" si="140"/>
        <v>0</v>
      </c>
      <c r="S424" s="6">
        <f t="shared" si="141"/>
        <v>0</v>
      </c>
      <c r="T424" s="6">
        <f t="shared" si="142"/>
        <v>0</v>
      </c>
      <c r="U424" s="6">
        <f t="shared" si="143"/>
        <v>0</v>
      </c>
      <c r="V424" s="6">
        <f t="shared" si="144"/>
        <v>0</v>
      </c>
      <c r="W424" s="6">
        <f t="shared" si="145"/>
        <v>0</v>
      </c>
      <c r="X424" s="6">
        <f t="shared" si="146"/>
        <v>0</v>
      </c>
      <c r="Y424" s="6">
        <f t="shared" si="147"/>
        <v>0</v>
      </c>
      <c r="AA424" s="6" t="str">
        <f>IF(最佳化斷筋點!C424="","",最佳化斷筋點!C424)</f>
        <v/>
      </c>
      <c r="AB424" s="6" t="str">
        <f>IF(最佳化斷筋點!D424="","",最佳化斷筋點!D424)</f>
        <v/>
      </c>
      <c r="AC424" s="6" t="str">
        <f>IF(最佳化斷筋點!E424="","",最佳化斷筋點!E424)</f>
        <v/>
      </c>
      <c r="AD424" s="6" t="str">
        <f>IF(最佳化斷筋點!F424="","",最佳化斷筋點!F424)</f>
        <v/>
      </c>
      <c r="AE424" s="6" t="str">
        <f>IF(最佳化斷筋點!G424="","",最佳化斷筋點!G424)</f>
        <v/>
      </c>
      <c r="AF424" s="6" t="str">
        <f>IF(最佳化斷筋點!H424="","",最佳化斷筋點!H424)</f>
        <v/>
      </c>
      <c r="AG424" s="6" t="str">
        <f>IF(最佳化斷筋點!I424="","",最佳化斷筋點!I424)</f>
        <v/>
      </c>
      <c r="AH424" s="6" t="str">
        <f>IF(最佳化斷筋點!J424="","",最佳化斷筋點!J424)</f>
        <v/>
      </c>
      <c r="AI424" s="6" t="str">
        <f>IF(最佳化斷筋點!K424="","",最佳化斷筋點!K424)</f>
        <v/>
      </c>
      <c r="AJ424" s="6" t="str">
        <f>IF(最佳化斷筋點!L424="","",最佳化斷筋點!L424)</f>
        <v/>
      </c>
      <c r="AK424" s="6" t="str">
        <f>IF(最佳化斷筋點!M424="","",最佳化斷筋點!M424)</f>
        <v/>
      </c>
      <c r="AL424" s="6" t="str">
        <f>IF(最佳化斷筋點!N424="","",最佳化斷筋點!N424)</f>
        <v/>
      </c>
      <c r="AM424" s="6" t="str">
        <f>IF(最佳化斷筋點!O424="","",最佳化斷筋點!O424)</f>
        <v/>
      </c>
      <c r="AN424" s="6" t="str">
        <f>IF(最佳化斷筋點!P424="","",最佳化斷筋點!P424)</f>
        <v/>
      </c>
      <c r="AO424" s="6" t="str">
        <f>IF(最佳化斷筋點!Q424="","",最佳化斷筋點!Q424)</f>
        <v/>
      </c>
      <c r="AP424" s="6" t="str">
        <f>IF(最佳化斷筋點!R424="","",最佳化斷筋點!R424)</f>
        <v/>
      </c>
      <c r="AQ424" s="6" t="str">
        <f>IF(最佳化斷筋點!S424="","",最佳化斷筋點!S424)</f>
        <v/>
      </c>
      <c r="AR424" s="6" t="str">
        <f>IF(最佳化斷筋點!T424="","",最佳化斷筋點!T424)</f>
        <v/>
      </c>
      <c r="AS424" s="6" t="str">
        <f>IF(最佳化斷筋點!U424="","",最佳化斷筋點!U424)</f>
        <v/>
      </c>
      <c r="AT424" s="6" t="str">
        <f>IF(最佳化斷筋點!V424="","",最佳化斷筋點!V424)</f>
        <v/>
      </c>
      <c r="AU424" s="6" t="str">
        <f>IF(最佳化斷筋點!W424="","",最佳化斷筋點!W424)</f>
        <v/>
      </c>
      <c r="AV424" s="6" t="str">
        <f>IF(最佳化斷筋點!X424="","",最佳化斷筋點!X424)</f>
        <v/>
      </c>
    </row>
    <row r="425" spans="4:71" x14ac:dyDescent="0.25">
      <c r="D425" s="6" t="s">
        <v>51</v>
      </c>
      <c r="E425" s="6">
        <f t="shared" si="127"/>
        <v>0</v>
      </c>
      <c r="F425" s="6">
        <f t="shared" si="128"/>
        <v>0</v>
      </c>
      <c r="G425" s="6">
        <f t="shared" si="129"/>
        <v>0</v>
      </c>
      <c r="H425" s="6">
        <f t="shared" si="130"/>
        <v>0</v>
      </c>
      <c r="I425" s="6">
        <f t="shared" si="131"/>
        <v>0</v>
      </c>
      <c r="J425" s="6">
        <f t="shared" si="132"/>
        <v>0</v>
      </c>
      <c r="K425" s="6">
        <f t="shared" si="133"/>
        <v>0</v>
      </c>
      <c r="L425" s="6">
        <f t="shared" si="134"/>
        <v>0</v>
      </c>
      <c r="M425" s="6">
        <f t="shared" si="135"/>
        <v>0</v>
      </c>
      <c r="N425" s="6">
        <f t="shared" si="136"/>
        <v>0</v>
      </c>
      <c r="O425" s="6">
        <f t="shared" si="137"/>
        <v>0</v>
      </c>
      <c r="P425" s="6">
        <f t="shared" si="138"/>
        <v>0</v>
      </c>
      <c r="Q425" s="6">
        <f t="shared" si="139"/>
        <v>0</v>
      </c>
      <c r="R425" s="6">
        <f t="shared" si="140"/>
        <v>0</v>
      </c>
      <c r="S425" s="6">
        <f t="shared" si="141"/>
        <v>0</v>
      </c>
      <c r="T425" s="6">
        <f t="shared" si="142"/>
        <v>0</v>
      </c>
      <c r="U425" s="6">
        <f t="shared" si="143"/>
        <v>0</v>
      </c>
      <c r="V425" s="6">
        <f t="shared" si="144"/>
        <v>0</v>
      </c>
      <c r="W425" s="6">
        <f t="shared" si="145"/>
        <v>0</v>
      </c>
      <c r="X425" s="6">
        <f t="shared" si="146"/>
        <v>0</v>
      </c>
      <c r="Y425" s="6">
        <f t="shared" si="147"/>
        <v>0</v>
      </c>
      <c r="AA425" s="6" t="str">
        <f>IF(最佳化斷筋點!C425="","",最佳化斷筋點!C425)</f>
        <v>下層</v>
      </c>
      <c r="AB425" s="6">
        <f>IF(最佳化斷筋點!D425="","",最佳化斷筋點!D425)</f>
        <v>7</v>
      </c>
      <c r="AC425" s="6">
        <f>IF(最佳化斷筋點!E425="","",最佳化斷筋點!E425)</f>
        <v>7</v>
      </c>
      <c r="AD425" s="6">
        <f>IF(最佳化斷筋點!F425="","",最佳化斷筋點!F425)</f>
        <v>6</v>
      </c>
      <c r="AE425" s="6">
        <f>IF(最佳化斷筋點!G425="","",最佳化斷筋點!G425)</f>
        <v>5</v>
      </c>
      <c r="AF425" s="6">
        <f>IF(最佳化斷筋點!H425="","",最佳化斷筋點!H425)</f>
        <v>5</v>
      </c>
      <c r="AG425" s="6">
        <f>IF(最佳化斷筋點!I425="","",最佳化斷筋點!I425)</f>
        <v>6</v>
      </c>
      <c r="AH425" s="6">
        <f>IF(最佳化斷筋點!J425="","",最佳化斷筋點!J425)</f>
        <v>6</v>
      </c>
      <c r="AI425" s="6">
        <f>IF(最佳化斷筋點!K425="","",最佳化斷筋點!K425)</f>
        <v>7</v>
      </c>
      <c r="AJ425" s="6">
        <f>IF(最佳化斷筋點!L425="","",最佳化斷筋點!L425)</f>
        <v>7</v>
      </c>
      <c r="AK425" s="6">
        <f>IF(最佳化斷筋點!M425="","",最佳化斷筋點!M425)</f>
        <v>7</v>
      </c>
      <c r="AL425" s="6">
        <f>IF(最佳化斷筋點!N425="","",最佳化斷筋點!N425)</f>
        <v>7</v>
      </c>
      <c r="AM425" s="6">
        <f>IF(最佳化斷筋點!O425="","",最佳化斷筋點!O425)</f>
        <v>7</v>
      </c>
      <c r="AN425" s="6">
        <f>IF(最佳化斷筋點!P425="","",最佳化斷筋點!P425)</f>
        <v>7</v>
      </c>
      <c r="AO425" s="6">
        <f>IF(最佳化斷筋點!Q425="","",最佳化斷筋點!Q425)</f>
        <v>7</v>
      </c>
      <c r="AP425" s="6">
        <f>IF(最佳化斷筋點!R425="","",最佳化斷筋點!R425)</f>
        <v>6</v>
      </c>
      <c r="AQ425" s="6">
        <f>IF(最佳化斷筋點!S425="","",最佳化斷筋點!S425)</f>
        <v>6</v>
      </c>
      <c r="AR425" s="6">
        <f>IF(最佳化斷筋點!T425="","",最佳化斷筋點!T425)</f>
        <v>5</v>
      </c>
      <c r="AS425" s="6">
        <f>IF(最佳化斷筋點!U425="","",最佳化斷筋點!U425)</f>
        <v>5</v>
      </c>
      <c r="AT425" s="6">
        <f>IF(最佳化斷筋點!V425="","",最佳化斷筋點!V425)</f>
        <v>6</v>
      </c>
      <c r="AU425" s="6">
        <f>IF(最佳化斷筋點!W425="","",最佳化斷筋點!W425)</f>
        <v>7</v>
      </c>
      <c r="AV425" s="6">
        <f>IF(最佳化斷筋點!X425="","",最佳化斷筋點!X425)</f>
        <v>7</v>
      </c>
      <c r="AX425" s="6" t="s">
        <v>51</v>
      </c>
      <c r="AY425" s="6">
        <v>7</v>
      </c>
      <c r="AZ425" s="6">
        <v>7</v>
      </c>
      <c r="BA425" s="6">
        <v>6</v>
      </c>
      <c r="BB425" s="6">
        <v>5</v>
      </c>
      <c r="BC425" s="6">
        <v>5</v>
      </c>
      <c r="BD425" s="6">
        <v>6</v>
      </c>
      <c r="BE425" s="6">
        <v>6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6</v>
      </c>
      <c r="BN425" s="6">
        <v>6</v>
      </c>
      <c r="BO425" s="6">
        <v>5</v>
      </c>
      <c r="BP425" s="6">
        <v>5</v>
      </c>
      <c r="BQ425" s="6">
        <v>6</v>
      </c>
      <c r="BR425" s="6">
        <v>7</v>
      </c>
      <c r="BS425" s="6">
        <v>7</v>
      </c>
    </row>
    <row r="426" spans="4:71" x14ac:dyDescent="0.25">
      <c r="E426" s="6">
        <f t="shared" si="127"/>
        <v>0</v>
      </c>
      <c r="F426" s="6">
        <f t="shared" si="128"/>
        <v>0</v>
      </c>
      <c r="G426" s="6">
        <f t="shared" si="129"/>
        <v>0</v>
      </c>
      <c r="H426" s="6">
        <f t="shared" si="130"/>
        <v>0</v>
      </c>
      <c r="I426" s="6">
        <f t="shared" si="131"/>
        <v>0</v>
      </c>
      <c r="J426" s="6">
        <f t="shared" si="132"/>
        <v>0</v>
      </c>
      <c r="K426" s="6">
        <f t="shared" si="133"/>
        <v>0</v>
      </c>
      <c r="L426" s="6">
        <f t="shared" si="134"/>
        <v>0</v>
      </c>
      <c r="M426" s="6">
        <f t="shared" si="135"/>
        <v>0</v>
      </c>
      <c r="N426" s="6">
        <f t="shared" si="136"/>
        <v>0</v>
      </c>
      <c r="O426" s="6">
        <f t="shared" si="137"/>
        <v>0</v>
      </c>
      <c r="P426" s="6">
        <f t="shared" si="138"/>
        <v>0</v>
      </c>
      <c r="Q426" s="6">
        <f t="shared" si="139"/>
        <v>0</v>
      </c>
      <c r="R426" s="6">
        <f t="shared" si="140"/>
        <v>0</v>
      </c>
      <c r="S426" s="6">
        <f t="shared" si="141"/>
        <v>0</v>
      </c>
      <c r="T426" s="6">
        <f t="shared" si="142"/>
        <v>0</v>
      </c>
      <c r="U426" s="6">
        <f t="shared" si="143"/>
        <v>0</v>
      </c>
      <c r="V426" s="6">
        <f t="shared" si="144"/>
        <v>0</v>
      </c>
      <c r="W426" s="6">
        <f t="shared" si="145"/>
        <v>0</v>
      </c>
      <c r="X426" s="6">
        <f t="shared" si="146"/>
        <v>0</v>
      </c>
      <c r="Y426" s="6">
        <f t="shared" si="147"/>
        <v>0</v>
      </c>
      <c r="AA426" s="6" t="str">
        <f>IF(最佳化斷筋點!C426="","",最佳化斷筋點!C426)</f>
        <v/>
      </c>
      <c r="AB426" s="6" t="str">
        <f>IF(最佳化斷筋點!D426="","",最佳化斷筋點!D426)</f>
        <v/>
      </c>
      <c r="AC426" s="6" t="str">
        <f>IF(最佳化斷筋點!E426="","",最佳化斷筋點!E426)</f>
        <v/>
      </c>
      <c r="AD426" s="6" t="str">
        <f>IF(最佳化斷筋點!F426="","",最佳化斷筋點!F426)</f>
        <v/>
      </c>
      <c r="AE426" s="6" t="str">
        <f>IF(最佳化斷筋點!G426="","",最佳化斷筋點!G426)</f>
        <v/>
      </c>
      <c r="AF426" s="6" t="str">
        <f>IF(最佳化斷筋點!H426="","",最佳化斷筋點!H426)</f>
        <v/>
      </c>
      <c r="AG426" s="6" t="str">
        <f>IF(最佳化斷筋點!I426="","",最佳化斷筋點!I426)</f>
        <v/>
      </c>
      <c r="AH426" s="6" t="str">
        <f>IF(最佳化斷筋點!J426="","",最佳化斷筋點!J426)</f>
        <v/>
      </c>
      <c r="AI426" s="6" t="str">
        <f>IF(最佳化斷筋點!K426="","",最佳化斷筋點!K426)</f>
        <v/>
      </c>
      <c r="AJ426" s="6" t="str">
        <f>IF(最佳化斷筋點!L426="","",最佳化斷筋點!L426)</f>
        <v/>
      </c>
      <c r="AK426" s="6" t="str">
        <f>IF(最佳化斷筋點!M426="","",最佳化斷筋點!M426)</f>
        <v/>
      </c>
      <c r="AL426" s="6" t="str">
        <f>IF(最佳化斷筋點!N426="","",最佳化斷筋點!N426)</f>
        <v/>
      </c>
      <c r="AM426" s="6" t="str">
        <f>IF(最佳化斷筋點!O426="","",最佳化斷筋點!O426)</f>
        <v/>
      </c>
      <c r="AN426" s="6" t="str">
        <f>IF(最佳化斷筋點!P426="","",最佳化斷筋點!P426)</f>
        <v/>
      </c>
      <c r="AO426" s="6" t="str">
        <f>IF(最佳化斷筋點!Q426="","",最佳化斷筋點!Q426)</f>
        <v/>
      </c>
      <c r="AP426" s="6" t="str">
        <f>IF(最佳化斷筋點!R426="","",最佳化斷筋點!R426)</f>
        <v/>
      </c>
      <c r="AQ426" s="6" t="str">
        <f>IF(最佳化斷筋點!S426="","",最佳化斷筋點!S426)</f>
        <v/>
      </c>
      <c r="AR426" s="6" t="str">
        <f>IF(最佳化斷筋點!T426="","",最佳化斷筋點!T426)</f>
        <v/>
      </c>
      <c r="AS426" s="6" t="str">
        <f>IF(最佳化斷筋點!U426="","",最佳化斷筋點!U426)</f>
        <v/>
      </c>
      <c r="AT426" s="6" t="str">
        <f>IF(最佳化斷筋點!V426="","",最佳化斷筋點!V426)</f>
        <v/>
      </c>
      <c r="AU426" s="6" t="str">
        <f>IF(最佳化斷筋點!W426="","",最佳化斷筋點!W426)</f>
        <v/>
      </c>
      <c r="AV426" s="6" t="str">
        <f>IF(最佳化斷筋點!X426="","",最佳化斷筋點!X426)</f>
        <v/>
      </c>
    </row>
    <row r="427" spans="4:71" x14ac:dyDescent="0.25">
      <c r="D427" s="6" t="s">
        <v>50</v>
      </c>
      <c r="E427" s="6">
        <f t="shared" si="127"/>
        <v>0</v>
      </c>
      <c r="F427" s="6">
        <f t="shared" si="128"/>
        <v>0</v>
      </c>
      <c r="G427" s="6">
        <f t="shared" si="129"/>
        <v>0</v>
      </c>
      <c r="H427" s="6">
        <f t="shared" si="130"/>
        <v>0</v>
      </c>
      <c r="I427" s="6">
        <f t="shared" si="131"/>
        <v>0</v>
      </c>
      <c r="J427" s="6">
        <f t="shared" si="132"/>
        <v>0</v>
      </c>
      <c r="K427" s="6">
        <f t="shared" si="133"/>
        <v>0</v>
      </c>
      <c r="L427" s="6">
        <f t="shared" si="134"/>
        <v>0</v>
      </c>
      <c r="M427" s="6">
        <f t="shared" si="135"/>
        <v>0</v>
      </c>
      <c r="N427" s="6">
        <f t="shared" si="136"/>
        <v>0</v>
      </c>
      <c r="O427" s="6">
        <f t="shared" si="137"/>
        <v>0</v>
      </c>
      <c r="P427" s="6">
        <f t="shared" si="138"/>
        <v>0</v>
      </c>
      <c r="Q427" s="6">
        <f t="shared" si="139"/>
        <v>0</v>
      </c>
      <c r="R427" s="6">
        <f t="shared" si="140"/>
        <v>0</v>
      </c>
      <c r="S427" s="6">
        <f t="shared" si="141"/>
        <v>0</v>
      </c>
      <c r="T427" s="6">
        <f t="shared" si="142"/>
        <v>0</v>
      </c>
      <c r="U427" s="6">
        <f t="shared" si="143"/>
        <v>0</v>
      </c>
      <c r="V427" s="6">
        <f t="shared" si="144"/>
        <v>0</v>
      </c>
      <c r="W427" s="6">
        <f t="shared" si="145"/>
        <v>0</v>
      </c>
      <c r="X427" s="6">
        <f t="shared" si="146"/>
        <v>0</v>
      </c>
      <c r="Y427" s="6">
        <f t="shared" si="147"/>
        <v>0</v>
      </c>
      <c r="AA427" s="6" t="str">
        <f>IF(最佳化斷筋點!C427="","",最佳化斷筋點!C427)</f>
        <v>上層</v>
      </c>
      <c r="AB427" s="6">
        <f>IF(最佳化斷筋點!D427="","",最佳化斷筋點!D427)</f>
        <v>2</v>
      </c>
      <c r="AC427" s="6">
        <f>IF(最佳化斷筋點!E427="","",最佳化斷筋點!E427)</f>
        <v>2</v>
      </c>
      <c r="AD427" s="6">
        <f>IF(最佳化斷筋點!F427="","",最佳化斷筋點!F427)</f>
        <v>2</v>
      </c>
      <c r="AE427" s="6">
        <f>IF(最佳化斷筋點!G427="","",最佳化斷筋點!G427)</f>
        <v>2</v>
      </c>
      <c r="AF427" s="6">
        <f>IF(最佳化斷筋點!H427="","",最佳化斷筋點!H427)</f>
        <v>2</v>
      </c>
      <c r="AG427" s="6">
        <f>IF(最佳化斷筋點!I427="","",最佳化斷筋點!I427)</f>
        <v>2</v>
      </c>
      <c r="AH427" s="6">
        <f>IF(最佳化斷筋點!J427="","",最佳化斷筋點!J427)</f>
        <v>2</v>
      </c>
      <c r="AI427" s="6">
        <f>IF(最佳化斷筋點!K427="","",最佳化斷筋點!K427)</f>
        <v>2</v>
      </c>
      <c r="AJ427" s="6">
        <f>IF(最佳化斷筋點!L427="","",最佳化斷筋點!L427)</f>
        <v>2</v>
      </c>
      <c r="AK427" s="6">
        <f>IF(最佳化斷筋點!M427="","",最佳化斷筋點!M427)</f>
        <v>2</v>
      </c>
      <c r="AL427" s="6">
        <f>IF(最佳化斷筋點!N427="","",最佳化斷筋點!N427)</f>
        <v>2</v>
      </c>
      <c r="AM427" s="6">
        <f>IF(最佳化斷筋點!O427="","",最佳化斷筋點!O427)</f>
        <v>2</v>
      </c>
      <c r="AN427" s="6">
        <f>IF(最佳化斷筋點!P427="","",最佳化斷筋點!P427)</f>
        <v>2</v>
      </c>
      <c r="AO427" s="6">
        <f>IF(最佳化斷筋點!Q427="","",最佳化斷筋點!Q427)</f>
        <v>4</v>
      </c>
      <c r="AP427" s="6">
        <f>IF(最佳化斷筋點!R427="","",最佳化斷筋點!R427)</f>
        <v>4</v>
      </c>
      <c r="AQ427" s="6">
        <f>IF(最佳化斷筋點!S427="","",最佳化斷筋點!S427)</f>
        <v>5</v>
      </c>
      <c r="AR427" s="6">
        <f>IF(最佳化斷筋點!T427="","",最佳化斷筋點!T427)</f>
        <v>6</v>
      </c>
      <c r="AS427" s="6">
        <f>IF(最佳化斷筋點!U427="","",最佳化斷筋點!U427)</f>
        <v>7</v>
      </c>
      <c r="AT427" s="6">
        <f>IF(最佳化斷筋點!V427="","",最佳化斷筋點!V427)</f>
        <v>8</v>
      </c>
      <c r="AU427" s="6">
        <f>IF(最佳化斷筋點!W427="","",最佳化斷筋點!W427)</f>
        <v>9</v>
      </c>
      <c r="AV427" s="6">
        <f>IF(最佳化斷筋點!X427="","",最佳化斷筋點!X427)</f>
        <v>10</v>
      </c>
      <c r="AX427" s="6" t="s">
        <v>50</v>
      </c>
      <c r="AY427" s="6">
        <v>2</v>
      </c>
      <c r="AZ427" s="6">
        <v>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</row>
    <row r="428" spans="4:71" x14ac:dyDescent="0.25">
      <c r="E428" s="6">
        <f t="shared" si="127"/>
        <v>0</v>
      </c>
      <c r="F428" s="6">
        <f t="shared" si="128"/>
        <v>0</v>
      </c>
      <c r="G428" s="6">
        <f t="shared" si="129"/>
        <v>0</v>
      </c>
      <c r="H428" s="6">
        <f t="shared" si="130"/>
        <v>0</v>
      </c>
      <c r="I428" s="6">
        <f t="shared" si="131"/>
        <v>0</v>
      </c>
      <c r="J428" s="6">
        <f t="shared" si="132"/>
        <v>0</v>
      </c>
      <c r="K428" s="6">
        <f t="shared" si="133"/>
        <v>0</v>
      </c>
      <c r="L428" s="6">
        <f t="shared" si="134"/>
        <v>0</v>
      </c>
      <c r="M428" s="6">
        <f t="shared" si="135"/>
        <v>0</v>
      </c>
      <c r="N428" s="6">
        <f t="shared" si="136"/>
        <v>0</v>
      </c>
      <c r="O428" s="6">
        <f t="shared" si="137"/>
        <v>0</v>
      </c>
      <c r="P428" s="6">
        <f t="shared" si="138"/>
        <v>0</v>
      </c>
      <c r="Q428" s="6">
        <f t="shared" si="139"/>
        <v>0</v>
      </c>
      <c r="R428" s="6">
        <f t="shared" si="140"/>
        <v>0</v>
      </c>
      <c r="S428" s="6">
        <f t="shared" si="141"/>
        <v>0</v>
      </c>
      <c r="T428" s="6">
        <f t="shared" si="142"/>
        <v>0</v>
      </c>
      <c r="U428" s="6">
        <f t="shared" si="143"/>
        <v>0</v>
      </c>
      <c r="V428" s="6">
        <f t="shared" si="144"/>
        <v>0</v>
      </c>
      <c r="W428" s="6">
        <f t="shared" si="145"/>
        <v>0</v>
      </c>
      <c r="X428" s="6">
        <f t="shared" si="146"/>
        <v>0</v>
      </c>
      <c r="Y428" s="6">
        <f t="shared" si="147"/>
        <v>0</v>
      </c>
      <c r="AA428" s="6" t="str">
        <f>IF(最佳化斷筋點!C428="","",最佳化斷筋點!C428)</f>
        <v/>
      </c>
      <c r="AB428" s="6" t="str">
        <f>IF(最佳化斷筋點!D428="","",最佳化斷筋點!D428)</f>
        <v/>
      </c>
      <c r="AC428" s="6" t="str">
        <f>IF(最佳化斷筋點!E428="","",最佳化斷筋點!E428)</f>
        <v/>
      </c>
      <c r="AD428" s="6" t="str">
        <f>IF(最佳化斷筋點!F428="","",最佳化斷筋點!F428)</f>
        <v/>
      </c>
      <c r="AE428" s="6" t="str">
        <f>IF(最佳化斷筋點!G428="","",最佳化斷筋點!G428)</f>
        <v/>
      </c>
      <c r="AF428" s="6" t="str">
        <f>IF(最佳化斷筋點!H428="","",最佳化斷筋點!H428)</f>
        <v/>
      </c>
      <c r="AG428" s="6" t="str">
        <f>IF(最佳化斷筋點!I428="","",最佳化斷筋點!I428)</f>
        <v/>
      </c>
      <c r="AH428" s="6" t="str">
        <f>IF(最佳化斷筋點!J428="","",最佳化斷筋點!J428)</f>
        <v/>
      </c>
      <c r="AI428" s="6" t="str">
        <f>IF(最佳化斷筋點!K428="","",最佳化斷筋點!K428)</f>
        <v/>
      </c>
      <c r="AJ428" s="6" t="str">
        <f>IF(最佳化斷筋點!L428="","",最佳化斷筋點!L428)</f>
        <v/>
      </c>
      <c r="AK428" s="6" t="str">
        <f>IF(最佳化斷筋點!M428="","",最佳化斷筋點!M428)</f>
        <v/>
      </c>
      <c r="AL428" s="6" t="str">
        <f>IF(最佳化斷筋點!N428="","",最佳化斷筋點!N428)</f>
        <v/>
      </c>
      <c r="AM428" s="6" t="str">
        <f>IF(最佳化斷筋點!O428="","",最佳化斷筋點!O428)</f>
        <v/>
      </c>
      <c r="AN428" s="6" t="str">
        <f>IF(最佳化斷筋點!P428="","",最佳化斷筋點!P428)</f>
        <v/>
      </c>
      <c r="AO428" s="6" t="str">
        <f>IF(最佳化斷筋點!Q428="","",最佳化斷筋點!Q428)</f>
        <v/>
      </c>
      <c r="AP428" s="6" t="str">
        <f>IF(最佳化斷筋點!R428="","",最佳化斷筋點!R428)</f>
        <v/>
      </c>
      <c r="AQ428" s="6" t="str">
        <f>IF(最佳化斷筋點!S428="","",最佳化斷筋點!S428)</f>
        <v/>
      </c>
      <c r="AR428" s="6" t="str">
        <f>IF(最佳化斷筋點!T428="","",最佳化斷筋點!T428)</f>
        <v/>
      </c>
      <c r="AS428" s="6" t="str">
        <f>IF(最佳化斷筋點!U428="","",最佳化斷筋點!U428)</f>
        <v/>
      </c>
      <c r="AT428" s="6" t="str">
        <f>IF(最佳化斷筋點!V428="","",最佳化斷筋點!V428)</f>
        <v/>
      </c>
      <c r="AU428" s="6" t="str">
        <f>IF(最佳化斷筋點!W428="","",最佳化斷筋點!W428)</f>
        <v/>
      </c>
      <c r="AV428" s="6" t="str">
        <f>IF(最佳化斷筋點!X428="","",最佳化斷筋點!X428)</f>
        <v/>
      </c>
    </row>
    <row r="429" spans="4:71" x14ac:dyDescent="0.25">
      <c r="D429" s="6" t="s">
        <v>51</v>
      </c>
      <c r="E429" s="6">
        <f t="shared" si="127"/>
        <v>0</v>
      </c>
      <c r="F429" s="6">
        <f t="shared" si="128"/>
        <v>0</v>
      </c>
      <c r="G429" s="6">
        <f t="shared" si="129"/>
        <v>0</v>
      </c>
      <c r="H429" s="6">
        <f t="shared" si="130"/>
        <v>0</v>
      </c>
      <c r="I429" s="6">
        <f t="shared" si="131"/>
        <v>0</v>
      </c>
      <c r="J429" s="6">
        <f t="shared" si="132"/>
        <v>0</v>
      </c>
      <c r="K429" s="6">
        <f t="shared" si="133"/>
        <v>0</v>
      </c>
      <c r="L429" s="6">
        <f t="shared" si="134"/>
        <v>0</v>
      </c>
      <c r="M429" s="6">
        <f t="shared" si="135"/>
        <v>0</v>
      </c>
      <c r="N429" s="6">
        <f t="shared" si="136"/>
        <v>0</v>
      </c>
      <c r="O429" s="6">
        <f t="shared" si="137"/>
        <v>0</v>
      </c>
      <c r="P429" s="6">
        <f t="shared" si="138"/>
        <v>0</v>
      </c>
      <c r="Q429" s="6">
        <f t="shared" si="139"/>
        <v>0</v>
      </c>
      <c r="R429" s="6">
        <f t="shared" si="140"/>
        <v>0</v>
      </c>
      <c r="S429" s="6">
        <f t="shared" si="141"/>
        <v>0</v>
      </c>
      <c r="T429" s="6">
        <f t="shared" si="142"/>
        <v>0</v>
      </c>
      <c r="U429" s="6">
        <f t="shared" si="143"/>
        <v>0</v>
      </c>
      <c r="V429" s="6">
        <f t="shared" si="144"/>
        <v>0</v>
      </c>
      <c r="W429" s="6">
        <f t="shared" si="145"/>
        <v>0</v>
      </c>
      <c r="X429" s="6">
        <f t="shared" si="146"/>
        <v>0</v>
      </c>
      <c r="Y429" s="6">
        <f t="shared" si="147"/>
        <v>0</v>
      </c>
      <c r="AA429" s="6" t="str">
        <f>IF(最佳化斷筋點!C429="","",最佳化斷筋點!C429)</f>
        <v>下層</v>
      </c>
      <c r="AB429" s="6">
        <f>IF(最佳化斷筋點!D429="","",最佳化斷筋點!D429)</f>
        <v>6</v>
      </c>
      <c r="AC429" s="6">
        <f>IF(最佳化斷筋點!E429="","",最佳化斷筋點!E429)</f>
        <v>6</v>
      </c>
      <c r="AD429" s="6">
        <f>IF(最佳化斷筋點!F429="","",最佳化斷筋點!F429)</f>
        <v>5</v>
      </c>
      <c r="AE429" s="6">
        <f>IF(最佳化斷筋點!G429="","",最佳化斷筋點!G429)</f>
        <v>5</v>
      </c>
      <c r="AF429" s="6">
        <f>IF(最佳化斷筋點!H429="","",最佳化斷筋點!H429)</f>
        <v>5</v>
      </c>
      <c r="AG429" s="6">
        <f>IF(最佳化斷筋點!I429="","",最佳化斷筋點!I429)</f>
        <v>6</v>
      </c>
      <c r="AH429" s="6">
        <f>IF(最佳化斷筋點!J429="","",最佳化斷筋點!J429)</f>
        <v>6</v>
      </c>
      <c r="AI429" s="6">
        <f>IF(最佳化斷筋點!K429="","",最佳化斷筋點!K429)</f>
        <v>7</v>
      </c>
      <c r="AJ429" s="6">
        <f>IF(最佳化斷筋點!L429="","",最佳化斷筋點!L429)</f>
        <v>7</v>
      </c>
      <c r="AK429" s="6">
        <f>IF(最佳化斷筋點!M429="","",最佳化斷筋點!M429)</f>
        <v>7</v>
      </c>
      <c r="AL429" s="6">
        <f>IF(最佳化斷筋點!N429="","",最佳化斷筋點!N429)</f>
        <v>7</v>
      </c>
      <c r="AM429" s="6">
        <f>IF(最佳化斷筋點!O429="","",最佳化斷筋點!O429)</f>
        <v>7</v>
      </c>
      <c r="AN429" s="6">
        <f>IF(最佳化斷筋點!P429="","",最佳化斷筋點!P429)</f>
        <v>7</v>
      </c>
      <c r="AO429" s="6">
        <f>IF(最佳化斷筋點!Q429="","",最佳化斷筋點!Q429)</f>
        <v>7</v>
      </c>
      <c r="AP429" s="6">
        <f>IF(最佳化斷筋點!R429="","",最佳化斷筋點!R429)</f>
        <v>6</v>
      </c>
      <c r="AQ429" s="6">
        <f>IF(最佳化斷筋點!S429="","",最佳化斷筋點!S429)</f>
        <v>6</v>
      </c>
      <c r="AR429" s="6">
        <f>IF(最佳化斷筋點!T429="","",最佳化斷筋點!T429)</f>
        <v>5</v>
      </c>
      <c r="AS429" s="6">
        <f>IF(最佳化斷筋點!U429="","",最佳化斷筋點!U429)</f>
        <v>5</v>
      </c>
      <c r="AT429" s="6">
        <f>IF(最佳化斷筋點!V429="","",最佳化斷筋點!V429)</f>
        <v>6</v>
      </c>
      <c r="AU429" s="6">
        <f>IF(最佳化斷筋點!W429="","",最佳化斷筋點!W429)</f>
        <v>7</v>
      </c>
      <c r="AV429" s="6">
        <f>IF(最佳化斷筋點!X429="","",最佳化斷筋點!X429)</f>
        <v>7</v>
      </c>
      <c r="AX429" s="6" t="s">
        <v>51</v>
      </c>
      <c r="AY429" s="6">
        <v>6</v>
      </c>
      <c r="AZ429" s="6">
        <v>6</v>
      </c>
      <c r="BA429" s="6">
        <v>5</v>
      </c>
      <c r="BB429" s="6">
        <v>5</v>
      </c>
      <c r="BC429" s="6">
        <v>5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6</v>
      </c>
      <c r="BN429" s="6">
        <v>6</v>
      </c>
      <c r="BO429" s="6">
        <v>5</v>
      </c>
      <c r="BP429" s="6">
        <v>5</v>
      </c>
      <c r="BQ429" s="6">
        <v>6</v>
      </c>
      <c r="BR429" s="6">
        <v>7</v>
      </c>
      <c r="BS429" s="6">
        <v>7</v>
      </c>
    </row>
    <row r="430" spans="4:71" x14ac:dyDescent="0.25">
      <c r="E430" s="6">
        <f t="shared" si="127"/>
        <v>0</v>
      </c>
      <c r="F430" s="6">
        <f t="shared" si="128"/>
        <v>0</v>
      </c>
      <c r="G430" s="6">
        <f t="shared" si="129"/>
        <v>0</v>
      </c>
      <c r="H430" s="6">
        <f t="shared" si="130"/>
        <v>0</v>
      </c>
      <c r="I430" s="6">
        <f t="shared" si="131"/>
        <v>0</v>
      </c>
      <c r="J430" s="6">
        <f t="shared" si="132"/>
        <v>0</v>
      </c>
      <c r="K430" s="6">
        <f t="shared" si="133"/>
        <v>0</v>
      </c>
      <c r="L430" s="6">
        <f t="shared" si="134"/>
        <v>0</v>
      </c>
      <c r="M430" s="6">
        <f t="shared" si="135"/>
        <v>0</v>
      </c>
      <c r="N430" s="6">
        <f t="shared" si="136"/>
        <v>0</v>
      </c>
      <c r="O430" s="6">
        <f t="shared" si="137"/>
        <v>0</v>
      </c>
      <c r="P430" s="6">
        <f t="shared" si="138"/>
        <v>0</v>
      </c>
      <c r="Q430" s="6">
        <f t="shared" si="139"/>
        <v>0</v>
      </c>
      <c r="R430" s="6">
        <f t="shared" si="140"/>
        <v>0</v>
      </c>
      <c r="S430" s="6">
        <f t="shared" si="141"/>
        <v>0</v>
      </c>
      <c r="T430" s="6">
        <f t="shared" si="142"/>
        <v>0</v>
      </c>
      <c r="U430" s="6">
        <f t="shared" si="143"/>
        <v>0</v>
      </c>
      <c r="V430" s="6">
        <f t="shared" si="144"/>
        <v>0</v>
      </c>
      <c r="W430" s="6">
        <f t="shared" si="145"/>
        <v>0</v>
      </c>
      <c r="X430" s="6">
        <f t="shared" si="146"/>
        <v>0</v>
      </c>
      <c r="Y430" s="6">
        <f t="shared" si="147"/>
        <v>0</v>
      </c>
      <c r="AA430" s="6" t="str">
        <f>IF(最佳化斷筋點!C430="","",最佳化斷筋點!C430)</f>
        <v/>
      </c>
      <c r="AB430" s="6" t="str">
        <f>IF(最佳化斷筋點!D430="","",最佳化斷筋點!D430)</f>
        <v/>
      </c>
      <c r="AC430" s="6" t="str">
        <f>IF(最佳化斷筋點!E430="","",最佳化斷筋點!E430)</f>
        <v/>
      </c>
      <c r="AD430" s="6" t="str">
        <f>IF(最佳化斷筋點!F430="","",最佳化斷筋點!F430)</f>
        <v/>
      </c>
      <c r="AE430" s="6" t="str">
        <f>IF(最佳化斷筋點!G430="","",最佳化斷筋點!G430)</f>
        <v/>
      </c>
      <c r="AF430" s="6" t="str">
        <f>IF(最佳化斷筋點!H430="","",最佳化斷筋點!H430)</f>
        <v/>
      </c>
      <c r="AG430" s="6" t="str">
        <f>IF(最佳化斷筋點!I430="","",最佳化斷筋點!I430)</f>
        <v/>
      </c>
      <c r="AH430" s="6" t="str">
        <f>IF(最佳化斷筋點!J430="","",最佳化斷筋點!J430)</f>
        <v/>
      </c>
      <c r="AI430" s="6" t="str">
        <f>IF(最佳化斷筋點!K430="","",最佳化斷筋點!K430)</f>
        <v/>
      </c>
      <c r="AJ430" s="6" t="str">
        <f>IF(最佳化斷筋點!L430="","",最佳化斷筋點!L430)</f>
        <v/>
      </c>
      <c r="AK430" s="6" t="str">
        <f>IF(最佳化斷筋點!M430="","",最佳化斷筋點!M430)</f>
        <v/>
      </c>
      <c r="AL430" s="6" t="str">
        <f>IF(最佳化斷筋點!N430="","",最佳化斷筋點!N430)</f>
        <v/>
      </c>
      <c r="AM430" s="6" t="str">
        <f>IF(最佳化斷筋點!O430="","",最佳化斷筋點!O430)</f>
        <v/>
      </c>
      <c r="AN430" s="6" t="str">
        <f>IF(最佳化斷筋點!P430="","",最佳化斷筋點!P430)</f>
        <v/>
      </c>
      <c r="AO430" s="6" t="str">
        <f>IF(最佳化斷筋點!Q430="","",最佳化斷筋點!Q430)</f>
        <v/>
      </c>
      <c r="AP430" s="6" t="str">
        <f>IF(最佳化斷筋點!R430="","",最佳化斷筋點!R430)</f>
        <v/>
      </c>
      <c r="AQ430" s="6" t="str">
        <f>IF(最佳化斷筋點!S430="","",最佳化斷筋點!S430)</f>
        <v/>
      </c>
      <c r="AR430" s="6" t="str">
        <f>IF(最佳化斷筋點!T430="","",最佳化斷筋點!T430)</f>
        <v/>
      </c>
      <c r="AS430" s="6" t="str">
        <f>IF(最佳化斷筋點!U430="","",最佳化斷筋點!U430)</f>
        <v/>
      </c>
      <c r="AT430" s="6" t="str">
        <f>IF(最佳化斷筋點!V430="","",最佳化斷筋點!V430)</f>
        <v/>
      </c>
      <c r="AU430" s="6" t="str">
        <f>IF(最佳化斷筋點!W430="","",最佳化斷筋點!W430)</f>
        <v/>
      </c>
      <c r="AV430" s="6" t="str">
        <f>IF(最佳化斷筋點!X430="","",最佳化斷筋點!X430)</f>
        <v/>
      </c>
    </row>
    <row r="431" spans="4:71" x14ac:dyDescent="0.25">
      <c r="D431" s="6" t="s">
        <v>50</v>
      </c>
      <c r="E431" s="6">
        <f t="shared" si="127"/>
        <v>0</v>
      </c>
      <c r="F431" s="6">
        <f t="shared" si="128"/>
        <v>0</v>
      </c>
      <c r="G431" s="6">
        <f t="shared" si="129"/>
        <v>0</v>
      </c>
      <c r="H431" s="6">
        <f t="shared" si="130"/>
        <v>0</v>
      </c>
      <c r="I431" s="6">
        <f t="shared" si="131"/>
        <v>0</v>
      </c>
      <c r="J431" s="6">
        <f t="shared" si="132"/>
        <v>0</v>
      </c>
      <c r="K431" s="6">
        <f t="shared" si="133"/>
        <v>0</v>
      </c>
      <c r="L431" s="6">
        <f t="shared" si="134"/>
        <v>0</v>
      </c>
      <c r="M431" s="6">
        <f t="shared" si="135"/>
        <v>0</v>
      </c>
      <c r="N431" s="6">
        <f t="shared" si="136"/>
        <v>0</v>
      </c>
      <c r="O431" s="6">
        <f t="shared" si="137"/>
        <v>0</v>
      </c>
      <c r="P431" s="6">
        <f t="shared" si="138"/>
        <v>0</v>
      </c>
      <c r="Q431" s="6">
        <f t="shared" si="139"/>
        <v>0</v>
      </c>
      <c r="R431" s="6">
        <f t="shared" si="140"/>
        <v>0</v>
      </c>
      <c r="S431" s="6">
        <f t="shared" si="141"/>
        <v>0</v>
      </c>
      <c r="T431" s="6">
        <f t="shared" si="142"/>
        <v>0</v>
      </c>
      <c r="U431" s="6">
        <f t="shared" si="143"/>
        <v>0</v>
      </c>
      <c r="V431" s="6">
        <f t="shared" si="144"/>
        <v>0</v>
      </c>
      <c r="W431" s="6">
        <f t="shared" si="145"/>
        <v>0</v>
      </c>
      <c r="X431" s="6">
        <f t="shared" si="146"/>
        <v>0</v>
      </c>
      <c r="Y431" s="6">
        <f t="shared" si="147"/>
        <v>0</v>
      </c>
      <c r="AA431" s="6" t="str">
        <f>IF(最佳化斷筋點!C431="","",最佳化斷筋點!C431)</f>
        <v>上層</v>
      </c>
      <c r="AB431" s="6">
        <f>IF(最佳化斷筋點!D431="","",最佳化斷筋點!D431)</f>
        <v>10</v>
      </c>
      <c r="AC431" s="6">
        <f>IF(最佳化斷筋點!E431="","",最佳化斷筋點!E431)</f>
        <v>9</v>
      </c>
      <c r="AD431" s="6">
        <f>IF(最佳化斷筋點!F431="","",最佳化斷筋點!F431)</f>
        <v>8</v>
      </c>
      <c r="AE431" s="6">
        <f>IF(最佳化斷筋點!G431="","",最佳化斷筋點!G431)</f>
        <v>8</v>
      </c>
      <c r="AF431" s="6">
        <f>IF(最佳化斷筋點!H431="","",最佳化斷筋點!H431)</f>
        <v>7</v>
      </c>
      <c r="AG431" s="6">
        <f>IF(最佳化斷筋點!I431="","",最佳化斷筋點!I431)</f>
        <v>6</v>
      </c>
      <c r="AH431" s="6">
        <f>IF(最佳化斷筋點!J431="","",最佳化斷筋點!J431)</f>
        <v>5</v>
      </c>
      <c r="AI431" s="6">
        <f>IF(最佳化斷筋點!K431="","",最佳化斷筋點!K431)</f>
        <v>4</v>
      </c>
      <c r="AJ431" s="6">
        <f>IF(最佳化斷筋點!L431="","",最佳化斷筋點!L431)</f>
        <v>3</v>
      </c>
      <c r="AK431" s="6">
        <f>IF(最佳化斷筋點!M431="","",最佳化斷筋點!M431)</f>
        <v>2</v>
      </c>
      <c r="AL431" s="6">
        <f>IF(最佳化斷筋點!N431="","",最佳化斷筋點!N431)</f>
        <v>2</v>
      </c>
      <c r="AM431" s="6">
        <f>IF(最佳化斷筋點!O431="","",最佳化斷筋點!O431)</f>
        <v>2</v>
      </c>
      <c r="AN431" s="6">
        <f>IF(最佳化斷筋點!P431="","",最佳化斷筋點!P431)</f>
        <v>2</v>
      </c>
      <c r="AO431" s="6">
        <f>IF(最佳化斷筋點!Q431="","",最佳化斷筋點!Q431)</f>
        <v>4</v>
      </c>
      <c r="AP431" s="6">
        <f>IF(最佳化斷筋點!R431="","",最佳化斷筋點!R431)</f>
        <v>4</v>
      </c>
      <c r="AQ431" s="6">
        <f>IF(最佳化斷筋點!S431="","",最佳化斷筋點!S431)</f>
        <v>5</v>
      </c>
      <c r="AR431" s="6">
        <f>IF(最佳化斷筋點!T431="","",最佳化斷筋點!T431)</f>
        <v>6</v>
      </c>
      <c r="AS431" s="6">
        <f>IF(最佳化斷筋點!U431="","",最佳化斷筋點!U431)</f>
        <v>7</v>
      </c>
      <c r="AT431" s="6">
        <f>IF(最佳化斷筋點!V431="","",最佳化斷筋點!V431)</f>
        <v>8</v>
      </c>
      <c r="AU431" s="6">
        <f>IF(最佳化斷筋點!W431="","",最佳化斷筋點!W431)</f>
        <v>9</v>
      </c>
      <c r="AV431" s="6">
        <f>IF(最佳化斷筋點!X431="","",最佳化斷筋點!X431)</f>
        <v>10</v>
      </c>
      <c r="AX431" s="6" t="s">
        <v>50</v>
      </c>
      <c r="AY431" s="6">
        <v>10</v>
      </c>
      <c r="AZ431" s="6">
        <v>9</v>
      </c>
      <c r="BA431" s="6">
        <v>8</v>
      </c>
      <c r="BB431" s="6">
        <v>8</v>
      </c>
      <c r="BC431" s="6">
        <v>7</v>
      </c>
      <c r="BD431" s="6">
        <v>6</v>
      </c>
      <c r="BE431" s="6">
        <v>5</v>
      </c>
      <c r="BF431" s="6">
        <v>4</v>
      </c>
      <c r="BG431" s="6">
        <v>3</v>
      </c>
      <c r="BH431" s="6">
        <v>2</v>
      </c>
      <c r="BI431" s="6">
        <v>2</v>
      </c>
      <c r="BJ431" s="6">
        <v>2</v>
      </c>
      <c r="BK431" s="6">
        <v>2</v>
      </c>
      <c r="BL431" s="6">
        <v>4</v>
      </c>
      <c r="BM431" s="6">
        <v>4</v>
      </c>
      <c r="BN431" s="6">
        <v>5</v>
      </c>
      <c r="BO431" s="6">
        <v>6</v>
      </c>
      <c r="BP431" s="6">
        <v>7</v>
      </c>
      <c r="BQ431" s="6">
        <v>8</v>
      </c>
      <c r="BR431" s="6">
        <v>9</v>
      </c>
      <c r="BS431" s="6">
        <v>10</v>
      </c>
    </row>
    <row r="432" spans="4:71" x14ac:dyDescent="0.25">
      <c r="E432" s="6">
        <f t="shared" si="127"/>
        <v>0</v>
      </c>
      <c r="F432" s="6">
        <f t="shared" si="128"/>
        <v>0</v>
      </c>
      <c r="G432" s="6">
        <f t="shared" si="129"/>
        <v>0</v>
      </c>
      <c r="H432" s="6">
        <f t="shared" si="130"/>
        <v>0</v>
      </c>
      <c r="I432" s="6">
        <f t="shared" si="131"/>
        <v>0</v>
      </c>
      <c r="J432" s="6">
        <f t="shared" si="132"/>
        <v>0</v>
      </c>
      <c r="K432" s="6">
        <f t="shared" si="133"/>
        <v>0</v>
      </c>
      <c r="L432" s="6">
        <f t="shared" si="134"/>
        <v>0</v>
      </c>
      <c r="M432" s="6">
        <f t="shared" si="135"/>
        <v>0</v>
      </c>
      <c r="N432" s="6">
        <f t="shared" si="136"/>
        <v>0</v>
      </c>
      <c r="O432" s="6">
        <f t="shared" si="137"/>
        <v>0</v>
      </c>
      <c r="P432" s="6">
        <f t="shared" si="138"/>
        <v>0</v>
      </c>
      <c r="Q432" s="6">
        <f t="shared" si="139"/>
        <v>0</v>
      </c>
      <c r="R432" s="6">
        <f t="shared" si="140"/>
        <v>0</v>
      </c>
      <c r="S432" s="6">
        <f t="shared" si="141"/>
        <v>0</v>
      </c>
      <c r="T432" s="6">
        <f t="shared" si="142"/>
        <v>0</v>
      </c>
      <c r="U432" s="6">
        <f t="shared" si="143"/>
        <v>0</v>
      </c>
      <c r="V432" s="6">
        <f t="shared" si="144"/>
        <v>0</v>
      </c>
      <c r="W432" s="6">
        <f t="shared" si="145"/>
        <v>0</v>
      </c>
      <c r="X432" s="6">
        <f t="shared" si="146"/>
        <v>0</v>
      </c>
      <c r="Y432" s="6">
        <f t="shared" si="147"/>
        <v>0</v>
      </c>
      <c r="AA432" s="6" t="str">
        <f>IF(最佳化斷筋點!C432="","",最佳化斷筋點!C432)</f>
        <v/>
      </c>
      <c r="AB432" s="6" t="str">
        <f>IF(最佳化斷筋點!D432="","",最佳化斷筋點!D432)</f>
        <v/>
      </c>
      <c r="AC432" s="6" t="str">
        <f>IF(最佳化斷筋點!E432="","",最佳化斷筋點!E432)</f>
        <v/>
      </c>
      <c r="AD432" s="6" t="str">
        <f>IF(最佳化斷筋點!F432="","",最佳化斷筋點!F432)</f>
        <v/>
      </c>
      <c r="AE432" s="6" t="str">
        <f>IF(最佳化斷筋點!G432="","",最佳化斷筋點!G432)</f>
        <v/>
      </c>
      <c r="AF432" s="6" t="str">
        <f>IF(最佳化斷筋點!H432="","",最佳化斷筋點!H432)</f>
        <v/>
      </c>
      <c r="AG432" s="6" t="str">
        <f>IF(最佳化斷筋點!I432="","",最佳化斷筋點!I432)</f>
        <v/>
      </c>
      <c r="AH432" s="6" t="str">
        <f>IF(最佳化斷筋點!J432="","",最佳化斷筋點!J432)</f>
        <v/>
      </c>
      <c r="AI432" s="6" t="str">
        <f>IF(最佳化斷筋點!K432="","",最佳化斷筋點!K432)</f>
        <v/>
      </c>
      <c r="AJ432" s="6" t="str">
        <f>IF(最佳化斷筋點!L432="","",最佳化斷筋點!L432)</f>
        <v/>
      </c>
      <c r="AK432" s="6" t="str">
        <f>IF(最佳化斷筋點!M432="","",最佳化斷筋點!M432)</f>
        <v/>
      </c>
      <c r="AL432" s="6" t="str">
        <f>IF(最佳化斷筋點!N432="","",最佳化斷筋點!N432)</f>
        <v/>
      </c>
      <c r="AM432" s="6" t="str">
        <f>IF(最佳化斷筋點!O432="","",最佳化斷筋點!O432)</f>
        <v/>
      </c>
      <c r="AN432" s="6" t="str">
        <f>IF(最佳化斷筋點!P432="","",最佳化斷筋點!P432)</f>
        <v/>
      </c>
      <c r="AO432" s="6" t="str">
        <f>IF(最佳化斷筋點!Q432="","",最佳化斷筋點!Q432)</f>
        <v/>
      </c>
      <c r="AP432" s="6" t="str">
        <f>IF(最佳化斷筋點!R432="","",最佳化斷筋點!R432)</f>
        <v/>
      </c>
      <c r="AQ432" s="6" t="str">
        <f>IF(最佳化斷筋點!S432="","",最佳化斷筋點!S432)</f>
        <v/>
      </c>
      <c r="AR432" s="6" t="str">
        <f>IF(最佳化斷筋點!T432="","",最佳化斷筋點!T432)</f>
        <v/>
      </c>
      <c r="AS432" s="6" t="str">
        <f>IF(最佳化斷筋點!U432="","",最佳化斷筋點!U432)</f>
        <v/>
      </c>
      <c r="AT432" s="6" t="str">
        <f>IF(最佳化斷筋點!V432="","",最佳化斷筋點!V432)</f>
        <v/>
      </c>
      <c r="AU432" s="6" t="str">
        <f>IF(最佳化斷筋點!W432="","",最佳化斷筋點!W432)</f>
        <v/>
      </c>
      <c r="AV432" s="6" t="str">
        <f>IF(最佳化斷筋點!X432="","",最佳化斷筋點!X432)</f>
        <v/>
      </c>
    </row>
    <row r="433" spans="4:71" x14ac:dyDescent="0.25">
      <c r="D433" s="6" t="s">
        <v>51</v>
      </c>
      <c r="E433" s="6">
        <f t="shared" si="127"/>
        <v>0</v>
      </c>
      <c r="F433" s="6">
        <f t="shared" si="128"/>
        <v>0</v>
      </c>
      <c r="G433" s="6">
        <f t="shared" si="129"/>
        <v>0</v>
      </c>
      <c r="H433" s="6">
        <f t="shared" si="130"/>
        <v>0</v>
      </c>
      <c r="I433" s="6">
        <f t="shared" si="131"/>
        <v>0</v>
      </c>
      <c r="J433" s="6">
        <f t="shared" si="132"/>
        <v>0</v>
      </c>
      <c r="K433" s="6">
        <f t="shared" si="133"/>
        <v>0</v>
      </c>
      <c r="L433" s="6">
        <f t="shared" si="134"/>
        <v>0</v>
      </c>
      <c r="M433" s="6">
        <f t="shared" si="135"/>
        <v>0</v>
      </c>
      <c r="N433" s="6">
        <f t="shared" si="136"/>
        <v>0</v>
      </c>
      <c r="O433" s="6">
        <f t="shared" si="137"/>
        <v>0</v>
      </c>
      <c r="P433" s="6">
        <f t="shared" si="138"/>
        <v>0</v>
      </c>
      <c r="Q433" s="6">
        <f t="shared" si="139"/>
        <v>0</v>
      </c>
      <c r="R433" s="6">
        <f t="shared" si="140"/>
        <v>0</v>
      </c>
      <c r="S433" s="6">
        <f t="shared" si="141"/>
        <v>0</v>
      </c>
      <c r="T433" s="6">
        <f t="shared" si="142"/>
        <v>0</v>
      </c>
      <c r="U433" s="6">
        <f t="shared" si="143"/>
        <v>0</v>
      </c>
      <c r="V433" s="6">
        <f t="shared" si="144"/>
        <v>0</v>
      </c>
      <c r="W433" s="6">
        <f t="shared" si="145"/>
        <v>0</v>
      </c>
      <c r="X433" s="6">
        <f t="shared" si="146"/>
        <v>0</v>
      </c>
      <c r="Y433" s="6">
        <f t="shared" si="147"/>
        <v>0</v>
      </c>
      <c r="AA433" s="6" t="str">
        <f>IF(最佳化斷筋點!C433="","",最佳化斷筋點!C433)</f>
        <v>下層</v>
      </c>
      <c r="AB433" s="6">
        <f>IF(最佳化斷筋點!D433="","",最佳化斷筋點!D433)</f>
        <v>7</v>
      </c>
      <c r="AC433" s="6">
        <f>IF(最佳化斷筋點!E433="","",最佳化斷筋點!E433)</f>
        <v>7</v>
      </c>
      <c r="AD433" s="6">
        <f>IF(最佳化斷筋點!F433="","",最佳化斷筋點!F433)</f>
        <v>6</v>
      </c>
      <c r="AE433" s="6">
        <f>IF(最佳化斷筋點!G433="","",最佳化斷筋點!G433)</f>
        <v>5</v>
      </c>
      <c r="AF433" s="6">
        <f>IF(最佳化斷筋點!H433="","",最佳化斷筋點!H433)</f>
        <v>5</v>
      </c>
      <c r="AG433" s="6">
        <f>IF(最佳化斷筋點!I433="","",最佳化斷筋點!I433)</f>
        <v>6</v>
      </c>
      <c r="AH433" s="6">
        <f>IF(最佳化斷筋點!J433="","",最佳化斷筋點!J433)</f>
        <v>6</v>
      </c>
      <c r="AI433" s="6">
        <f>IF(最佳化斷筋點!K433="","",最佳化斷筋點!K433)</f>
        <v>7</v>
      </c>
      <c r="AJ433" s="6">
        <f>IF(最佳化斷筋點!L433="","",最佳化斷筋點!L433)</f>
        <v>7</v>
      </c>
      <c r="AK433" s="6">
        <f>IF(最佳化斷筋點!M433="","",最佳化斷筋點!M433)</f>
        <v>7</v>
      </c>
      <c r="AL433" s="6">
        <f>IF(最佳化斷筋點!N433="","",最佳化斷筋點!N433)</f>
        <v>7</v>
      </c>
      <c r="AM433" s="6">
        <f>IF(最佳化斷筋點!O433="","",最佳化斷筋點!O433)</f>
        <v>7</v>
      </c>
      <c r="AN433" s="6">
        <f>IF(最佳化斷筋點!P433="","",最佳化斷筋點!P433)</f>
        <v>7</v>
      </c>
      <c r="AO433" s="6">
        <f>IF(最佳化斷筋點!Q433="","",最佳化斷筋點!Q433)</f>
        <v>7</v>
      </c>
      <c r="AP433" s="6">
        <f>IF(最佳化斷筋點!R433="","",最佳化斷筋點!R433)</f>
        <v>6</v>
      </c>
      <c r="AQ433" s="6">
        <f>IF(最佳化斷筋點!S433="","",最佳化斷筋點!S433)</f>
        <v>6</v>
      </c>
      <c r="AR433" s="6">
        <f>IF(最佳化斷筋點!T433="","",最佳化斷筋點!T433)</f>
        <v>5</v>
      </c>
      <c r="AS433" s="6">
        <f>IF(最佳化斷筋點!U433="","",最佳化斷筋點!U433)</f>
        <v>5</v>
      </c>
      <c r="AT433" s="6">
        <f>IF(最佳化斷筋點!V433="","",最佳化斷筋點!V433)</f>
        <v>6</v>
      </c>
      <c r="AU433" s="6">
        <f>IF(最佳化斷筋點!W433="","",最佳化斷筋點!W433)</f>
        <v>7</v>
      </c>
      <c r="AV433" s="6">
        <f>IF(最佳化斷筋點!X433="","",最佳化斷筋點!X433)</f>
        <v>7</v>
      </c>
      <c r="AX433" s="6" t="s">
        <v>51</v>
      </c>
      <c r="AY433" s="6">
        <v>7</v>
      </c>
      <c r="AZ433" s="6">
        <v>7</v>
      </c>
      <c r="BA433" s="6">
        <v>6</v>
      </c>
      <c r="BB433" s="6">
        <v>5</v>
      </c>
      <c r="BC433" s="6">
        <v>5</v>
      </c>
      <c r="BD433" s="6">
        <v>6</v>
      </c>
      <c r="BE433" s="6">
        <v>6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6</v>
      </c>
      <c r="BN433" s="6">
        <v>6</v>
      </c>
      <c r="BO433" s="6">
        <v>5</v>
      </c>
      <c r="BP433" s="6">
        <v>5</v>
      </c>
      <c r="BQ433" s="6">
        <v>6</v>
      </c>
      <c r="BR433" s="6">
        <v>7</v>
      </c>
      <c r="BS433" s="6">
        <v>7</v>
      </c>
    </row>
    <row r="434" spans="4:71" x14ac:dyDescent="0.25">
      <c r="E434" s="6">
        <f t="shared" si="127"/>
        <v>0</v>
      </c>
      <c r="F434" s="6">
        <f t="shared" si="128"/>
        <v>0</v>
      </c>
      <c r="G434" s="6">
        <f t="shared" si="129"/>
        <v>0</v>
      </c>
      <c r="H434" s="6">
        <f t="shared" si="130"/>
        <v>0</v>
      </c>
      <c r="I434" s="6">
        <f t="shared" si="131"/>
        <v>0</v>
      </c>
      <c r="J434" s="6">
        <f t="shared" si="132"/>
        <v>0</v>
      </c>
      <c r="K434" s="6">
        <f t="shared" si="133"/>
        <v>0</v>
      </c>
      <c r="L434" s="6">
        <f t="shared" si="134"/>
        <v>0</v>
      </c>
      <c r="M434" s="6">
        <f t="shared" si="135"/>
        <v>0</v>
      </c>
      <c r="N434" s="6">
        <f t="shared" si="136"/>
        <v>0</v>
      </c>
      <c r="O434" s="6">
        <f t="shared" si="137"/>
        <v>0</v>
      </c>
      <c r="P434" s="6">
        <f t="shared" si="138"/>
        <v>0</v>
      </c>
      <c r="Q434" s="6">
        <f t="shared" si="139"/>
        <v>0</v>
      </c>
      <c r="R434" s="6">
        <f t="shared" si="140"/>
        <v>0</v>
      </c>
      <c r="S434" s="6">
        <f t="shared" si="141"/>
        <v>0</v>
      </c>
      <c r="T434" s="6">
        <f t="shared" si="142"/>
        <v>0</v>
      </c>
      <c r="U434" s="6">
        <f t="shared" si="143"/>
        <v>0</v>
      </c>
      <c r="V434" s="6">
        <f t="shared" si="144"/>
        <v>0</v>
      </c>
      <c r="W434" s="6">
        <f t="shared" si="145"/>
        <v>0</v>
      </c>
      <c r="X434" s="6">
        <f t="shared" si="146"/>
        <v>0</v>
      </c>
      <c r="Y434" s="6">
        <f t="shared" si="147"/>
        <v>0</v>
      </c>
      <c r="AA434" s="6" t="str">
        <f>IF(最佳化斷筋點!C434="","",最佳化斷筋點!C434)</f>
        <v/>
      </c>
      <c r="AB434" s="6" t="str">
        <f>IF(最佳化斷筋點!D434="","",最佳化斷筋點!D434)</f>
        <v/>
      </c>
      <c r="AC434" s="6" t="str">
        <f>IF(最佳化斷筋點!E434="","",最佳化斷筋點!E434)</f>
        <v/>
      </c>
      <c r="AD434" s="6" t="str">
        <f>IF(最佳化斷筋點!F434="","",最佳化斷筋點!F434)</f>
        <v/>
      </c>
      <c r="AE434" s="6" t="str">
        <f>IF(最佳化斷筋點!G434="","",最佳化斷筋點!G434)</f>
        <v/>
      </c>
      <c r="AF434" s="6" t="str">
        <f>IF(最佳化斷筋點!H434="","",最佳化斷筋點!H434)</f>
        <v/>
      </c>
      <c r="AG434" s="6" t="str">
        <f>IF(最佳化斷筋點!I434="","",最佳化斷筋點!I434)</f>
        <v/>
      </c>
      <c r="AH434" s="6" t="str">
        <f>IF(最佳化斷筋點!J434="","",最佳化斷筋點!J434)</f>
        <v/>
      </c>
      <c r="AI434" s="6" t="str">
        <f>IF(最佳化斷筋點!K434="","",最佳化斷筋點!K434)</f>
        <v/>
      </c>
      <c r="AJ434" s="6" t="str">
        <f>IF(最佳化斷筋點!L434="","",最佳化斷筋點!L434)</f>
        <v/>
      </c>
      <c r="AK434" s="6" t="str">
        <f>IF(最佳化斷筋點!M434="","",最佳化斷筋點!M434)</f>
        <v/>
      </c>
      <c r="AL434" s="6" t="str">
        <f>IF(最佳化斷筋點!N434="","",最佳化斷筋點!N434)</f>
        <v/>
      </c>
      <c r="AM434" s="6" t="str">
        <f>IF(最佳化斷筋點!O434="","",最佳化斷筋點!O434)</f>
        <v/>
      </c>
      <c r="AN434" s="6" t="str">
        <f>IF(最佳化斷筋點!P434="","",最佳化斷筋點!P434)</f>
        <v/>
      </c>
      <c r="AO434" s="6" t="str">
        <f>IF(最佳化斷筋點!Q434="","",最佳化斷筋點!Q434)</f>
        <v/>
      </c>
      <c r="AP434" s="6" t="str">
        <f>IF(最佳化斷筋點!R434="","",最佳化斷筋點!R434)</f>
        <v/>
      </c>
      <c r="AQ434" s="6" t="str">
        <f>IF(最佳化斷筋點!S434="","",最佳化斷筋點!S434)</f>
        <v/>
      </c>
      <c r="AR434" s="6" t="str">
        <f>IF(最佳化斷筋點!T434="","",最佳化斷筋點!T434)</f>
        <v/>
      </c>
      <c r="AS434" s="6" t="str">
        <f>IF(最佳化斷筋點!U434="","",最佳化斷筋點!U434)</f>
        <v/>
      </c>
      <c r="AT434" s="6" t="str">
        <f>IF(最佳化斷筋點!V434="","",最佳化斷筋點!V434)</f>
        <v/>
      </c>
      <c r="AU434" s="6" t="str">
        <f>IF(最佳化斷筋點!W434="","",最佳化斷筋點!W434)</f>
        <v/>
      </c>
      <c r="AV434" s="6" t="str">
        <f>IF(最佳化斷筋點!X434="","",最佳化斷筋點!X434)</f>
        <v/>
      </c>
    </row>
    <row r="435" spans="4:71" x14ac:dyDescent="0.25">
      <c r="D435" s="6" t="s">
        <v>50</v>
      </c>
      <c r="E435" s="6">
        <f t="shared" si="127"/>
        <v>0</v>
      </c>
      <c r="F435" s="6">
        <f t="shared" si="128"/>
        <v>0</v>
      </c>
      <c r="G435" s="6">
        <f t="shared" si="129"/>
        <v>0</v>
      </c>
      <c r="H435" s="6">
        <f t="shared" si="130"/>
        <v>0</v>
      </c>
      <c r="I435" s="6">
        <f t="shared" si="131"/>
        <v>0</v>
      </c>
      <c r="J435" s="6">
        <f t="shared" si="132"/>
        <v>0</v>
      </c>
      <c r="K435" s="6">
        <f t="shared" si="133"/>
        <v>0</v>
      </c>
      <c r="L435" s="6">
        <f t="shared" si="134"/>
        <v>0</v>
      </c>
      <c r="M435" s="6">
        <f t="shared" si="135"/>
        <v>0</v>
      </c>
      <c r="N435" s="6">
        <f t="shared" si="136"/>
        <v>0</v>
      </c>
      <c r="O435" s="6">
        <f t="shared" si="137"/>
        <v>0</v>
      </c>
      <c r="P435" s="6">
        <f t="shared" si="138"/>
        <v>0</v>
      </c>
      <c r="Q435" s="6">
        <f t="shared" si="139"/>
        <v>0</v>
      </c>
      <c r="R435" s="6">
        <f t="shared" si="140"/>
        <v>0</v>
      </c>
      <c r="S435" s="6">
        <f t="shared" si="141"/>
        <v>0</v>
      </c>
      <c r="T435" s="6">
        <f t="shared" si="142"/>
        <v>0</v>
      </c>
      <c r="U435" s="6">
        <f t="shared" si="143"/>
        <v>0</v>
      </c>
      <c r="V435" s="6">
        <f t="shared" si="144"/>
        <v>0</v>
      </c>
      <c r="W435" s="6">
        <f t="shared" si="145"/>
        <v>0</v>
      </c>
      <c r="X435" s="6">
        <f t="shared" si="146"/>
        <v>0</v>
      </c>
      <c r="Y435" s="6">
        <f t="shared" si="147"/>
        <v>0</v>
      </c>
      <c r="AA435" s="6" t="str">
        <f>IF(最佳化斷筋點!C435="","",最佳化斷筋點!C435)</f>
        <v>上層</v>
      </c>
      <c r="AB435" s="6">
        <f>IF(最佳化斷筋點!D435="","",最佳化斷筋點!D435)</f>
        <v>10</v>
      </c>
      <c r="AC435" s="6">
        <f>IF(最佳化斷筋點!E435="","",最佳化斷筋點!E435)</f>
        <v>9</v>
      </c>
      <c r="AD435" s="6">
        <f>IF(最佳化斷筋點!F435="","",最佳化斷筋點!F435)</f>
        <v>8</v>
      </c>
      <c r="AE435" s="6">
        <f>IF(最佳化斷筋點!G435="","",最佳化斷筋點!G435)</f>
        <v>8</v>
      </c>
      <c r="AF435" s="6">
        <f>IF(最佳化斷筋點!H435="","",最佳化斷筋點!H435)</f>
        <v>7</v>
      </c>
      <c r="AG435" s="6">
        <f>IF(最佳化斷筋點!I435="","",最佳化斷筋點!I435)</f>
        <v>6</v>
      </c>
      <c r="AH435" s="6">
        <f>IF(最佳化斷筋點!J435="","",最佳化斷筋點!J435)</f>
        <v>5</v>
      </c>
      <c r="AI435" s="6">
        <f>IF(最佳化斷筋點!K435="","",最佳化斷筋點!K435)</f>
        <v>4</v>
      </c>
      <c r="AJ435" s="6">
        <f>IF(最佳化斷筋點!L435="","",最佳化斷筋點!L435)</f>
        <v>3</v>
      </c>
      <c r="AK435" s="6">
        <f>IF(最佳化斷筋點!M435="","",最佳化斷筋點!M435)</f>
        <v>2</v>
      </c>
      <c r="AL435" s="6">
        <f>IF(最佳化斷筋點!N435="","",最佳化斷筋點!N435)</f>
        <v>2</v>
      </c>
      <c r="AM435" s="6">
        <f>IF(最佳化斷筋點!O435="","",最佳化斷筋點!O435)</f>
        <v>2</v>
      </c>
      <c r="AN435" s="6">
        <f>IF(最佳化斷筋點!P435="","",最佳化斷筋點!P435)</f>
        <v>2</v>
      </c>
      <c r="AO435" s="6">
        <f>IF(最佳化斷筋點!Q435="","",最佳化斷筋點!Q435)</f>
        <v>4</v>
      </c>
      <c r="AP435" s="6">
        <f>IF(最佳化斷筋點!R435="","",最佳化斷筋點!R435)</f>
        <v>4</v>
      </c>
      <c r="AQ435" s="6">
        <f>IF(最佳化斷筋點!S435="","",最佳化斷筋點!S435)</f>
        <v>5</v>
      </c>
      <c r="AR435" s="6">
        <f>IF(最佳化斷筋點!T435="","",最佳化斷筋點!T435)</f>
        <v>6</v>
      </c>
      <c r="AS435" s="6">
        <f>IF(最佳化斷筋點!U435="","",最佳化斷筋點!U435)</f>
        <v>7</v>
      </c>
      <c r="AT435" s="6">
        <f>IF(最佳化斷筋點!V435="","",最佳化斷筋點!V435)</f>
        <v>8</v>
      </c>
      <c r="AU435" s="6">
        <f>IF(最佳化斷筋點!W435="","",最佳化斷筋點!W435)</f>
        <v>9</v>
      </c>
      <c r="AV435" s="6">
        <f>IF(最佳化斷筋點!X435="","",最佳化斷筋點!X435)</f>
        <v>10</v>
      </c>
      <c r="AX435" s="6" t="s">
        <v>50</v>
      </c>
      <c r="AY435" s="6">
        <v>10</v>
      </c>
      <c r="AZ435" s="6">
        <v>9</v>
      </c>
      <c r="BA435" s="6">
        <v>8</v>
      </c>
      <c r="BB435" s="6">
        <v>8</v>
      </c>
      <c r="BC435" s="6">
        <v>7</v>
      </c>
      <c r="BD435" s="6">
        <v>6</v>
      </c>
      <c r="BE435" s="6">
        <v>5</v>
      </c>
      <c r="BF435" s="6">
        <v>4</v>
      </c>
      <c r="BG435" s="6">
        <v>3</v>
      </c>
      <c r="BH435" s="6">
        <v>2</v>
      </c>
      <c r="BI435" s="6">
        <v>2</v>
      </c>
      <c r="BJ435" s="6">
        <v>2</v>
      </c>
      <c r="BK435" s="6">
        <v>2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</row>
    <row r="436" spans="4:71" x14ac:dyDescent="0.25">
      <c r="E436" s="6">
        <f t="shared" si="127"/>
        <v>0</v>
      </c>
      <c r="F436" s="6">
        <f t="shared" si="128"/>
        <v>0</v>
      </c>
      <c r="G436" s="6">
        <f t="shared" si="129"/>
        <v>0</v>
      </c>
      <c r="H436" s="6">
        <f t="shared" si="130"/>
        <v>0</v>
      </c>
      <c r="I436" s="6">
        <f t="shared" si="131"/>
        <v>0</v>
      </c>
      <c r="J436" s="6">
        <f t="shared" si="132"/>
        <v>0</v>
      </c>
      <c r="K436" s="6">
        <f t="shared" si="133"/>
        <v>0</v>
      </c>
      <c r="L436" s="6">
        <f t="shared" si="134"/>
        <v>0</v>
      </c>
      <c r="M436" s="6">
        <f t="shared" si="135"/>
        <v>0</v>
      </c>
      <c r="N436" s="6">
        <f t="shared" si="136"/>
        <v>0</v>
      </c>
      <c r="O436" s="6">
        <f t="shared" si="137"/>
        <v>0</v>
      </c>
      <c r="P436" s="6">
        <f t="shared" si="138"/>
        <v>0</v>
      </c>
      <c r="Q436" s="6">
        <f t="shared" si="139"/>
        <v>0</v>
      </c>
      <c r="R436" s="6">
        <f t="shared" si="140"/>
        <v>0</v>
      </c>
      <c r="S436" s="6">
        <f t="shared" si="141"/>
        <v>0</v>
      </c>
      <c r="T436" s="6">
        <f t="shared" si="142"/>
        <v>0</v>
      </c>
      <c r="U436" s="6">
        <f t="shared" si="143"/>
        <v>0</v>
      </c>
      <c r="V436" s="6">
        <f t="shared" si="144"/>
        <v>0</v>
      </c>
      <c r="W436" s="6">
        <f t="shared" si="145"/>
        <v>0</v>
      </c>
      <c r="X436" s="6">
        <f t="shared" si="146"/>
        <v>0</v>
      </c>
      <c r="Y436" s="6">
        <f t="shared" si="147"/>
        <v>0</v>
      </c>
      <c r="AA436" s="6" t="str">
        <f>IF(最佳化斷筋點!C436="","",最佳化斷筋點!C436)</f>
        <v/>
      </c>
      <c r="AB436" s="6" t="str">
        <f>IF(最佳化斷筋點!D436="","",最佳化斷筋點!D436)</f>
        <v/>
      </c>
      <c r="AC436" s="6" t="str">
        <f>IF(最佳化斷筋點!E436="","",最佳化斷筋點!E436)</f>
        <v/>
      </c>
      <c r="AD436" s="6" t="str">
        <f>IF(最佳化斷筋點!F436="","",最佳化斷筋點!F436)</f>
        <v/>
      </c>
      <c r="AE436" s="6" t="str">
        <f>IF(最佳化斷筋點!G436="","",最佳化斷筋點!G436)</f>
        <v/>
      </c>
      <c r="AF436" s="6" t="str">
        <f>IF(最佳化斷筋點!H436="","",最佳化斷筋點!H436)</f>
        <v/>
      </c>
      <c r="AG436" s="6" t="str">
        <f>IF(最佳化斷筋點!I436="","",最佳化斷筋點!I436)</f>
        <v/>
      </c>
      <c r="AH436" s="6" t="str">
        <f>IF(最佳化斷筋點!J436="","",最佳化斷筋點!J436)</f>
        <v/>
      </c>
      <c r="AI436" s="6" t="str">
        <f>IF(最佳化斷筋點!K436="","",最佳化斷筋點!K436)</f>
        <v/>
      </c>
      <c r="AJ436" s="6" t="str">
        <f>IF(最佳化斷筋點!L436="","",最佳化斷筋點!L436)</f>
        <v/>
      </c>
      <c r="AK436" s="6" t="str">
        <f>IF(最佳化斷筋點!M436="","",最佳化斷筋點!M436)</f>
        <v/>
      </c>
      <c r="AL436" s="6" t="str">
        <f>IF(最佳化斷筋點!N436="","",最佳化斷筋點!N436)</f>
        <v/>
      </c>
      <c r="AM436" s="6" t="str">
        <f>IF(最佳化斷筋點!O436="","",最佳化斷筋點!O436)</f>
        <v/>
      </c>
      <c r="AN436" s="6" t="str">
        <f>IF(最佳化斷筋點!P436="","",最佳化斷筋點!P436)</f>
        <v/>
      </c>
      <c r="AO436" s="6" t="str">
        <f>IF(最佳化斷筋點!Q436="","",最佳化斷筋點!Q436)</f>
        <v/>
      </c>
      <c r="AP436" s="6" t="str">
        <f>IF(最佳化斷筋點!R436="","",最佳化斷筋點!R436)</f>
        <v/>
      </c>
      <c r="AQ436" s="6" t="str">
        <f>IF(最佳化斷筋點!S436="","",最佳化斷筋點!S436)</f>
        <v/>
      </c>
      <c r="AR436" s="6" t="str">
        <f>IF(最佳化斷筋點!T436="","",最佳化斷筋點!T436)</f>
        <v/>
      </c>
      <c r="AS436" s="6" t="str">
        <f>IF(最佳化斷筋點!U436="","",最佳化斷筋點!U436)</f>
        <v/>
      </c>
      <c r="AT436" s="6" t="str">
        <f>IF(最佳化斷筋點!V436="","",最佳化斷筋點!V436)</f>
        <v/>
      </c>
      <c r="AU436" s="6" t="str">
        <f>IF(最佳化斷筋點!W436="","",最佳化斷筋點!W436)</f>
        <v/>
      </c>
      <c r="AV436" s="6" t="str">
        <f>IF(最佳化斷筋點!X436="","",最佳化斷筋點!X436)</f>
        <v/>
      </c>
    </row>
    <row r="437" spans="4:71" x14ac:dyDescent="0.25">
      <c r="D437" s="6" t="s">
        <v>51</v>
      </c>
      <c r="E437" s="6">
        <f t="shared" si="127"/>
        <v>0</v>
      </c>
      <c r="F437" s="6">
        <f t="shared" si="128"/>
        <v>0</v>
      </c>
      <c r="G437" s="6">
        <f t="shared" si="129"/>
        <v>0</v>
      </c>
      <c r="H437" s="6">
        <f t="shared" si="130"/>
        <v>0</v>
      </c>
      <c r="I437" s="6">
        <f t="shared" si="131"/>
        <v>0</v>
      </c>
      <c r="J437" s="6">
        <f t="shared" si="132"/>
        <v>0</v>
      </c>
      <c r="K437" s="6">
        <f t="shared" si="133"/>
        <v>0</v>
      </c>
      <c r="L437" s="6">
        <f t="shared" si="134"/>
        <v>0</v>
      </c>
      <c r="M437" s="6">
        <f t="shared" si="135"/>
        <v>0</v>
      </c>
      <c r="N437" s="6">
        <f t="shared" si="136"/>
        <v>0</v>
      </c>
      <c r="O437" s="6">
        <f t="shared" si="137"/>
        <v>0</v>
      </c>
      <c r="P437" s="6">
        <f t="shared" si="138"/>
        <v>0</v>
      </c>
      <c r="Q437" s="6">
        <f t="shared" si="139"/>
        <v>0</v>
      </c>
      <c r="R437" s="6">
        <f t="shared" si="140"/>
        <v>0</v>
      </c>
      <c r="S437" s="6">
        <f t="shared" si="141"/>
        <v>0</v>
      </c>
      <c r="T437" s="6">
        <f t="shared" si="142"/>
        <v>0</v>
      </c>
      <c r="U437" s="6">
        <f t="shared" si="143"/>
        <v>0</v>
      </c>
      <c r="V437" s="6">
        <f t="shared" si="144"/>
        <v>0</v>
      </c>
      <c r="W437" s="6">
        <f t="shared" si="145"/>
        <v>0</v>
      </c>
      <c r="X437" s="6">
        <f t="shared" si="146"/>
        <v>0</v>
      </c>
      <c r="Y437" s="6">
        <f t="shared" si="147"/>
        <v>0</v>
      </c>
      <c r="AA437" s="6" t="str">
        <f>IF(最佳化斷筋點!C437="","",最佳化斷筋點!C437)</f>
        <v>下層</v>
      </c>
      <c r="AB437" s="6">
        <f>IF(最佳化斷筋點!D437="","",最佳化斷筋點!D437)</f>
        <v>7</v>
      </c>
      <c r="AC437" s="6">
        <f>IF(最佳化斷筋點!E437="","",最佳化斷筋點!E437)</f>
        <v>7</v>
      </c>
      <c r="AD437" s="6">
        <f>IF(最佳化斷筋點!F437="","",最佳化斷筋點!F437)</f>
        <v>6</v>
      </c>
      <c r="AE437" s="6">
        <f>IF(最佳化斷筋點!G437="","",最佳化斷筋點!G437)</f>
        <v>5</v>
      </c>
      <c r="AF437" s="6">
        <f>IF(最佳化斷筋點!H437="","",最佳化斷筋點!H437)</f>
        <v>5</v>
      </c>
      <c r="AG437" s="6">
        <f>IF(最佳化斷筋點!I437="","",最佳化斷筋點!I437)</f>
        <v>6</v>
      </c>
      <c r="AH437" s="6">
        <f>IF(最佳化斷筋點!J437="","",最佳化斷筋點!J437)</f>
        <v>6</v>
      </c>
      <c r="AI437" s="6">
        <f>IF(最佳化斷筋點!K437="","",最佳化斷筋點!K437)</f>
        <v>7</v>
      </c>
      <c r="AJ437" s="6">
        <f>IF(最佳化斷筋點!L437="","",最佳化斷筋點!L437)</f>
        <v>7</v>
      </c>
      <c r="AK437" s="6">
        <f>IF(最佳化斷筋點!M437="","",最佳化斷筋點!M437)</f>
        <v>7</v>
      </c>
      <c r="AL437" s="6">
        <f>IF(最佳化斷筋點!N437="","",最佳化斷筋點!N437)</f>
        <v>7</v>
      </c>
      <c r="AM437" s="6">
        <f>IF(最佳化斷筋點!O437="","",最佳化斷筋點!O437)</f>
        <v>7</v>
      </c>
      <c r="AN437" s="6">
        <f>IF(最佳化斷筋點!P437="","",最佳化斷筋點!P437)</f>
        <v>7</v>
      </c>
      <c r="AO437" s="6">
        <f>IF(最佳化斷筋點!Q437="","",最佳化斷筋點!Q437)</f>
        <v>7</v>
      </c>
      <c r="AP437" s="6">
        <f>IF(最佳化斷筋點!R437="","",最佳化斷筋點!R437)</f>
        <v>6</v>
      </c>
      <c r="AQ437" s="6">
        <f>IF(最佳化斷筋點!S437="","",最佳化斷筋點!S437)</f>
        <v>6</v>
      </c>
      <c r="AR437" s="6">
        <f>IF(最佳化斷筋點!T437="","",最佳化斷筋點!T437)</f>
        <v>5</v>
      </c>
      <c r="AS437" s="6">
        <f>IF(最佳化斷筋點!U437="","",最佳化斷筋點!U437)</f>
        <v>5</v>
      </c>
      <c r="AT437" s="6">
        <f>IF(最佳化斷筋點!V437="","",最佳化斷筋點!V437)</f>
        <v>6</v>
      </c>
      <c r="AU437" s="6">
        <f>IF(最佳化斷筋點!W437="","",最佳化斷筋點!W437)</f>
        <v>7</v>
      </c>
      <c r="AV437" s="6">
        <f>IF(最佳化斷筋點!X437="","",最佳化斷筋點!X437)</f>
        <v>7</v>
      </c>
      <c r="AX437" s="6" t="s">
        <v>51</v>
      </c>
      <c r="AY437" s="6">
        <v>7</v>
      </c>
      <c r="AZ437" s="6">
        <v>7</v>
      </c>
      <c r="BA437" s="6">
        <v>6</v>
      </c>
      <c r="BB437" s="6">
        <v>5</v>
      </c>
      <c r="BC437" s="6">
        <v>5</v>
      </c>
      <c r="BD437" s="6">
        <v>6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6</v>
      </c>
      <c r="BN437" s="6">
        <v>6</v>
      </c>
      <c r="BO437" s="6">
        <v>5</v>
      </c>
      <c r="BP437" s="6">
        <v>5</v>
      </c>
      <c r="BQ437" s="6">
        <v>6</v>
      </c>
      <c r="BR437" s="6">
        <v>7</v>
      </c>
      <c r="BS437" s="6">
        <v>7</v>
      </c>
    </row>
    <row r="438" spans="4:71" x14ac:dyDescent="0.25">
      <c r="E438" s="6">
        <f t="shared" si="127"/>
        <v>0</v>
      </c>
      <c r="F438" s="6">
        <f t="shared" si="128"/>
        <v>0</v>
      </c>
      <c r="G438" s="6">
        <f t="shared" si="129"/>
        <v>0</v>
      </c>
      <c r="H438" s="6">
        <f t="shared" si="130"/>
        <v>0</v>
      </c>
      <c r="I438" s="6">
        <f t="shared" si="131"/>
        <v>0</v>
      </c>
      <c r="J438" s="6">
        <f t="shared" si="132"/>
        <v>0</v>
      </c>
      <c r="K438" s="6">
        <f t="shared" si="133"/>
        <v>0</v>
      </c>
      <c r="L438" s="6">
        <f t="shared" si="134"/>
        <v>0</v>
      </c>
      <c r="M438" s="6">
        <f t="shared" si="135"/>
        <v>0</v>
      </c>
      <c r="N438" s="6">
        <f t="shared" si="136"/>
        <v>0</v>
      </c>
      <c r="O438" s="6">
        <f t="shared" si="137"/>
        <v>0</v>
      </c>
      <c r="P438" s="6">
        <f t="shared" si="138"/>
        <v>0</v>
      </c>
      <c r="Q438" s="6">
        <f t="shared" si="139"/>
        <v>0</v>
      </c>
      <c r="R438" s="6">
        <f t="shared" si="140"/>
        <v>0</v>
      </c>
      <c r="S438" s="6">
        <f t="shared" si="141"/>
        <v>0</v>
      </c>
      <c r="T438" s="6">
        <f t="shared" si="142"/>
        <v>0</v>
      </c>
      <c r="U438" s="6">
        <f t="shared" si="143"/>
        <v>0</v>
      </c>
      <c r="V438" s="6">
        <f t="shared" si="144"/>
        <v>0</v>
      </c>
      <c r="W438" s="6">
        <f t="shared" si="145"/>
        <v>0</v>
      </c>
      <c r="X438" s="6">
        <f t="shared" si="146"/>
        <v>0</v>
      </c>
      <c r="Y438" s="6">
        <f t="shared" si="147"/>
        <v>0</v>
      </c>
      <c r="AA438" s="6" t="str">
        <f>IF(最佳化斷筋點!C438="","",最佳化斷筋點!C438)</f>
        <v/>
      </c>
      <c r="AB438" s="6" t="str">
        <f>IF(最佳化斷筋點!D438="","",最佳化斷筋點!D438)</f>
        <v/>
      </c>
      <c r="AC438" s="6" t="str">
        <f>IF(最佳化斷筋點!E438="","",最佳化斷筋點!E438)</f>
        <v/>
      </c>
      <c r="AD438" s="6" t="str">
        <f>IF(最佳化斷筋點!F438="","",最佳化斷筋點!F438)</f>
        <v/>
      </c>
      <c r="AE438" s="6" t="str">
        <f>IF(最佳化斷筋點!G438="","",最佳化斷筋點!G438)</f>
        <v/>
      </c>
      <c r="AF438" s="6" t="str">
        <f>IF(最佳化斷筋點!H438="","",最佳化斷筋點!H438)</f>
        <v/>
      </c>
      <c r="AG438" s="6" t="str">
        <f>IF(最佳化斷筋點!I438="","",最佳化斷筋點!I438)</f>
        <v/>
      </c>
      <c r="AH438" s="6" t="str">
        <f>IF(最佳化斷筋點!J438="","",最佳化斷筋點!J438)</f>
        <v/>
      </c>
      <c r="AI438" s="6" t="str">
        <f>IF(最佳化斷筋點!K438="","",最佳化斷筋點!K438)</f>
        <v/>
      </c>
      <c r="AJ438" s="6" t="str">
        <f>IF(最佳化斷筋點!L438="","",最佳化斷筋點!L438)</f>
        <v/>
      </c>
      <c r="AK438" s="6" t="str">
        <f>IF(最佳化斷筋點!M438="","",最佳化斷筋點!M438)</f>
        <v/>
      </c>
      <c r="AL438" s="6" t="str">
        <f>IF(最佳化斷筋點!N438="","",最佳化斷筋點!N438)</f>
        <v/>
      </c>
      <c r="AM438" s="6" t="str">
        <f>IF(最佳化斷筋點!O438="","",最佳化斷筋點!O438)</f>
        <v/>
      </c>
      <c r="AN438" s="6" t="str">
        <f>IF(最佳化斷筋點!P438="","",最佳化斷筋點!P438)</f>
        <v/>
      </c>
      <c r="AO438" s="6" t="str">
        <f>IF(最佳化斷筋點!Q438="","",最佳化斷筋點!Q438)</f>
        <v/>
      </c>
      <c r="AP438" s="6" t="str">
        <f>IF(最佳化斷筋點!R438="","",最佳化斷筋點!R438)</f>
        <v/>
      </c>
      <c r="AQ438" s="6" t="str">
        <f>IF(最佳化斷筋點!S438="","",最佳化斷筋點!S438)</f>
        <v/>
      </c>
      <c r="AR438" s="6" t="str">
        <f>IF(最佳化斷筋點!T438="","",最佳化斷筋點!T438)</f>
        <v/>
      </c>
      <c r="AS438" s="6" t="str">
        <f>IF(最佳化斷筋點!U438="","",最佳化斷筋點!U438)</f>
        <v/>
      </c>
      <c r="AT438" s="6" t="str">
        <f>IF(最佳化斷筋點!V438="","",最佳化斷筋點!V438)</f>
        <v/>
      </c>
      <c r="AU438" s="6" t="str">
        <f>IF(最佳化斷筋點!W438="","",最佳化斷筋點!W438)</f>
        <v/>
      </c>
      <c r="AV438" s="6" t="str">
        <f>IF(最佳化斷筋點!X438="","",最佳化斷筋點!X438)</f>
        <v/>
      </c>
    </row>
    <row r="439" spans="4:71" x14ac:dyDescent="0.25">
      <c r="D439" s="6" t="s">
        <v>50</v>
      </c>
      <c r="E439" s="6">
        <f t="shared" si="127"/>
        <v>0</v>
      </c>
      <c r="F439" s="6">
        <f t="shared" si="128"/>
        <v>0</v>
      </c>
      <c r="G439" s="6">
        <f t="shared" si="129"/>
        <v>0</v>
      </c>
      <c r="H439" s="6">
        <f t="shared" si="130"/>
        <v>0</v>
      </c>
      <c r="I439" s="6">
        <f t="shared" si="131"/>
        <v>0</v>
      </c>
      <c r="J439" s="6">
        <f t="shared" si="132"/>
        <v>0</v>
      </c>
      <c r="K439" s="6">
        <f t="shared" si="133"/>
        <v>0</v>
      </c>
      <c r="L439" s="6">
        <f t="shared" si="134"/>
        <v>0</v>
      </c>
      <c r="M439" s="6">
        <f t="shared" si="135"/>
        <v>0</v>
      </c>
      <c r="N439" s="6">
        <f t="shared" si="136"/>
        <v>0</v>
      </c>
      <c r="O439" s="6">
        <f t="shared" si="137"/>
        <v>0</v>
      </c>
      <c r="P439" s="6">
        <f t="shared" si="138"/>
        <v>0</v>
      </c>
      <c r="Q439" s="6">
        <f t="shared" si="139"/>
        <v>0</v>
      </c>
      <c r="R439" s="6">
        <f t="shared" si="140"/>
        <v>0</v>
      </c>
      <c r="S439" s="6">
        <f t="shared" si="141"/>
        <v>0</v>
      </c>
      <c r="T439" s="6">
        <f t="shared" si="142"/>
        <v>0</v>
      </c>
      <c r="U439" s="6">
        <f t="shared" si="143"/>
        <v>0</v>
      </c>
      <c r="V439" s="6">
        <f t="shared" si="144"/>
        <v>0</v>
      </c>
      <c r="W439" s="6">
        <f t="shared" si="145"/>
        <v>0</v>
      </c>
      <c r="X439" s="6">
        <f t="shared" si="146"/>
        <v>0</v>
      </c>
      <c r="Y439" s="6">
        <f t="shared" si="147"/>
        <v>0</v>
      </c>
      <c r="AA439" s="6" t="str">
        <f>IF(最佳化斷筋點!C439="","",最佳化斷筋點!C439)</f>
        <v>上層</v>
      </c>
      <c r="AB439" s="6">
        <f>IF(最佳化斷筋點!D439="","",最佳化斷筋點!D439)</f>
        <v>10</v>
      </c>
      <c r="AC439" s="6">
        <f>IF(最佳化斷筋點!E439="","",最佳化斷筋點!E439)</f>
        <v>9</v>
      </c>
      <c r="AD439" s="6">
        <f>IF(最佳化斷筋點!F439="","",最佳化斷筋點!F439)</f>
        <v>8</v>
      </c>
      <c r="AE439" s="6">
        <f>IF(最佳化斷筋點!G439="","",最佳化斷筋點!G439)</f>
        <v>8</v>
      </c>
      <c r="AF439" s="6">
        <f>IF(最佳化斷筋點!H439="","",最佳化斷筋點!H439)</f>
        <v>7</v>
      </c>
      <c r="AG439" s="6">
        <f>IF(最佳化斷筋點!I439="","",最佳化斷筋點!I439)</f>
        <v>6</v>
      </c>
      <c r="AH439" s="6">
        <f>IF(最佳化斷筋點!J439="","",最佳化斷筋點!J439)</f>
        <v>5</v>
      </c>
      <c r="AI439" s="6">
        <f>IF(最佳化斷筋點!K439="","",最佳化斷筋點!K439)</f>
        <v>4</v>
      </c>
      <c r="AJ439" s="6">
        <f>IF(最佳化斷筋點!L439="","",最佳化斷筋點!L439)</f>
        <v>3</v>
      </c>
      <c r="AK439" s="6">
        <f>IF(最佳化斷筋點!M439="","",最佳化斷筋點!M439)</f>
        <v>2</v>
      </c>
      <c r="AL439" s="6">
        <f>IF(最佳化斷筋點!N439="","",最佳化斷筋點!N439)</f>
        <v>2</v>
      </c>
      <c r="AM439" s="6">
        <f>IF(最佳化斷筋點!O439="","",最佳化斷筋點!O439)</f>
        <v>2</v>
      </c>
      <c r="AN439" s="6">
        <f>IF(最佳化斷筋點!P439="","",最佳化斷筋點!P439)</f>
        <v>2</v>
      </c>
      <c r="AO439" s="6">
        <f>IF(最佳化斷筋點!Q439="","",最佳化斷筋點!Q439)</f>
        <v>2</v>
      </c>
      <c r="AP439" s="6">
        <f>IF(最佳化斷筋點!R439="","",最佳化斷筋點!R439)</f>
        <v>3</v>
      </c>
      <c r="AQ439" s="6">
        <f>IF(最佳化斷筋點!S439="","",最佳化斷筋點!S439)</f>
        <v>3</v>
      </c>
      <c r="AR439" s="6">
        <f>IF(最佳化斷筋點!T439="","",最佳化斷筋點!T439)</f>
        <v>4</v>
      </c>
      <c r="AS439" s="6">
        <f>IF(最佳化斷筋點!U439="","",最佳化斷筋點!U439)</f>
        <v>5</v>
      </c>
      <c r="AT439" s="6">
        <f>IF(最佳化斷筋點!V439="","",最佳化斷筋點!V439)</f>
        <v>5</v>
      </c>
      <c r="AU439" s="6">
        <f>IF(最佳化斷筋點!W439="","",最佳化斷筋點!W439)</f>
        <v>6</v>
      </c>
      <c r="AV439" s="6">
        <f>IF(最佳化斷筋點!X439="","",最佳化斷筋點!X439)</f>
        <v>6</v>
      </c>
      <c r="AX439" s="6" t="s">
        <v>50</v>
      </c>
      <c r="AY439" s="6">
        <v>10</v>
      </c>
      <c r="AZ439" s="6">
        <v>9</v>
      </c>
      <c r="BA439" s="6">
        <v>8</v>
      </c>
      <c r="BB439" s="6">
        <v>8</v>
      </c>
      <c r="BC439" s="6">
        <v>7</v>
      </c>
      <c r="BD439" s="6">
        <v>6</v>
      </c>
      <c r="BE439" s="6">
        <v>5</v>
      </c>
      <c r="BF439" s="6">
        <v>4</v>
      </c>
      <c r="BG439" s="6">
        <v>3</v>
      </c>
      <c r="BH439" s="6">
        <v>2</v>
      </c>
      <c r="BI439" s="6">
        <v>2</v>
      </c>
      <c r="BJ439" s="6">
        <v>2</v>
      </c>
      <c r="BK439" s="6">
        <v>2</v>
      </c>
      <c r="BL439" s="6">
        <v>2</v>
      </c>
      <c r="BM439" s="6">
        <v>3</v>
      </c>
      <c r="BN439" s="6">
        <v>3</v>
      </c>
      <c r="BO439" s="6">
        <v>4</v>
      </c>
      <c r="BP439" s="6">
        <v>5</v>
      </c>
      <c r="BQ439" s="6">
        <v>5</v>
      </c>
      <c r="BR439" s="6">
        <v>6</v>
      </c>
      <c r="BS439" s="6">
        <v>6</v>
      </c>
    </row>
    <row r="440" spans="4:71" x14ac:dyDescent="0.25">
      <c r="E440" s="6">
        <f t="shared" si="127"/>
        <v>0</v>
      </c>
      <c r="F440" s="6">
        <f t="shared" si="128"/>
        <v>0</v>
      </c>
      <c r="G440" s="6">
        <f t="shared" si="129"/>
        <v>0</v>
      </c>
      <c r="H440" s="6">
        <f t="shared" si="130"/>
        <v>0</v>
      </c>
      <c r="I440" s="6">
        <f t="shared" si="131"/>
        <v>0</v>
      </c>
      <c r="J440" s="6">
        <f t="shared" si="132"/>
        <v>0</v>
      </c>
      <c r="K440" s="6">
        <f t="shared" si="133"/>
        <v>0</v>
      </c>
      <c r="L440" s="6">
        <f t="shared" si="134"/>
        <v>0</v>
      </c>
      <c r="M440" s="6">
        <f t="shared" si="135"/>
        <v>0</v>
      </c>
      <c r="N440" s="6">
        <f t="shared" si="136"/>
        <v>0</v>
      </c>
      <c r="O440" s="6">
        <f t="shared" si="137"/>
        <v>0</v>
      </c>
      <c r="P440" s="6">
        <f t="shared" si="138"/>
        <v>0</v>
      </c>
      <c r="Q440" s="6">
        <f t="shared" si="139"/>
        <v>0</v>
      </c>
      <c r="R440" s="6">
        <f t="shared" si="140"/>
        <v>0</v>
      </c>
      <c r="S440" s="6">
        <f t="shared" si="141"/>
        <v>0</v>
      </c>
      <c r="T440" s="6">
        <f t="shared" si="142"/>
        <v>0</v>
      </c>
      <c r="U440" s="6">
        <f t="shared" si="143"/>
        <v>0</v>
      </c>
      <c r="V440" s="6">
        <f t="shared" si="144"/>
        <v>0</v>
      </c>
      <c r="W440" s="6">
        <f t="shared" si="145"/>
        <v>0</v>
      </c>
      <c r="X440" s="6">
        <f t="shared" si="146"/>
        <v>0</v>
      </c>
      <c r="Y440" s="6">
        <f t="shared" si="147"/>
        <v>0</v>
      </c>
      <c r="AA440" s="6" t="str">
        <f>IF(最佳化斷筋點!C440="","",最佳化斷筋點!C440)</f>
        <v/>
      </c>
      <c r="AB440" s="6" t="str">
        <f>IF(最佳化斷筋點!D440="","",最佳化斷筋點!D440)</f>
        <v/>
      </c>
      <c r="AC440" s="6" t="str">
        <f>IF(最佳化斷筋點!E440="","",最佳化斷筋點!E440)</f>
        <v/>
      </c>
      <c r="AD440" s="6" t="str">
        <f>IF(最佳化斷筋點!F440="","",最佳化斷筋點!F440)</f>
        <v/>
      </c>
      <c r="AE440" s="6" t="str">
        <f>IF(最佳化斷筋點!G440="","",最佳化斷筋點!G440)</f>
        <v/>
      </c>
      <c r="AF440" s="6" t="str">
        <f>IF(最佳化斷筋點!H440="","",最佳化斷筋點!H440)</f>
        <v/>
      </c>
      <c r="AG440" s="6" t="str">
        <f>IF(最佳化斷筋點!I440="","",最佳化斷筋點!I440)</f>
        <v/>
      </c>
      <c r="AH440" s="6" t="str">
        <f>IF(最佳化斷筋點!J440="","",最佳化斷筋點!J440)</f>
        <v/>
      </c>
      <c r="AI440" s="6" t="str">
        <f>IF(最佳化斷筋點!K440="","",最佳化斷筋點!K440)</f>
        <v/>
      </c>
      <c r="AJ440" s="6" t="str">
        <f>IF(最佳化斷筋點!L440="","",最佳化斷筋點!L440)</f>
        <v/>
      </c>
      <c r="AK440" s="6" t="str">
        <f>IF(最佳化斷筋點!M440="","",最佳化斷筋點!M440)</f>
        <v/>
      </c>
      <c r="AL440" s="6" t="str">
        <f>IF(最佳化斷筋點!N440="","",最佳化斷筋點!N440)</f>
        <v/>
      </c>
      <c r="AM440" s="6" t="str">
        <f>IF(最佳化斷筋點!O440="","",最佳化斷筋點!O440)</f>
        <v/>
      </c>
      <c r="AN440" s="6" t="str">
        <f>IF(最佳化斷筋點!P440="","",最佳化斷筋點!P440)</f>
        <v/>
      </c>
      <c r="AO440" s="6" t="str">
        <f>IF(最佳化斷筋點!Q440="","",最佳化斷筋點!Q440)</f>
        <v/>
      </c>
      <c r="AP440" s="6" t="str">
        <f>IF(最佳化斷筋點!R440="","",最佳化斷筋點!R440)</f>
        <v/>
      </c>
      <c r="AQ440" s="6" t="str">
        <f>IF(最佳化斷筋點!S440="","",最佳化斷筋點!S440)</f>
        <v/>
      </c>
      <c r="AR440" s="6" t="str">
        <f>IF(最佳化斷筋點!T440="","",最佳化斷筋點!T440)</f>
        <v/>
      </c>
      <c r="AS440" s="6" t="str">
        <f>IF(最佳化斷筋點!U440="","",最佳化斷筋點!U440)</f>
        <v/>
      </c>
      <c r="AT440" s="6" t="str">
        <f>IF(最佳化斷筋點!V440="","",最佳化斷筋點!V440)</f>
        <v/>
      </c>
      <c r="AU440" s="6" t="str">
        <f>IF(最佳化斷筋點!W440="","",最佳化斷筋點!W440)</f>
        <v/>
      </c>
      <c r="AV440" s="6" t="str">
        <f>IF(最佳化斷筋點!X440="","",最佳化斷筋點!X440)</f>
        <v/>
      </c>
    </row>
    <row r="441" spans="4:71" x14ac:dyDescent="0.25">
      <c r="D441" s="6" t="s">
        <v>51</v>
      </c>
      <c r="E441" s="6">
        <f t="shared" si="127"/>
        <v>0</v>
      </c>
      <c r="F441" s="6">
        <f t="shared" si="128"/>
        <v>0</v>
      </c>
      <c r="G441" s="6">
        <f t="shared" si="129"/>
        <v>0</v>
      </c>
      <c r="H441" s="6">
        <f t="shared" si="130"/>
        <v>0</v>
      </c>
      <c r="I441" s="6">
        <f t="shared" si="131"/>
        <v>0</v>
      </c>
      <c r="J441" s="6">
        <f t="shared" si="132"/>
        <v>0</v>
      </c>
      <c r="K441" s="6">
        <f t="shared" si="133"/>
        <v>0</v>
      </c>
      <c r="L441" s="6">
        <f t="shared" si="134"/>
        <v>0</v>
      </c>
      <c r="M441" s="6">
        <f t="shared" si="135"/>
        <v>0</v>
      </c>
      <c r="N441" s="6">
        <f t="shared" si="136"/>
        <v>0</v>
      </c>
      <c r="O441" s="6">
        <f t="shared" si="137"/>
        <v>0</v>
      </c>
      <c r="P441" s="6">
        <f t="shared" si="138"/>
        <v>0</v>
      </c>
      <c r="Q441" s="6">
        <f t="shared" si="139"/>
        <v>0</v>
      </c>
      <c r="R441" s="6">
        <f t="shared" si="140"/>
        <v>0</v>
      </c>
      <c r="S441" s="6">
        <f t="shared" si="141"/>
        <v>0</v>
      </c>
      <c r="T441" s="6">
        <f t="shared" si="142"/>
        <v>0</v>
      </c>
      <c r="U441" s="6">
        <f t="shared" si="143"/>
        <v>0</v>
      </c>
      <c r="V441" s="6">
        <f t="shared" si="144"/>
        <v>0</v>
      </c>
      <c r="W441" s="6">
        <f t="shared" si="145"/>
        <v>0</v>
      </c>
      <c r="X441" s="6">
        <f t="shared" si="146"/>
        <v>0</v>
      </c>
      <c r="Y441" s="6">
        <f t="shared" si="147"/>
        <v>0</v>
      </c>
      <c r="AA441" s="6" t="str">
        <f>IF(最佳化斷筋點!C441="","",最佳化斷筋點!C441)</f>
        <v>下層</v>
      </c>
      <c r="AB441" s="6">
        <f>IF(最佳化斷筋點!D441="","",最佳化斷筋點!D441)</f>
        <v>3</v>
      </c>
      <c r="AC441" s="6">
        <f>IF(最佳化斷筋點!E441="","",最佳化斷筋點!E441)</f>
        <v>3</v>
      </c>
      <c r="AD441" s="6">
        <f>IF(最佳化斷筋點!F441="","",最佳化斷筋點!F441)</f>
        <v>3</v>
      </c>
      <c r="AE441" s="6">
        <f>IF(最佳化斷筋點!G441="","",最佳化斷筋點!G441)</f>
        <v>3</v>
      </c>
      <c r="AF441" s="6">
        <f>IF(最佳化斷筋點!H441="","",最佳化斷筋點!H441)</f>
        <v>3</v>
      </c>
      <c r="AG441" s="6">
        <f>IF(最佳化斷筋點!I441="","",最佳化斷筋點!I441)</f>
        <v>3</v>
      </c>
      <c r="AH441" s="6">
        <f>IF(最佳化斷筋點!J441="","",最佳化斷筋點!J441)</f>
        <v>4</v>
      </c>
      <c r="AI441" s="6">
        <f>IF(最佳化斷筋點!K441="","",最佳化斷筋點!K441)</f>
        <v>4</v>
      </c>
      <c r="AJ441" s="6">
        <f>IF(最佳化斷筋點!L441="","",最佳化斷筋點!L441)</f>
        <v>4</v>
      </c>
      <c r="AK441" s="6">
        <f>IF(最佳化斷筋點!M441="","",最佳化斷筋點!M441)</f>
        <v>4</v>
      </c>
      <c r="AL441" s="6">
        <f>IF(最佳化斷筋點!N441="","",最佳化斷筋點!N441)</f>
        <v>4</v>
      </c>
      <c r="AM441" s="6">
        <f>IF(最佳化斷筋點!O441="","",最佳化斷筋點!O441)</f>
        <v>4</v>
      </c>
      <c r="AN441" s="6">
        <f>IF(最佳化斷筋點!P441="","",最佳化斷筋點!P441)</f>
        <v>4</v>
      </c>
      <c r="AO441" s="6">
        <f>IF(最佳化斷筋點!Q441="","",最佳化斷筋點!Q441)</f>
        <v>4</v>
      </c>
      <c r="AP441" s="6">
        <f>IF(最佳化斷筋點!R441="","",最佳化斷筋點!R441)</f>
        <v>4</v>
      </c>
      <c r="AQ441" s="6">
        <f>IF(最佳化斷筋點!S441="","",最佳化斷筋點!S441)</f>
        <v>3</v>
      </c>
      <c r="AR441" s="6">
        <f>IF(最佳化斷筋點!T441="","",最佳化斷筋點!T441)</f>
        <v>3</v>
      </c>
      <c r="AS441" s="6">
        <f>IF(最佳化斷筋點!U441="","",最佳化斷筋點!U441)</f>
        <v>3</v>
      </c>
      <c r="AT441" s="6">
        <f>IF(最佳化斷筋點!V441="","",最佳化斷筋點!V441)</f>
        <v>3</v>
      </c>
      <c r="AU441" s="6">
        <f>IF(最佳化斷筋點!W441="","",最佳化斷筋點!W441)</f>
        <v>3</v>
      </c>
      <c r="AV441" s="6">
        <f>IF(最佳化斷筋點!X441="","",最佳化斷筋點!X441)</f>
        <v>3</v>
      </c>
      <c r="AX441" s="6" t="s">
        <v>51</v>
      </c>
      <c r="AY441" s="6">
        <v>3</v>
      </c>
      <c r="AZ441" s="6">
        <v>3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3</v>
      </c>
      <c r="BO441" s="6">
        <v>3</v>
      </c>
      <c r="BP441" s="6">
        <v>3</v>
      </c>
      <c r="BQ441" s="6">
        <v>3</v>
      </c>
      <c r="BR441" s="6">
        <v>3</v>
      </c>
      <c r="BS441" s="6">
        <v>3</v>
      </c>
    </row>
    <row r="442" spans="4:71" x14ac:dyDescent="0.25">
      <c r="E442" s="6">
        <f t="shared" si="127"/>
        <v>0</v>
      </c>
      <c r="F442" s="6">
        <f t="shared" si="128"/>
        <v>0</v>
      </c>
      <c r="G442" s="6">
        <f t="shared" si="129"/>
        <v>0</v>
      </c>
      <c r="H442" s="6">
        <f t="shared" si="130"/>
        <v>0</v>
      </c>
      <c r="I442" s="6">
        <f t="shared" si="131"/>
        <v>0</v>
      </c>
      <c r="J442" s="6">
        <f t="shared" si="132"/>
        <v>0</v>
      </c>
      <c r="K442" s="6">
        <f t="shared" si="133"/>
        <v>0</v>
      </c>
      <c r="L442" s="6">
        <f t="shared" si="134"/>
        <v>0</v>
      </c>
      <c r="M442" s="6">
        <f t="shared" si="135"/>
        <v>0</v>
      </c>
      <c r="N442" s="6">
        <f t="shared" si="136"/>
        <v>0</v>
      </c>
      <c r="O442" s="6">
        <f t="shared" si="137"/>
        <v>0</v>
      </c>
      <c r="P442" s="6">
        <f t="shared" si="138"/>
        <v>0</v>
      </c>
      <c r="Q442" s="6">
        <f t="shared" si="139"/>
        <v>0</v>
      </c>
      <c r="R442" s="6">
        <f t="shared" si="140"/>
        <v>0</v>
      </c>
      <c r="S442" s="6">
        <f t="shared" si="141"/>
        <v>0</v>
      </c>
      <c r="T442" s="6">
        <f t="shared" si="142"/>
        <v>0</v>
      </c>
      <c r="U442" s="6">
        <f t="shared" si="143"/>
        <v>0</v>
      </c>
      <c r="V442" s="6">
        <f t="shared" si="144"/>
        <v>0</v>
      </c>
      <c r="W442" s="6">
        <f t="shared" si="145"/>
        <v>0</v>
      </c>
      <c r="X442" s="6">
        <f t="shared" si="146"/>
        <v>0</v>
      </c>
      <c r="Y442" s="6">
        <f t="shared" si="147"/>
        <v>0</v>
      </c>
      <c r="AA442" s="6" t="str">
        <f>IF(最佳化斷筋點!C442="","",最佳化斷筋點!C442)</f>
        <v/>
      </c>
      <c r="AB442" s="6" t="str">
        <f>IF(最佳化斷筋點!D442="","",最佳化斷筋點!D442)</f>
        <v/>
      </c>
      <c r="AC442" s="6" t="str">
        <f>IF(最佳化斷筋點!E442="","",最佳化斷筋點!E442)</f>
        <v/>
      </c>
      <c r="AD442" s="6" t="str">
        <f>IF(最佳化斷筋點!F442="","",最佳化斷筋點!F442)</f>
        <v/>
      </c>
      <c r="AE442" s="6" t="str">
        <f>IF(最佳化斷筋點!G442="","",最佳化斷筋點!G442)</f>
        <v/>
      </c>
      <c r="AF442" s="6" t="str">
        <f>IF(最佳化斷筋點!H442="","",最佳化斷筋點!H442)</f>
        <v/>
      </c>
      <c r="AG442" s="6" t="str">
        <f>IF(最佳化斷筋點!I442="","",最佳化斷筋點!I442)</f>
        <v/>
      </c>
      <c r="AH442" s="6" t="str">
        <f>IF(最佳化斷筋點!J442="","",最佳化斷筋點!J442)</f>
        <v/>
      </c>
      <c r="AI442" s="6" t="str">
        <f>IF(最佳化斷筋點!K442="","",最佳化斷筋點!K442)</f>
        <v/>
      </c>
      <c r="AJ442" s="6" t="str">
        <f>IF(最佳化斷筋點!L442="","",最佳化斷筋點!L442)</f>
        <v/>
      </c>
      <c r="AK442" s="6" t="str">
        <f>IF(最佳化斷筋點!M442="","",最佳化斷筋點!M442)</f>
        <v/>
      </c>
      <c r="AL442" s="6" t="str">
        <f>IF(最佳化斷筋點!N442="","",最佳化斷筋點!N442)</f>
        <v/>
      </c>
      <c r="AM442" s="6" t="str">
        <f>IF(最佳化斷筋點!O442="","",最佳化斷筋點!O442)</f>
        <v/>
      </c>
      <c r="AN442" s="6" t="str">
        <f>IF(最佳化斷筋點!P442="","",最佳化斷筋點!P442)</f>
        <v/>
      </c>
      <c r="AO442" s="6" t="str">
        <f>IF(最佳化斷筋點!Q442="","",最佳化斷筋點!Q442)</f>
        <v/>
      </c>
      <c r="AP442" s="6" t="str">
        <f>IF(最佳化斷筋點!R442="","",最佳化斷筋點!R442)</f>
        <v/>
      </c>
      <c r="AQ442" s="6" t="str">
        <f>IF(最佳化斷筋點!S442="","",最佳化斷筋點!S442)</f>
        <v/>
      </c>
      <c r="AR442" s="6" t="str">
        <f>IF(最佳化斷筋點!T442="","",最佳化斷筋點!T442)</f>
        <v/>
      </c>
      <c r="AS442" s="6" t="str">
        <f>IF(最佳化斷筋點!U442="","",最佳化斷筋點!U442)</f>
        <v/>
      </c>
      <c r="AT442" s="6" t="str">
        <f>IF(最佳化斷筋點!V442="","",最佳化斷筋點!V442)</f>
        <v/>
      </c>
      <c r="AU442" s="6" t="str">
        <f>IF(最佳化斷筋點!W442="","",最佳化斷筋點!W442)</f>
        <v/>
      </c>
      <c r="AV442" s="6" t="str">
        <f>IF(最佳化斷筋點!X442="","",最佳化斷筋點!X442)</f>
        <v/>
      </c>
    </row>
    <row r="443" spans="4:71" x14ac:dyDescent="0.25">
      <c r="D443" s="6" t="s">
        <v>50</v>
      </c>
      <c r="E443" s="6">
        <f t="shared" si="127"/>
        <v>0</v>
      </c>
      <c r="F443" s="6">
        <f t="shared" si="128"/>
        <v>0</v>
      </c>
      <c r="G443" s="6">
        <f t="shared" si="129"/>
        <v>0</v>
      </c>
      <c r="H443" s="6">
        <f t="shared" si="130"/>
        <v>0</v>
      </c>
      <c r="I443" s="6">
        <f t="shared" si="131"/>
        <v>0</v>
      </c>
      <c r="J443" s="6">
        <f t="shared" si="132"/>
        <v>0</v>
      </c>
      <c r="K443" s="6">
        <f t="shared" si="133"/>
        <v>0</v>
      </c>
      <c r="L443" s="6">
        <f t="shared" si="134"/>
        <v>0</v>
      </c>
      <c r="M443" s="6">
        <f t="shared" si="135"/>
        <v>0</v>
      </c>
      <c r="N443" s="6">
        <f t="shared" si="136"/>
        <v>0</v>
      </c>
      <c r="O443" s="6">
        <f t="shared" si="137"/>
        <v>0</v>
      </c>
      <c r="P443" s="6">
        <f t="shared" si="138"/>
        <v>0</v>
      </c>
      <c r="Q443" s="6">
        <f t="shared" si="139"/>
        <v>0</v>
      </c>
      <c r="R443" s="6">
        <f t="shared" si="140"/>
        <v>0</v>
      </c>
      <c r="S443" s="6">
        <f t="shared" si="141"/>
        <v>0</v>
      </c>
      <c r="T443" s="6">
        <f t="shared" si="142"/>
        <v>0</v>
      </c>
      <c r="U443" s="6">
        <f t="shared" si="143"/>
        <v>0</v>
      </c>
      <c r="V443" s="6">
        <f t="shared" si="144"/>
        <v>0</v>
      </c>
      <c r="W443" s="6">
        <f t="shared" si="145"/>
        <v>0</v>
      </c>
      <c r="X443" s="6">
        <f t="shared" si="146"/>
        <v>0</v>
      </c>
      <c r="Y443" s="6">
        <f t="shared" si="147"/>
        <v>0</v>
      </c>
      <c r="AA443" s="6" t="str">
        <f>IF(最佳化斷筋點!C443="","",最佳化斷筋點!C443)</f>
        <v>上層</v>
      </c>
      <c r="AB443" s="6">
        <f>IF(最佳化斷筋點!D443="","",最佳化斷筋點!D443)</f>
        <v>2</v>
      </c>
      <c r="AC443" s="6">
        <f>IF(最佳化斷筋點!E443="","",最佳化斷筋點!E443)</f>
        <v>2</v>
      </c>
      <c r="AD443" s="6">
        <f>IF(最佳化斷筋點!F443="","",最佳化斷筋點!F443)</f>
        <v>2</v>
      </c>
      <c r="AE443" s="6">
        <f>IF(最佳化斷筋點!G443="","",最佳化斷筋點!G443)</f>
        <v>2</v>
      </c>
      <c r="AF443" s="6">
        <f>IF(最佳化斷筋點!H443="","",最佳化斷筋點!H443)</f>
        <v>2</v>
      </c>
      <c r="AG443" s="6">
        <f>IF(最佳化斷筋點!I443="","",最佳化斷筋點!I443)</f>
        <v>2</v>
      </c>
      <c r="AH443" s="6">
        <f>IF(最佳化斷筋點!J443="","",最佳化斷筋點!J443)</f>
        <v>2</v>
      </c>
      <c r="AI443" s="6">
        <f>IF(最佳化斷筋點!K443="","",最佳化斷筋點!K443)</f>
        <v>2</v>
      </c>
      <c r="AJ443" s="6">
        <f>IF(最佳化斷筋點!L443="","",最佳化斷筋點!L443)</f>
        <v>2</v>
      </c>
      <c r="AK443" s="6">
        <f>IF(最佳化斷筋點!M443="","",最佳化斷筋點!M443)</f>
        <v>2</v>
      </c>
      <c r="AL443" s="6">
        <f>IF(最佳化斷筋點!N443="","",最佳化斷筋點!N443)</f>
        <v>2</v>
      </c>
      <c r="AM443" s="6">
        <f>IF(最佳化斷筋點!O443="","",最佳化斷筋點!O443)</f>
        <v>2</v>
      </c>
      <c r="AN443" s="6">
        <f>IF(最佳化斷筋點!P443="","",最佳化斷筋點!P443)</f>
        <v>2</v>
      </c>
      <c r="AO443" s="6">
        <f>IF(最佳化斷筋點!Q443="","",最佳化斷筋點!Q443)</f>
        <v>4</v>
      </c>
      <c r="AP443" s="6">
        <f>IF(最佳化斷筋點!R443="","",最佳化斷筋點!R443)</f>
        <v>4</v>
      </c>
      <c r="AQ443" s="6">
        <f>IF(最佳化斷筋點!S443="","",最佳化斷筋點!S443)</f>
        <v>5</v>
      </c>
      <c r="AR443" s="6">
        <f>IF(最佳化斷筋點!T443="","",最佳化斷筋點!T443)</f>
        <v>6</v>
      </c>
      <c r="AS443" s="6">
        <f>IF(最佳化斷筋點!U443="","",最佳化斷筋點!U443)</f>
        <v>7</v>
      </c>
      <c r="AT443" s="6">
        <f>IF(最佳化斷筋點!V443="","",最佳化斷筋點!V443)</f>
        <v>8</v>
      </c>
      <c r="AU443" s="6">
        <f>IF(最佳化斷筋點!W443="","",最佳化斷筋點!W443)</f>
        <v>9</v>
      </c>
      <c r="AV443" s="6">
        <f>IF(最佳化斷筋點!X443="","",最佳化斷筋點!X443)</f>
        <v>10</v>
      </c>
      <c r="AX443" s="6" t="s">
        <v>50</v>
      </c>
      <c r="AY443" s="6">
        <v>2</v>
      </c>
      <c r="AZ443" s="6">
        <v>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</row>
    <row r="444" spans="4:71" x14ac:dyDescent="0.25">
      <c r="E444" s="6">
        <f t="shared" si="127"/>
        <v>0</v>
      </c>
      <c r="F444" s="6">
        <f t="shared" si="128"/>
        <v>0</v>
      </c>
      <c r="G444" s="6">
        <f t="shared" si="129"/>
        <v>0</v>
      </c>
      <c r="H444" s="6">
        <f t="shared" si="130"/>
        <v>0</v>
      </c>
      <c r="I444" s="6">
        <f t="shared" si="131"/>
        <v>0</v>
      </c>
      <c r="J444" s="6">
        <f t="shared" si="132"/>
        <v>0</v>
      </c>
      <c r="K444" s="6">
        <f t="shared" si="133"/>
        <v>0</v>
      </c>
      <c r="L444" s="6">
        <f t="shared" si="134"/>
        <v>0</v>
      </c>
      <c r="M444" s="6">
        <f t="shared" si="135"/>
        <v>0</v>
      </c>
      <c r="N444" s="6">
        <f t="shared" si="136"/>
        <v>0</v>
      </c>
      <c r="O444" s="6">
        <f t="shared" si="137"/>
        <v>0</v>
      </c>
      <c r="P444" s="6">
        <f t="shared" si="138"/>
        <v>0</v>
      </c>
      <c r="Q444" s="6">
        <f t="shared" si="139"/>
        <v>0</v>
      </c>
      <c r="R444" s="6">
        <f t="shared" si="140"/>
        <v>0</v>
      </c>
      <c r="S444" s="6">
        <f t="shared" si="141"/>
        <v>0</v>
      </c>
      <c r="T444" s="6">
        <f t="shared" si="142"/>
        <v>0</v>
      </c>
      <c r="U444" s="6">
        <f t="shared" si="143"/>
        <v>0</v>
      </c>
      <c r="V444" s="6">
        <f t="shared" si="144"/>
        <v>0</v>
      </c>
      <c r="W444" s="6">
        <f t="shared" si="145"/>
        <v>0</v>
      </c>
      <c r="X444" s="6">
        <f t="shared" si="146"/>
        <v>0</v>
      </c>
      <c r="Y444" s="6">
        <f t="shared" si="147"/>
        <v>0</v>
      </c>
      <c r="AA444" s="6" t="str">
        <f>IF(最佳化斷筋點!C444="","",最佳化斷筋點!C444)</f>
        <v/>
      </c>
      <c r="AB444" s="6" t="str">
        <f>IF(最佳化斷筋點!D444="","",最佳化斷筋點!D444)</f>
        <v/>
      </c>
      <c r="AC444" s="6" t="str">
        <f>IF(最佳化斷筋點!E444="","",最佳化斷筋點!E444)</f>
        <v/>
      </c>
      <c r="AD444" s="6" t="str">
        <f>IF(最佳化斷筋點!F444="","",最佳化斷筋點!F444)</f>
        <v/>
      </c>
      <c r="AE444" s="6" t="str">
        <f>IF(最佳化斷筋點!G444="","",最佳化斷筋點!G444)</f>
        <v/>
      </c>
      <c r="AF444" s="6" t="str">
        <f>IF(最佳化斷筋點!H444="","",最佳化斷筋點!H444)</f>
        <v/>
      </c>
      <c r="AG444" s="6" t="str">
        <f>IF(最佳化斷筋點!I444="","",最佳化斷筋點!I444)</f>
        <v/>
      </c>
      <c r="AH444" s="6" t="str">
        <f>IF(最佳化斷筋點!J444="","",最佳化斷筋點!J444)</f>
        <v/>
      </c>
      <c r="AI444" s="6" t="str">
        <f>IF(最佳化斷筋點!K444="","",最佳化斷筋點!K444)</f>
        <v/>
      </c>
      <c r="AJ444" s="6" t="str">
        <f>IF(最佳化斷筋點!L444="","",最佳化斷筋點!L444)</f>
        <v/>
      </c>
      <c r="AK444" s="6" t="str">
        <f>IF(最佳化斷筋點!M444="","",最佳化斷筋點!M444)</f>
        <v/>
      </c>
      <c r="AL444" s="6" t="str">
        <f>IF(最佳化斷筋點!N444="","",最佳化斷筋點!N444)</f>
        <v/>
      </c>
      <c r="AM444" s="6" t="str">
        <f>IF(最佳化斷筋點!O444="","",最佳化斷筋點!O444)</f>
        <v/>
      </c>
      <c r="AN444" s="6" t="str">
        <f>IF(最佳化斷筋點!P444="","",最佳化斷筋點!P444)</f>
        <v/>
      </c>
      <c r="AO444" s="6" t="str">
        <f>IF(最佳化斷筋點!Q444="","",最佳化斷筋點!Q444)</f>
        <v/>
      </c>
      <c r="AP444" s="6" t="str">
        <f>IF(最佳化斷筋點!R444="","",最佳化斷筋點!R444)</f>
        <v/>
      </c>
      <c r="AQ444" s="6" t="str">
        <f>IF(最佳化斷筋點!S444="","",最佳化斷筋點!S444)</f>
        <v/>
      </c>
      <c r="AR444" s="6" t="str">
        <f>IF(最佳化斷筋點!T444="","",最佳化斷筋點!T444)</f>
        <v/>
      </c>
      <c r="AS444" s="6" t="str">
        <f>IF(最佳化斷筋點!U444="","",最佳化斷筋點!U444)</f>
        <v/>
      </c>
      <c r="AT444" s="6" t="str">
        <f>IF(最佳化斷筋點!V444="","",最佳化斷筋點!V444)</f>
        <v/>
      </c>
      <c r="AU444" s="6" t="str">
        <f>IF(最佳化斷筋點!W444="","",最佳化斷筋點!W444)</f>
        <v/>
      </c>
      <c r="AV444" s="6" t="str">
        <f>IF(最佳化斷筋點!X444="","",最佳化斷筋點!X444)</f>
        <v/>
      </c>
    </row>
    <row r="445" spans="4:71" x14ac:dyDescent="0.25">
      <c r="D445" s="6" t="s">
        <v>51</v>
      </c>
      <c r="E445" s="6">
        <f t="shared" si="127"/>
        <v>0</v>
      </c>
      <c r="F445" s="6">
        <f t="shared" si="128"/>
        <v>0</v>
      </c>
      <c r="G445" s="6">
        <f t="shared" si="129"/>
        <v>0</v>
      </c>
      <c r="H445" s="6">
        <f t="shared" si="130"/>
        <v>0</v>
      </c>
      <c r="I445" s="6">
        <f t="shared" si="131"/>
        <v>0</v>
      </c>
      <c r="J445" s="6">
        <f t="shared" si="132"/>
        <v>0</v>
      </c>
      <c r="K445" s="6">
        <f t="shared" si="133"/>
        <v>0</v>
      </c>
      <c r="L445" s="6">
        <f t="shared" si="134"/>
        <v>0</v>
      </c>
      <c r="M445" s="6">
        <f t="shared" si="135"/>
        <v>0</v>
      </c>
      <c r="N445" s="6">
        <f t="shared" si="136"/>
        <v>0</v>
      </c>
      <c r="O445" s="6">
        <f t="shared" si="137"/>
        <v>0</v>
      </c>
      <c r="P445" s="6">
        <f t="shared" si="138"/>
        <v>0</v>
      </c>
      <c r="Q445" s="6">
        <f t="shared" si="139"/>
        <v>0</v>
      </c>
      <c r="R445" s="6">
        <f t="shared" si="140"/>
        <v>0</v>
      </c>
      <c r="S445" s="6">
        <f t="shared" si="141"/>
        <v>0</v>
      </c>
      <c r="T445" s="6">
        <f t="shared" si="142"/>
        <v>0</v>
      </c>
      <c r="U445" s="6">
        <f t="shared" si="143"/>
        <v>0</v>
      </c>
      <c r="V445" s="6">
        <f t="shared" si="144"/>
        <v>0</v>
      </c>
      <c r="W445" s="6">
        <f t="shared" si="145"/>
        <v>0</v>
      </c>
      <c r="X445" s="6">
        <f t="shared" si="146"/>
        <v>0</v>
      </c>
      <c r="Y445" s="6">
        <f t="shared" si="147"/>
        <v>0</v>
      </c>
      <c r="AA445" s="6" t="str">
        <f>IF(最佳化斷筋點!C445="","",最佳化斷筋點!C445)</f>
        <v>下層</v>
      </c>
      <c r="AB445" s="6">
        <f>IF(最佳化斷筋點!D445="","",最佳化斷筋點!D445)</f>
        <v>6</v>
      </c>
      <c r="AC445" s="6">
        <f>IF(最佳化斷筋點!E445="","",最佳化斷筋點!E445)</f>
        <v>6</v>
      </c>
      <c r="AD445" s="6">
        <f>IF(最佳化斷筋點!F445="","",最佳化斷筋點!F445)</f>
        <v>5</v>
      </c>
      <c r="AE445" s="6">
        <f>IF(最佳化斷筋點!G445="","",最佳化斷筋點!G445)</f>
        <v>5</v>
      </c>
      <c r="AF445" s="6">
        <f>IF(最佳化斷筋點!H445="","",最佳化斷筋點!H445)</f>
        <v>5</v>
      </c>
      <c r="AG445" s="6">
        <f>IF(最佳化斷筋點!I445="","",最佳化斷筋點!I445)</f>
        <v>6</v>
      </c>
      <c r="AH445" s="6">
        <f>IF(最佳化斷筋點!J445="","",最佳化斷筋點!J445)</f>
        <v>6</v>
      </c>
      <c r="AI445" s="6">
        <f>IF(最佳化斷筋點!K445="","",最佳化斷筋點!K445)</f>
        <v>7</v>
      </c>
      <c r="AJ445" s="6">
        <f>IF(最佳化斷筋點!L445="","",最佳化斷筋點!L445)</f>
        <v>7</v>
      </c>
      <c r="AK445" s="6">
        <f>IF(最佳化斷筋點!M445="","",最佳化斷筋點!M445)</f>
        <v>7</v>
      </c>
      <c r="AL445" s="6">
        <f>IF(最佳化斷筋點!N445="","",最佳化斷筋點!N445)</f>
        <v>7</v>
      </c>
      <c r="AM445" s="6">
        <f>IF(最佳化斷筋點!O445="","",最佳化斷筋點!O445)</f>
        <v>7</v>
      </c>
      <c r="AN445" s="6">
        <f>IF(最佳化斷筋點!P445="","",最佳化斷筋點!P445)</f>
        <v>7</v>
      </c>
      <c r="AO445" s="6">
        <f>IF(最佳化斷筋點!Q445="","",最佳化斷筋點!Q445)</f>
        <v>7</v>
      </c>
      <c r="AP445" s="6">
        <f>IF(最佳化斷筋點!R445="","",最佳化斷筋點!R445)</f>
        <v>6</v>
      </c>
      <c r="AQ445" s="6">
        <f>IF(最佳化斷筋點!S445="","",最佳化斷筋點!S445)</f>
        <v>6</v>
      </c>
      <c r="AR445" s="6">
        <f>IF(最佳化斷筋點!T445="","",最佳化斷筋點!T445)</f>
        <v>5</v>
      </c>
      <c r="AS445" s="6">
        <f>IF(最佳化斷筋點!U445="","",最佳化斷筋點!U445)</f>
        <v>5</v>
      </c>
      <c r="AT445" s="6">
        <f>IF(最佳化斷筋點!V445="","",最佳化斷筋點!V445)</f>
        <v>6</v>
      </c>
      <c r="AU445" s="6">
        <f>IF(最佳化斷筋點!W445="","",最佳化斷筋點!W445)</f>
        <v>7</v>
      </c>
      <c r="AV445" s="6">
        <f>IF(最佳化斷筋點!X445="","",最佳化斷筋點!X445)</f>
        <v>7</v>
      </c>
      <c r="AX445" s="6" t="s">
        <v>51</v>
      </c>
      <c r="AY445" s="6">
        <v>6</v>
      </c>
      <c r="AZ445" s="6">
        <v>6</v>
      </c>
      <c r="BA445" s="6">
        <v>5</v>
      </c>
      <c r="BB445" s="6">
        <v>5</v>
      </c>
      <c r="BC445" s="6">
        <v>5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6</v>
      </c>
      <c r="BN445" s="6">
        <v>6</v>
      </c>
      <c r="BO445" s="6">
        <v>5</v>
      </c>
      <c r="BP445" s="6">
        <v>5</v>
      </c>
      <c r="BQ445" s="6">
        <v>6</v>
      </c>
      <c r="BR445" s="6">
        <v>7</v>
      </c>
      <c r="BS445" s="6">
        <v>7</v>
      </c>
    </row>
    <row r="446" spans="4:71" x14ac:dyDescent="0.25">
      <c r="E446" s="6">
        <f t="shared" si="127"/>
        <v>0</v>
      </c>
      <c r="F446" s="6">
        <f t="shared" si="128"/>
        <v>0</v>
      </c>
      <c r="G446" s="6">
        <f t="shared" si="129"/>
        <v>0</v>
      </c>
      <c r="H446" s="6">
        <f t="shared" si="130"/>
        <v>0</v>
      </c>
      <c r="I446" s="6">
        <f t="shared" si="131"/>
        <v>0</v>
      </c>
      <c r="J446" s="6">
        <f t="shared" si="132"/>
        <v>0</v>
      </c>
      <c r="K446" s="6">
        <f t="shared" si="133"/>
        <v>0</v>
      </c>
      <c r="L446" s="6">
        <f t="shared" si="134"/>
        <v>0</v>
      </c>
      <c r="M446" s="6">
        <f t="shared" si="135"/>
        <v>0</v>
      </c>
      <c r="N446" s="6">
        <f t="shared" si="136"/>
        <v>0</v>
      </c>
      <c r="O446" s="6">
        <f t="shared" si="137"/>
        <v>0</v>
      </c>
      <c r="P446" s="6">
        <f t="shared" si="138"/>
        <v>0</v>
      </c>
      <c r="Q446" s="6">
        <f t="shared" si="139"/>
        <v>0</v>
      </c>
      <c r="R446" s="6">
        <f t="shared" si="140"/>
        <v>0</v>
      </c>
      <c r="S446" s="6">
        <f t="shared" si="141"/>
        <v>0</v>
      </c>
      <c r="T446" s="6">
        <f t="shared" si="142"/>
        <v>0</v>
      </c>
      <c r="U446" s="6">
        <f t="shared" si="143"/>
        <v>0</v>
      </c>
      <c r="V446" s="6">
        <f t="shared" si="144"/>
        <v>0</v>
      </c>
      <c r="W446" s="6">
        <f t="shared" si="145"/>
        <v>0</v>
      </c>
      <c r="X446" s="6">
        <f t="shared" si="146"/>
        <v>0</v>
      </c>
      <c r="Y446" s="6">
        <f t="shared" si="147"/>
        <v>0</v>
      </c>
      <c r="AA446" s="6" t="str">
        <f>IF(最佳化斷筋點!C446="","",最佳化斷筋點!C446)</f>
        <v/>
      </c>
      <c r="AB446" s="6" t="str">
        <f>IF(最佳化斷筋點!D446="","",最佳化斷筋點!D446)</f>
        <v/>
      </c>
      <c r="AC446" s="6" t="str">
        <f>IF(最佳化斷筋點!E446="","",最佳化斷筋點!E446)</f>
        <v/>
      </c>
      <c r="AD446" s="6" t="str">
        <f>IF(最佳化斷筋點!F446="","",最佳化斷筋點!F446)</f>
        <v/>
      </c>
      <c r="AE446" s="6" t="str">
        <f>IF(最佳化斷筋點!G446="","",最佳化斷筋點!G446)</f>
        <v/>
      </c>
      <c r="AF446" s="6" t="str">
        <f>IF(最佳化斷筋點!H446="","",最佳化斷筋點!H446)</f>
        <v/>
      </c>
      <c r="AG446" s="6" t="str">
        <f>IF(最佳化斷筋點!I446="","",最佳化斷筋點!I446)</f>
        <v/>
      </c>
      <c r="AH446" s="6" t="str">
        <f>IF(最佳化斷筋點!J446="","",最佳化斷筋點!J446)</f>
        <v/>
      </c>
      <c r="AI446" s="6" t="str">
        <f>IF(最佳化斷筋點!K446="","",最佳化斷筋點!K446)</f>
        <v/>
      </c>
      <c r="AJ446" s="6" t="str">
        <f>IF(最佳化斷筋點!L446="","",最佳化斷筋點!L446)</f>
        <v/>
      </c>
      <c r="AK446" s="6" t="str">
        <f>IF(最佳化斷筋點!M446="","",最佳化斷筋點!M446)</f>
        <v/>
      </c>
      <c r="AL446" s="6" t="str">
        <f>IF(最佳化斷筋點!N446="","",最佳化斷筋點!N446)</f>
        <v/>
      </c>
      <c r="AM446" s="6" t="str">
        <f>IF(最佳化斷筋點!O446="","",最佳化斷筋點!O446)</f>
        <v/>
      </c>
      <c r="AN446" s="6" t="str">
        <f>IF(最佳化斷筋點!P446="","",最佳化斷筋點!P446)</f>
        <v/>
      </c>
      <c r="AO446" s="6" t="str">
        <f>IF(最佳化斷筋點!Q446="","",最佳化斷筋點!Q446)</f>
        <v/>
      </c>
      <c r="AP446" s="6" t="str">
        <f>IF(最佳化斷筋點!R446="","",最佳化斷筋點!R446)</f>
        <v/>
      </c>
      <c r="AQ446" s="6" t="str">
        <f>IF(最佳化斷筋點!S446="","",最佳化斷筋點!S446)</f>
        <v/>
      </c>
      <c r="AR446" s="6" t="str">
        <f>IF(最佳化斷筋點!T446="","",最佳化斷筋點!T446)</f>
        <v/>
      </c>
      <c r="AS446" s="6" t="str">
        <f>IF(最佳化斷筋點!U446="","",最佳化斷筋點!U446)</f>
        <v/>
      </c>
      <c r="AT446" s="6" t="str">
        <f>IF(最佳化斷筋點!V446="","",最佳化斷筋點!V446)</f>
        <v/>
      </c>
      <c r="AU446" s="6" t="str">
        <f>IF(最佳化斷筋點!W446="","",最佳化斷筋點!W446)</f>
        <v/>
      </c>
      <c r="AV446" s="6" t="str">
        <f>IF(最佳化斷筋點!X446="","",最佳化斷筋點!X446)</f>
        <v/>
      </c>
    </row>
    <row r="447" spans="4:71" x14ac:dyDescent="0.25">
      <c r="D447" s="6" t="s">
        <v>50</v>
      </c>
      <c r="E447" s="6">
        <f t="shared" si="127"/>
        <v>0</v>
      </c>
      <c r="F447" s="6">
        <f t="shared" si="128"/>
        <v>0</v>
      </c>
      <c r="G447" s="6">
        <f t="shared" si="129"/>
        <v>0</v>
      </c>
      <c r="H447" s="6">
        <f t="shared" si="130"/>
        <v>0</v>
      </c>
      <c r="I447" s="6">
        <f t="shared" si="131"/>
        <v>0</v>
      </c>
      <c r="J447" s="6">
        <f t="shared" si="132"/>
        <v>0</v>
      </c>
      <c r="K447" s="6">
        <f t="shared" si="133"/>
        <v>0</v>
      </c>
      <c r="L447" s="6">
        <f t="shared" si="134"/>
        <v>0</v>
      </c>
      <c r="M447" s="6">
        <f t="shared" si="135"/>
        <v>0</v>
      </c>
      <c r="N447" s="6">
        <f t="shared" si="136"/>
        <v>0</v>
      </c>
      <c r="O447" s="6">
        <f t="shared" si="137"/>
        <v>0</v>
      </c>
      <c r="P447" s="6">
        <f t="shared" si="138"/>
        <v>0</v>
      </c>
      <c r="Q447" s="6">
        <f t="shared" si="139"/>
        <v>0</v>
      </c>
      <c r="R447" s="6">
        <f t="shared" si="140"/>
        <v>0</v>
      </c>
      <c r="S447" s="6">
        <f t="shared" si="141"/>
        <v>0</v>
      </c>
      <c r="T447" s="6">
        <f t="shared" si="142"/>
        <v>0</v>
      </c>
      <c r="U447" s="6">
        <f t="shared" si="143"/>
        <v>0</v>
      </c>
      <c r="V447" s="6">
        <f t="shared" si="144"/>
        <v>0</v>
      </c>
      <c r="W447" s="6">
        <f t="shared" si="145"/>
        <v>0</v>
      </c>
      <c r="X447" s="6">
        <f t="shared" si="146"/>
        <v>0</v>
      </c>
      <c r="Y447" s="6">
        <f t="shared" si="147"/>
        <v>0</v>
      </c>
      <c r="AA447" s="6" t="str">
        <f>IF(最佳化斷筋點!C447="","",最佳化斷筋點!C447)</f>
        <v>上層</v>
      </c>
      <c r="AB447" s="6">
        <f>IF(最佳化斷筋點!D447="","",最佳化斷筋點!D447)</f>
        <v>10</v>
      </c>
      <c r="AC447" s="6">
        <f>IF(最佳化斷筋點!E447="","",最佳化斷筋點!E447)</f>
        <v>9</v>
      </c>
      <c r="AD447" s="6">
        <f>IF(最佳化斷筋點!F447="","",最佳化斷筋點!F447)</f>
        <v>8</v>
      </c>
      <c r="AE447" s="6">
        <f>IF(最佳化斷筋點!G447="","",最佳化斷筋點!G447)</f>
        <v>8</v>
      </c>
      <c r="AF447" s="6">
        <f>IF(最佳化斷筋點!H447="","",最佳化斷筋點!H447)</f>
        <v>7</v>
      </c>
      <c r="AG447" s="6">
        <f>IF(最佳化斷筋點!I447="","",最佳化斷筋點!I447)</f>
        <v>6</v>
      </c>
      <c r="AH447" s="6">
        <f>IF(最佳化斷筋點!J447="","",最佳化斷筋點!J447)</f>
        <v>5</v>
      </c>
      <c r="AI447" s="6">
        <f>IF(最佳化斷筋點!K447="","",最佳化斷筋點!K447)</f>
        <v>4</v>
      </c>
      <c r="AJ447" s="6">
        <f>IF(最佳化斷筋點!L447="","",最佳化斷筋點!L447)</f>
        <v>3</v>
      </c>
      <c r="AK447" s="6">
        <f>IF(最佳化斷筋點!M447="","",最佳化斷筋點!M447)</f>
        <v>2</v>
      </c>
      <c r="AL447" s="6">
        <f>IF(最佳化斷筋點!N447="","",最佳化斷筋點!N447)</f>
        <v>2</v>
      </c>
      <c r="AM447" s="6">
        <f>IF(最佳化斷筋點!O447="","",最佳化斷筋點!O447)</f>
        <v>2</v>
      </c>
      <c r="AN447" s="6">
        <f>IF(最佳化斷筋點!P447="","",最佳化斷筋點!P447)</f>
        <v>2</v>
      </c>
      <c r="AO447" s="6">
        <f>IF(最佳化斷筋點!Q447="","",最佳化斷筋點!Q447)</f>
        <v>4</v>
      </c>
      <c r="AP447" s="6">
        <f>IF(最佳化斷筋點!R447="","",最佳化斷筋點!R447)</f>
        <v>4</v>
      </c>
      <c r="AQ447" s="6">
        <f>IF(最佳化斷筋點!S447="","",最佳化斷筋點!S447)</f>
        <v>5</v>
      </c>
      <c r="AR447" s="6">
        <f>IF(最佳化斷筋點!T447="","",最佳化斷筋點!T447)</f>
        <v>6</v>
      </c>
      <c r="AS447" s="6">
        <f>IF(最佳化斷筋點!U447="","",最佳化斷筋點!U447)</f>
        <v>7</v>
      </c>
      <c r="AT447" s="6">
        <f>IF(最佳化斷筋點!V447="","",最佳化斷筋點!V447)</f>
        <v>8</v>
      </c>
      <c r="AU447" s="6">
        <f>IF(最佳化斷筋點!W447="","",最佳化斷筋點!W447)</f>
        <v>9</v>
      </c>
      <c r="AV447" s="6">
        <f>IF(最佳化斷筋點!X447="","",最佳化斷筋點!X447)</f>
        <v>10</v>
      </c>
      <c r="AX447" s="6" t="s">
        <v>50</v>
      </c>
      <c r="AY447" s="6">
        <v>10</v>
      </c>
      <c r="AZ447" s="6">
        <v>9</v>
      </c>
      <c r="BA447" s="6">
        <v>8</v>
      </c>
      <c r="BB447" s="6">
        <v>8</v>
      </c>
      <c r="BC447" s="6">
        <v>7</v>
      </c>
      <c r="BD447" s="6">
        <v>6</v>
      </c>
      <c r="BE447" s="6">
        <v>5</v>
      </c>
      <c r="BF447" s="6">
        <v>4</v>
      </c>
      <c r="BG447" s="6">
        <v>3</v>
      </c>
      <c r="BH447" s="6">
        <v>2</v>
      </c>
      <c r="BI447" s="6">
        <v>2</v>
      </c>
      <c r="BJ447" s="6">
        <v>2</v>
      </c>
      <c r="BK447" s="6">
        <v>2</v>
      </c>
      <c r="BL447" s="6">
        <v>4</v>
      </c>
      <c r="BM447" s="6">
        <v>4</v>
      </c>
      <c r="BN447" s="6">
        <v>5</v>
      </c>
      <c r="BO447" s="6">
        <v>6</v>
      </c>
      <c r="BP447" s="6">
        <v>7</v>
      </c>
      <c r="BQ447" s="6">
        <v>8</v>
      </c>
      <c r="BR447" s="6">
        <v>9</v>
      </c>
      <c r="BS447" s="6">
        <v>10</v>
      </c>
    </row>
    <row r="448" spans="4:71" x14ac:dyDescent="0.25">
      <c r="E448" s="6">
        <f t="shared" si="127"/>
        <v>0</v>
      </c>
      <c r="F448" s="6">
        <f t="shared" si="128"/>
        <v>0</v>
      </c>
      <c r="G448" s="6">
        <f t="shared" si="129"/>
        <v>0</v>
      </c>
      <c r="H448" s="6">
        <f t="shared" si="130"/>
        <v>0</v>
      </c>
      <c r="I448" s="6">
        <f t="shared" si="131"/>
        <v>0</v>
      </c>
      <c r="J448" s="6">
        <f t="shared" si="132"/>
        <v>0</v>
      </c>
      <c r="K448" s="6">
        <f t="shared" si="133"/>
        <v>0</v>
      </c>
      <c r="L448" s="6">
        <f t="shared" si="134"/>
        <v>0</v>
      </c>
      <c r="M448" s="6">
        <f t="shared" si="135"/>
        <v>0</v>
      </c>
      <c r="N448" s="6">
        <f t="shared" si="136"/>
        <v>0</v>
      </c>
      <c r="O448" s="6">
        <f t="shared" si="137"/>
        <v>0</v>
      </c>
      <c r="P448" s="6">
        <f t="shared" si="138"/>
        <v>0</v>
      </c>
      <c r="Q448" s="6">
        <f t="shared" si="139"/>
        <v>0</v>
      </c>
      <c r="R448" s="6">
        <f t="shared" si="140"/>
        <v>0</v>
      </c>
      <c r="S448" s="6">
        <f t="shared" si="141"/>
        <v>0</v>
      </c>
      <c r="T448" s="6">
        <f t="shared" si="142"/>
        <v>0</v>
      </c>
      <c r="U448" s="6">
        <f t="shared" si="143"/>
        <v>0</v>
      </c>
      <c r="V448" s="6">
        <f t="shared" si="144"/>
        <v>0</v>
      </c>
      <c r="W448" s="6">
        <f t="shared" si="145"/>
        <v>0</v>
      </c>
      <c r="X448" s="6">
        <f t="shared" si="146"/>
        <v>0</v>
      </c>
      <c r="Y448" s="6">
        <f t="shared" si="147"/>
        <v>0</v>
      </c>
      <c r="AA448" s="6" t="str">
        <f>IF(最佳化斷筋點!C448="","",最佳化斷筋點!C448)</f>
        <v/>
      </c>
      <c r="AB448" s="6" t="str">
        <f>IF(最佳化斷筋點!D448="","",最佳化斷筋點!D448)</f>
        <v/>
      </c>
      <c r="AC448" s="6" t="str">
        <f>IF(最佳化斷筋點!E448="","",最佳化斷筋點!E448)</f>
        <v/>
      </c>
      <c r="AD448" s="6" t="str">
        <f>IF(最佳化斷筋點!F448="","",最佳化斷筋點!F448)</f>
        <v/>
      </c>
      <c r="AE448" s="6" t="str">
        <f>IF(最佳化斷筋點!G448="","",最佳化斷筋點!G448)</f>
        <v/>
      </c>
      <c r="AF448" s="6" t="str">
        <f>IF(最佳化斷筋點!H448="","",最佳化斷筋點!H448)</f>
        <v/>
      </c>
      <c r="AG448" s="6" t="str">
        <f>IF(最佳化斷筋點!I448="","",最佳化斷筋點!I448)</f>
        <v/>
      </c>
      <c r="AH448" s="6" t="str">
        <f>IF(最佳化斷筋點!J448="","",最佳化斷筋點!J448)</f>
        <v/>
      </c>
      <c r="AI448" s="6" t="str">
        <f>IF(最佳化斷筋點!K448="","",最佳化斷筋點!K448)</f>
        <v/>
      </c>
      <c r="AJ448" s="6" t="str">
        <f>IF(最佳化斷筋點!L448="","",最佳化斷筋點!L448)</f>
        <v/>
      </c>
      <c r="AK448" s="6" t="str">
        <f>IF(最佳化斷筋點!M448="","",最佳化斷筋點!M448)</f>
        <v/>
      </c>
      <c r="AL448" s="6" t="str">
        <f>IF(最佳化斷筋點!N448="","",最佳化斷筋點!N448)</f>
        <v/>
      </c>
      <c r="AM448" s="6" t="str">
        <f>IF(最佳化斷筋點!O448="","",最佳化斷筋點!O448)</f>
        <v/>
      </c>
      <c r="AN448" s="6" t="str">
        <f>IF(最佳化斷筋點!P448="","",最佳化斷筋點!P448)</f>
        <v/>
      </c>
      <c r="AO448" s="6" t="str">
        <f>IF(最佳化斷筋點!Q448="","",最佳化斷筋點!Q448)</f>
        <v/>
      </c>
      <c r="AP448" s="6" t="str">
        <f>IF(最佳化斷筋點!R448="","",最佳化斷筋點!R448)</f>
        <v/>
      </c>
      <c r="AQ448" s="6" t="str">
        <f>IF(最佳化斷筋點!S448="","",最佳化斷筋點!S448)</f>
        <v/>
      </c>
      <c r="AR448" s="6" t="str">
        <f>IF(最佳化斷筋點!T448="","",最佳化斷筋點!T448)</f>
        <v/>
      </c>
      <c r="AS448" s="6" t="str">
        <f>IF(最佳化斷筋點!U448="","",最佳化斷筋點!U448)</f>
        <v/>
      </c>
      <c r="AT448" s="6" t="str">
        <f>IF(最佳化斷筋點!V448="","",最佳化斷筋點!V448)</f>
        <v/>
      </c>
      <c r="AU448" s="6" t="str">
        <f>IF(最佳化斷筋點!W448="","",最佳化斷筋點!W448)</f>
        <v/>
      </c>
      <c r="AV448" s="6" t="str">
        <f>IF(最佳化斷筋點!X448="","",最佳化斷筋點!X448)</f>
        <v/>
      </c>
    </row>
    <row r="449" spans="4:71" x14ac:dyDescent="0.25">
      <c r="D449" s="6" t="s">
        <v>51</v>
      </c>
      <c r="E449" s="6">
        <f t="shared" si="127"/>
        <v>0</v>
      </c>
      <c r="F449" s="6">
        <f t="shared" si="128"/>
        <v>0</v>
      </c>
      <c r="G449" s="6">
        <f t="shared" si="129"/>
        <v>0</v>
      </c>
      <c r="H449" s="6">
        <f t="shared" si="130"/>
        <v>0</v>
      </c>
      <c r="I449" s="6">
        <f t="shared" si="131"/>
        <v>0</v>
      </c>
      <c r="J449" s="6">
        <f t="shared" si="132"/>
        <v>0</v>
      </c>
      <c r="K449" s="6">
        <f t="shared" si="133"/>
        <v>0</v>
      </c>
      <c r="L449" s="6">
        <f t="shared" si="134"/>
        <v>0</v>
      </c>
      <c r="M449" s="6">
        <f t="shared" si="135"/>
        <v>0</v>
      </c>
      <c r="N449" s="6">
        <f t="shared" si="136"/>
        <v>0</v>
      </c>
      <c r="O449" s="6">
        <f t="shared" si="137"/>
        <v>0</v>
      </c>
      <c r="P449" s="6">
        <f t="shared" si="138"/>
        <v>0</v>
      </c>
      <c r="Q449" s="6">
        <f t="shared" si="139"/>
        <v>0</v>
      </c>
      <c r="R449" s="6">
        <f t="shared" si="140"/>
        <v>0</v>
      </c>
      <c r="S449" s="6">
        <f t="shared" si="141"/>
        <v>0</v>
      </c>
      <c r="T449" s="6">
        <f t="shared" si="142"/>
        <v>0</v>
      </c>
      <c r="U449" s="6">
        <f t="shared" si="143"/>
        <v>0</v>
      </c>
      <c r="V449" s="6">
        <f t="shared" si="144"/>
        <v>0</v>
      </c>
      <c r="W449" s="6">
        <f t="shared" si="145"/>
        <v>0</v>
      </c>
      <c r="X449" s="6">
        <f t="shared" si="146"/>
        <v>0</v>
      </c>
      <c r="Y449" s="6">
        <f t="shared" si="147"/>
        <v>0</v>
      </c>
      <c r="AA449" s="6" t="str">
        <f>IF(最佳化斷筋點!C449="","",最佳化斷筋點!C449)</f>
        <v>下層</v>
      </c>
      <c r="AB449" s="6">
        <f>IF(最佳化斷筋點!D449="","",最佳化斷筋點!D449)</f>
        <v>7</v>
      </c>
      <c r="AC449" s="6">
        <f>IF(最佳化斷筋點!E449="","",最佳化斷筋點!E449)</f>
        <v>7</v>
      </c>
      <c r="AD449" s="6">
        <f>IF(最佳化斷筋點!F449="","",最佳化斷筋點!F449)</f>
        <v>6</v>
      </c>
      <c r="AE449" s="6">
        <f>IF(最佳化斷筋點!G449="","",最佳化斷筋點!G449)</f>
        <v>5</v>
      </c>
      <c r="AF449" s="6">
        <f>IF(最佳化斷筋點!H449="","",最佳化斷筋點!H449)</f>
        <v>5</v>
      </c>
      <c r="AG449" s="6">
        <f>IF(最佳化斷筋點!I449="","",最佳化斷筋點!I449)</f>
        <v>6</v>
      </c>
      <c r="AH449" s="6">
        <f>IF(最佳化斷筋點!J449="","",最佳化斷筋點!J449)</f>
        <v>6</v>
      </c>
      <c r="AI449" s="6">
        <f>IF(最佳化斷筋點!K449="","",最佳化斷筋點!K449)</f>
        <v>7</v>
      </c>
      <c r="AJ449" s="6">
        <f>IF(最佳化斷筋點!L449="","",最佳化斷筋點!L449)</f>
        <v>7</v>
      </c>
      <c r="AK449" s="6">
        <f>IF(最佳化斷筋點!M449="","",最佳化斷筋點!M449)</f>
        <v>7</v>
      </c>
      <c r="AL449" s="6">
        <f>IF(最佳化斷筋點!N449="","",最佳化斷筋點!N449)</f>
        <v>7</v>
      </c>
      <c r="AM449" s="6">
        <f>IF(最佳化斷筋點!O449="","",最佳化斷筋點!O449)</f>
        <v>7</v>
      </c>
      <c r="AN449" s="6">
        <f>IF(最佳化斷筋點!P449="","",最佳化斷筋點!P449)</f>
        <v>7</v>
      </c>
      <c r="AO449" s="6">
        <f>IF(最佳化斷筋點!Q449="","",最佳化斷筋點!Q449)</f>
        <v>7</v>
      </c>
      <c r="AP449" s="6">
        <f>IF(最佳化斷筋點!R449="","",最佳化斷筋點!R449)</f>
        <v>6</v>
      </c>
      <c r="AQ449" s="6">
        <f>IF(最佳化斷筋點!S449="","",最佳化斷筋點!S449)</f>
        <v>6</v>
      </c>
      <c r="AR449" s="6">
        <f>IF(最佳化斷筋點!T449="","",最佳化斷筋點!T449)</f>
        <v>5</v>
      </c>
      <c r="AS449" s="6">
        <f>IF(最佳化斷筋點!U449="","",最佳化斷筋點!U449)</f>
        <v>5</v>
      </c>
      <c r="AT449" s="6">
        <f>IF(最佳化斷筋點!V449="","",最佳化斷筋點!V449)</f>
        <v>6</v>
      </c>
      <c r="AU449" s="6">
        <f>IF(最佳化斷筋點!W449="","",最佳化斷筋點!W449)</f>
        <v>7</v>
      </c>
      <c r="AV449" s="6">
        <f>IF(最佳化斷筋點!X449="","",最佳化斷筋點!X449)</f>
        <v>7</v>
      </c>
      <c r="AX449" s="6" t="s">
        <v>51</v>
      </c>
      <c r="AY449" s="6">
        <v>7</v>
      </c>
      <c r="AZ449" s="6">
        <v>7</v>
      </c>
      <c r="BA449" s="6">
        <v>6</v>
      </c>
      <c r="BB449" s="6">
        <v>5</v>
      </c>
      <c r="BC449" s="6">
        <v>5</v>
      </c>
      <c r="BD449" s="6">
        <v>6</v>
      </c>
      <c r="BE449" s="6">
        <v>6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6</v>
      </c>
      <c r="BN449" s="6">
        <v>6</v>
      </c>
      <c r="BO449" s="6">
        <v>5</v>
      </c>
      <c r="BP449" s="6">
        <v>5</v>
      </c>
      <c r="BQ449" s="6">
        <v>6</v>
      </c>
      <c r="BR449" s="6">
        <v>7</v>
      </c>
      <c r="BS449" s="6">
        <v>7</v>
      </c>
    </row>
    <row r="450" spans="4:71" x14ac:dyDescent="0.25">
      <c r="E450" s="6">
        <f t="shared" si="127"/>
        <v>0</v>
      </c>
      <c r="F450" s="6">
        <f t="shared" si="128"/>
        <v>0</v>
      </c>
      <c r="G450" s="6">
        <f t="shared" si="129"/>
        <v>0</v>
      </c>
      <c r="H450" s="6">
        <f t="shared" si="130"/>
        <v>0</v>
      </c>
      <c r="I450" s="6">
        <f t="shared" si="131"/>
        <v>0</v>
      </c>
      <c r="J450" s="6">
        <f t="shared" si="132"/>
        <v>0</v>
      </c>
      <c r="K450" s="6">
        <f t="shared" si="133"/>
        <v>0</v>
      </c>
      <c r="L450" s="6">
        <f t="shared" si="134"/>
        <v>0</v>
      </c>
      <c r="M450" s="6">
        <f t="shared" si="135"/>
        <v>0</v>
      </c>
      <c r="N450" s="6">
        <f t="shared" si="136"/>
        <v>0</v>
      </c>
      <c r="O450" s="6">
        <f t="shared" si="137"/>
        <v>0</v>
      </c>
      <c r="P450" s="6">
        <f t="shared" si="138"/>
        <v>0</v>
      </c>
      <c r="Q450" s="6">
        <f t="shared" si="139"/>
        <v>0</v>
      </c>
      <c r="R450" s="6">
        <f t="shared" si="140"/>
        <v>0</v>
      </c>
      <c r="S450" s="6">
        <f t="shared" si="141"/>
        <v>0</v>
      </c>
      <c r="T450" s="6">
        <f t="shared" si="142"/>
        <v>0</v>
      </c>
      <c r="U450" s="6">
        <f t="shared" si="143"/>
        <v>0</v>
      </c>
      <c r="V450" s="6">
        <f t="shared" si="144"/>
        <v>0</v>
      </c>
      <c r="W450" s="6">
        <f t="shared" si="145"/>
        <v>0</v>
      </c>
      <c r="X450" s="6">
        <f t="shared" si="146"/>
        <v>0</v>
      </c>
      <c r="Y450" s="6">
        <f t="shared" si="147"/>
        <v>0</v>
      </c>
      <c r="AA450" s="6" t="str">
        <f>IF(最佳化斷筋點!C450="","",最佳化斷筋點!C450)</f>
        <v/>
      </c>
      <c r="AB450" s="6" t="str">
        <f>IF(最佳化斷筋點!D450="","",最佳化斷筋點!D450)</f>
        <v/>
      </c>
      <c r="AC450" s="6" t="str">
        <f>IF(最佳化斷筋點!E450="","",最佳化斷筋點!E450)</f>
        <v/>
      </c>
      <c r="AD450" s="6" t="str">
        <f>IF(最佳化斷筋點!F450="","",最佳化斷筋點!F450)</f>
        <v/>
      </c>
      <c r="AE450" s="6" t="str">
        <f>IF(最佳化斷筋點!G450="","",最佳化斷筋點!G450)</f>
        <v/>
      </c>
      <c r="AF450" s="6" t="str">
        <f>IF(最佳化斷筋點!H450="","",最佳化斷筋點!H450)</f>
        <v/>
      </c>
      <c r="AG450" s="6" t="str">
        <f>IF(最佳化斷筋點!I450="","",最佳化斷筋點!I450)</f>
        <v/>
      </c>
      <c r="AH450" s="6" t="str">
        <f>IF(最佳化斷筋點!J450="","",最佳化斷筋點!J450)</f>
        <v/>
      </c>
      <c r="AI450" s="6" t="str">
        <f>IF(最佳化斷筋點!K450="","",最佳化斷筋點!K450)</f>
        <v/>
      </c>
      <c r="AJ450" s="6" t="str">
        <f>IF(最佳化斷筋點!L450="","",最佳化斷筋點!L450)</f>
        <v/>
      </c>
      <c r="AK450" s="6" t="str">
        <f>IF(最佳化斷筋點!M450="","",最佳化斷筋點!M450)</f>
        <v/>
      </c>
      <c r="AL450" s="6" t="str">
        <f>IF(最佳化斷筋點!N450="","",最佳化斷筋點!N450)</f>
        <v/>
      </c>
      <c r="AM450" s="6" t="str">
        <f>IF(最佳化斷筋點!O450="","",最佳化斷筋點!O450)</f>
        <v/>
      </c>
      <c r="AN450" s="6" t="str">
        <f>IF(最佳化斷筋點!P450="","",最佳化斷筋點!P450)</f>
        <v/>
      </c>
      <c r="AO450" s="6" t="str">
        <f>IF(最佳化斷筋點!Q450="","",最佳化斷筋點!Q450)</f>
        <v/>
      </c>
      <c r="AP450" s="6" t="str">
        <f>IF(最佳化斷筋點!R450="","",最佳化斷筋點!R450)</f>
        <v/>
      </c>
      <c r="AQ450" s="6" t="str">
        <f>IF(最佳化斷筋點!S450="","",最佳化斷筋點!S450)</f>
        <v/>
      </c>
      <c r="AR450" s="6" t="str">
        <f>IF(最佳化斷筋點!T450="","",最佳化斷筋點!T450)</f>
        <v/>
      </c>
      <c r="AS450" s="6" t="str">
        <f>IF(最佳化斷筋點!U450="","",最佳化斷筋點!U450)</f>
        <v/>
      </c>
      <c r="AT450" s="6" t="str">
        <f>IF(最佳化斷筋點!V450="","",最佳化斷筋點!V450)</f>
        <v/>
      </c>
      <c r="AU450" s="6" t="str">
        <f>IF(最佳化斷筋點!W450="","",最佳化斷筋點!W450)</f>
        <v/>
      </c>
      <c r="AV450" s="6" t="str">
        <f>IF(最佳化斷筋點!X450="","",最佳化斷筋點!X450)</f>
        <v/>
      </c>
    </row>
    <row r="451" spans="4:71" x14ac:dyDescent="0.25">
      <c r="D451" s="6" t="s">
        <v>50</v>
      </c>
      <c r="E451" s="6">
        <f t="shared" si="127"/>
        <v>0</v>
      </c>
      <c r="F451" s="6">
        <f t="shared" si="128"/>
        <v>0</v>
      </c>
      <c r="G451" s="6">
        <f t="shared" si="129"/>
        <v>0</v>
      </c>
      <c r="H451" s="6">
        <f t="shared" si="130"/>
        <v>0</v>
      </c>
      <c r="I451" s="6">
        <f t="shared" si="131"/>
        <v>0</v>
      </c>
      <c r="J451" s="6">
        <f t="shared" si="132"/>
        <v>0</v>
      </c>
      <c r="K451" s="6">
        <f t="shared" si="133"/>
        <v>0</v>
      </c>
      <c r="L451" s="6">
        <f t="shared" si="134"/>
        <v>0</v>
      </c>
      <c r="M451" s="6">
        <f t="shared" si="135"/>
        <v>0</v>
      </c>
      <c r="N451" s="6">
        <f t="shared" si="136"/>
        <v>0</v>
      </c>
      <c r="O451" s="6">
        <f t="shared" si="137"/>
        <v>0</v>
      </c>
      <c r="P451" s="6">
        <f t="shared" si="138"/>
        <v>0</v>
      </c>
      <c r="Q451" s="6">
        <f t="shared" si="139"/>
        <v>0</v>
      </c>
      <c r="R451" s="6">
        <f t="shared" si="140"/>
        <v>0</v>
      </c>
      <c r="S451" s="6">
        <f t="shared" si="141"/>
        <v>0</v>
      </c>
      <c r="T451" s="6">
        <f t="shared" si="142"/>
        <v>0</v>
      </c>
      <c r="U451" s="6">
        <f t="shared" si="143"/>
        <v>0</v>
      </c>
      <c r="V451" s="6">
        <f t="shared" si="144"/>
        <v>0</v>
      </c>
      <c r="W451" s="6">
        <f t="shared" si="145"/>
        <v>0</v>
      </c>
      <c r="X451" s="6">
        <f t="shared" si="146"/>
        <v>0</v>
      </c>
      <c r="Y451" s="6">
        <f t="shared" si="147"/>
        <v>0</v>
      </c>
      <c r="AA451" s="6" t="str">
        <f>IF(最佳化斷筋點!C451="","",最佳化斷筋點!C451)</f>
        <v>上層</v>
      </c>
      <c r="AB451" s="6">
        <f>IF(最佳化斷筋點!D451="","",最佳化斷筋點!D451)</f>
        <v>10</v>
      </c>
      <c r="AC451" s="6">
        <f>IF(最佳化斷筋點!E451="","",最佳化斷筋點!E451)</f>
        <v>9</v>
      </c>
      <c r="AD451" s="6">
        <f>IF(最佳化斷筋點!F451="","",最佳化斷筋點!F451)</f>
        <v>8</v>
      </c>
      <c r="AE451" s="6">
        <f>IF(最佳化斷筋點!G451="","",最佳化斷筋點!G451)</f>
        <v>8</v>
      </c>
      <c r="AF451" s="6">
        <f>IF(最佳化斷筋點!H451="","",最佳化斷筋點!H451)</f>
        <v>7</v>
      </c>
      <c r="AG451" s="6">
        <f>IF(最佳化斷筋點!I451="","",最佳化斷筋點!I451)</f>
        <v>6</v>
      </c>
      <c r="AH451" s="6">
        <f>IF(最佳化斷筋點!J451="","",最佳化斷筋點!J451)</f>
        <v>5</v>
      </c>
      <c r="AI451" s="6">
        <f>IF(最佳化斷筋點!K451="","",最佳化斷筋點!K451)</f>
        <v>4</v>
      </c>
      <c r="AJ451" s="6">
        <f>IF(最佳化斷筋點!L451="","",最佳化斷筋點!L451)</f>
        <v>3</v>
      </c>
      <c r="AK451" s="6">
        <f>IF(最佳化斷筋點!M451="","",最佳化斷筋點!M451)</f>
        <v>2</v>
      </c>
      <c r="AL451" s="6">
        <f>IF(最佳化斷筋點!N451="","",最佳化斷筋點!N451)</f>
        <v>2</v>
      </c>
      <c r="AM451" s="6">
        <f>IF(最佳化斷筋點!O451="","",最佳化斷筋點!O451)</f>
        <v>2</v>
      </c>
      <c r="AN451" s="6">
        <f>IF(最佳化斷筋點!P451="","",最佳化斷筋點!P451)</f>
        <v>2</v>
      </c>
      <c r="AO451" s="6">
        <f>IF(最佳化斷筋點!Q451="","",最佳化斷筋點!Q451)</f>
        <v>4</v>
      </c>
      <c r="AP451" s="6">
        <f>IF(最佳化斷筋點!R451="","",最佳化斷筋點!R451)</f>
        <v>4</v>
      </c>
      <c r="AQ451" s="6">
        <f>IF(最佳化斷筋點!S451="","",最佳化斷筋點!S451)</f>
        <v>5</v>
      </c>
      <c r="AR451" s="6">
        <f>IF(最佳化斷筋點!T451="","",最佳化斷筋點!T451)</f>
        <v>6</v>
      </c>
      <c r="AS451" s="6">
        <f>IF(最佳化斷筋點!U451="","",最佳化斷筋點!U451)</f>
        <v>7</v>
      </c>
      <c r="AT451" s="6">
        <f>IF(最佳化斷筋點!V451="","",最佳化斷筋點!V451)</f>
        <v>8</v>
      </c>
      <c r="AU451" s="6">
        <f>IF(最佳化斷筋點!W451="","",最佳化斷筋點!W451)</f>
        <v>9</v>
      </c>
      <c r="AV451" s="6">
        <f>IF(最佳化斷筋點!X451="","",最佳化斷筋點!X451)</f>
        <v>10</v>
      </c>
      <c r="AX451" s="6" t="s">
        <v>50</v>
      </c>
      <c r="AY451" s="6">
        <v>10</v>
      </c>
      <c r="AZ451" s="6">
        <v>9</v>
      </c>
      <c r="BA451" s="6">
        <v>8</v>
      </c>
      <c r="BB451" s="6">
        <v>8</v>
      </c>
      <c r="BC451" s="6">
        <v>7</v>
      </c>
      <c r="BD451" s="6">
        <v>6</v>
      </c>
      <c r="BE451" s="6">
        <v>5</v>
      </c>
      <c r="BF451" s="6">
        <v>4</v>
      </c>
      <c r="BG451" s="6">
        <v>3</v>
      </c>
      <c r="BH451" s="6">
        <v>2</v>
      </c>
      <c r="BI451" s="6">
        <v>2</v>
      </c>
      <c r="BJ451" s="6">
        <v>2</v>
      </c>
      <c r="BK451" s="6">
        <v>2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</row>
    <row r="452" spans="4:71" x14ac:dyDescent="0.25">
      <c r="E452" s="6">
        <f t="shared" ref="E452:E515" si="148">IF(AB452=AY452,0,1)</f>
        <v>0</v>
      </c>
      <c r="F452" s="6">
        <f t="shared" ref="F452:F515" si="149">IF(AC452=AZ452,0,1)</f>
        <v>0</v>
      </c>
      <c r="G452" s="6">
        <f t="shared" ref="G452:G515" si="150">IF(AD452=BA452,0,1)</f>
        <v>0</v>
      </c>
      <c r="H452" s="6">
        <f t="shared" ref="H452:H515" si="151">IF(AE452=BB452,0,1)</f>
        <v>0</v>
      </c>
      <c r="I452" s="6">
        <f t="shared" ref="I452:I515" si="152">IF(AF452=BC452,0,1)</f>
        <v>0</v>
      </c>
      <c r="J452" s="6">
        <f t="shared" ref="J452:J515" si="153">IF(AG452=BD452,0,1)</f>
        <v>0</v>
      </c>
      <c r="K452" s="6">
        <f t="shared" ref="K452:K515" si="154">IF(AH452=BE452,0,1)</f>
        <v>0</v>
      </c>
      <c r="L452" s="6">
        <f t="shared" ref="L452:L515" si="155">IF(AI452=BF452,0,1)</f>
        <v>0</v>
      </c>
      <c r="M452" s="6">
        <f t="shared" ref="M452:M515" si="156">IF(AJ452=BG452,0,1)</f>
        <v>0</v>
      </c>
      <c r="N452" s="6">
        <f t="shared" ref="N452:N515" si="157">IF(AK452=BH452,0,1)</f>
        <v>0</v>
      </c>
      <c r="O452" s="6">
        <f t="shared" ref="O452:O515" si="158">IF(AL452=BI452,0,1)</f>
        <v>0</v>
      </c>
      <c r="P452" s="6">
        <f t="shared" ref="P452:P515" si="159">IF(AM452=BJ452,0,1)</f>
        <v>0</v>
      </c>
      <c r="Q452" s="6">
        <f t="shared" ref="Q452:Q515" si="160">IF(AN452=BK452,0,1)</f>
        <v>0</v>
      </c>
      <c r="R452" s="6">
        <f t="shared" ref="R452:R515" si="161">IF(AO452=BL452,0,1)</f>
        <v>0</v>
      </c>
      <c r="S452" s="6">
        <f t="shared" ref="S452:S515" si="162">IF(AP452=BM452,0,1)</f>
        <v>0</v>
      </c>
      <c r="T452" s="6">
        <f t="shared" ref="T452:T515" si="163">IF(AQ452=BN452,0,1)</f>
        <v>0</v>
      </c>
      <c r="U452" s="6">
        <f t="shared" ref="U452:U515" si="164">IF(AR452=BO452,0,1)</f>
        <v>0</v>
      </c>
      <c r="V452" s="6">
        <f t="shared" ref="V452:V515" si="165">IF(AS452=BP452,0,1)</f>
        <v>0</v>
      </c>
      <c r="W452" s="6">
        <f t="shared" ref="W452:W515" si="166">IF(AT452=BQ452,0,1)</f>
        <v>0</v>
      </c>
      <c r="X452" s="6">
        <f t="shared" ref="X452:X515" si="167">IF(AU452=BR452,0,1)</f>
        <v>0</v>
      </c>
      <c r="Y452" s="6">
        <f t="shared" ref="Y452:Y515" si="168">IF(AV452=BS452,0,1)</f>
        <v>0</v>
      </c>
      <c r="AA452" s="6" t="str">
        <f>IF(最佳化斷筋點!C452="","",最佳化斷筋點!C452)</f>
        <v/>
      </c>
      <c r="AB452" s="6" t="str">
        <f>IF(最佳化斷筋點!D452="","",最佳化斷筋點!D452)</f>
        <v/>
      </c>
      <c r="AC452" s="6" t="str">
        <f>IF(最佳化斷筋點!E452="","",最佳化斷筋點!E452)</f>
        <v/>
      </c>
      <c r="AD452" s="6" t="str">
        <f>IF(最佳化斷筋點!F452="","",最佳化斷筋點!F452)</f>
        <v/>
      </c>
      <c r="AE452" s="6" t="str">
        <f>IF(最佳化斷筋點!G452="","",最佳化斷筋點!G452)</f>
        <v/>
      </c>
      <c r="AF452" s="6" t="str">
        <f>IF(最佳化斷筋點!H452="","",最佳化斷筋點!H452)</f>
        <v/>
      </c>
      <c r="AG452" s="6" t="str">
        <f>IF(最佳化斷筋點!I452="","",最佳化斷筋點!I452)</f>
        <v/>
      </c>
      <c r="AH452" s="6" t="str">
        <f>IF(最佳化斷筋點!J452="","",最佳化斷筋點!J452)</f>
        <v/>
      </c>
      <c r="AI452" s="6" t="str">
        <f>IF(最佳化斷筋點!K452="","",最佳化斷筋點!K452)</f>
        <v/>
      </c>
      <c r="AJ452" s="6" t="str">
        <f>IF(最佳化斷筋點!L452="","",最佳化斷筋點!L452)</f>
        <v/>
      </c>
      <c r="AK452" s="6" t="str">
        <f>IF(最佳化斷筋點!M452="","",最佳化斷筋點!M452)</f>
        <v/>
      </c>
      <c r="AL452" s="6" t="str">
        <f>IF(最佳化斷筋點!N452="","",最佳化斷筋點!N452)</f>
        <v/>
      </c>
      <c r="AM452" s="6" t="str">
        <f>IF(最佳化斷筋點!O452="","",最佳化斷筋點!O452)</f>
        <v/>
      </c>
      <c r="AN452" s="6" t="str">
        <f>IF(最佳化斷筋點!P452="","",最佳化斷筋點!P452)</f>
        <v/>
      </c>
      <c r="AO452" s="6" t="str">
        <f>IF(最佳化斷筋點!Q452="","",最佳化斷筋點!Q452)</f>
        <v/>
      </c>
      <c r="AP452" s="6" t="str">
        <f>IF(最佳化斷筋點!R452="","",最佳化斷筋點!R452)</f>
        <v/>
      </c>
      <c r="AQ452" s="6" t="str">
        <f>IF(最佳化斷筋點!S452="","",最佳化斷筋點!S452)</f>
        <v/>
      </c>
      <c r="AR452" s="6" t="str">
        <f>IF(最佳化斷筋點!T452="","",最佳化斷筋點!T452)</f>
        <v/>
      </c>
      <c r="AS452" s="6" t="str">
        <f>IF(最佳化斷筋點!U452="","",最佳化斷筋點!U452)</f>
        <v/>
      </c>
      <c r="AT452" s="6" t="str">
        <f>IF(最佳化斷筋點!V452="","",最佳化斷筋點!V452)</f>
        <v/>
      </c>
      <c r="AU452" s="6" t="str">
        <f>IF(最佳化斷筋點!W452="","",最佳化斷筋點!W452)</f>
        <v/>
      </c>
      <c r="AV452" s="6" t="str">
        <f>IF(最佳化斷筋點!X452="","",最佳化斷筋點!X452)</f>
        <v/>
      </c>
    </row>
    <row r="453" spans="4:71" x14ac:dyDescent="0.25">
      <c r="D453" s="6" t="s">
        <v>51</v>
      </c>
      <c r="E453" s="6">
        <f t="shared" si="148"/>
        <v>0</v>
      </c>
      <c r="F453" s="6">
        <f t="shared" si="149"/>
        <v>0</v>
      </c>
      <c r="G453" s="6">
        <f t="shared" si="150"/>
        <v>0</v>
      </c>
      <c r="H453" s="6">
        <f t="shared" si="151"/>
        <v>0</v>
      </c>
      <c r="I453" s="6">
        <f t="shared" si="152"/>
        <v>0</v>
      </c>
      <c r="J453" s="6">
        <f t="shared" si="153"/>
        <v>0</v>
      </c>
      <c r="K453" s="6">
        <f t="shared" si="154"/>
        <v>0</v>
      </c>
      <c r="L453" s="6">
        <f t="shared" si="155"/>
        <v>0</v>
      </c>
      <c r="M453" s="6">
        <f t="shared" si="156"/>
        <v>0</v>
      </c>
      <c r="N453" s="6">
        <f t="shared" si="157"/>
        <v>0</v>
      </c>
      <c r="O453" s="6">
        <f t="shared" si="158"/>
        <v>0</v>
      </c>
      <c r="P453" s="6">
        <f t="shared" si="159"/>
        <v>0</v>
      </c>
      <c r="Q453" s="6">
        <f t="shared" si="160"/>
        <v>0</v>
      </c>
      <c r="R453" s="6">
        <f t="shared" si="161"/>
        <v>0</v>
      </c>
      <c r="S453" s="6">
        <f t="shared" si="162"/>
        <v>0</v>
      </c>
      <c r="T453" s="6">
        <f t="shared" si="163"/>
        <v>0</v>
      </c>
      <c r="U453" s="6">
        <f t="shared" si="164"/>
        <v>0</v>
      </c>
      <c r="V453" s="6">
        <f t="shared" si="165"/>
        <v>0</v>
      </c>
      <c r="W453" s="6">
        <f t="shared" si="166"/>
        <v>0</v>
      </c>
      <c r="X453" s="6">
        <f t="shared" si="167"/>
        <v>0</v>
      </c>
      <c r="Y453" s="6">
        <f t="shared" si="168"/>
        <v>0</v>
      </c>
      <c r="AA453" s="6" t="str">
        <f>IF(最佳化斷筋點!C453="","",最佳化斷筋點!C453)</f>
        <v>下層</v>
      </c>
      <c r="AB453" s="6">
        <f>IF(最佳化斷筋點!D453="","",最佳化斷筋點!D453)</f>
        <v>7</v>
      </c>
      <c r="AC453" s="6">
        <f>IF(最佳化斷筋點!E453="","",最佳化斷筋點!E453)</f>
        <v>7</v>
      </c>
      <c r="AD453" s="6">
        <f>IF(最佳化斷筋點!F453="","",最佳化斷筋點!F453)</f>
        <v>6</v>
      </c>
      <c r="AE453" s="6">
        <f>IF(最佳化斷筋點!G453="","",最佳化斷筋點!G453)</f>
        <v>5</v>
      </c>
      <c r="AF453" s="6">
        <f>IF(最佳化斷筋點!H453="","",最佳化斷筋點!H453)</f>
        <v>5</v>
      </c>
      <c r="AG453" s="6">
        <f>IF(最佳化斷筋點!I453="","",最佳化斷筋點!I453)</f>
        <v>6</v>
      </c>
      <c r="AH453" s="6">
        <f>IF(最佳化斷筋點!J453="","",最佳化斷筋點!J453)</f>
        <v>6</v>
      </c>
      <c r="AI453" s="6">
        <f>IF(最佳化斷筋點!K453="","",最佳化斷筋點!K453)</f>
        <v>7</v>
      </c>
      <c r="AJ453" s="6">
        <f>IF(最佳化斷筋點!L453="","",最佳化斷筋點!L453)</f>
        <v>7</v>
      </c>
      <c r="AK453" s="6">
        <f>IF(最佳化斷筋點!M453="","",最佳化斷筋點!M453)</f>
        <v>7</v>
      </c>
      <c r="AL453" s="6">
        <f>IF(最佳化斷筋點!N453="","",最佳化斷筋點!N453)</f>
        <v>7</v>
      </c>
      <c r="AM453" s="6">
        <f>IF(最佳化斷筋點!O453="","",最佳化斷筋點!O453)</f>
        <v>7</v>
      </c>
      <c r="AN453" s="6">
        <f>IF(最佳化斷筋點!P453="","",最佳化斷筋點!P453)</f>
        <v>7</v>
      </c>
      <c r="AO453" s="6">
        <f>IF(最佳化斷筋點!Q453="","",最佳化斷筋點!Q453)</f>
        <v>7</v>
      </c>
      <c r="AP453" s="6">
        <f>IF(最佳化斷筋點!R453="","",最佳化斷筋點!R453)</f>
        <v>6</v>
      </c>
      <c r="AQ453" s="6">
        <f>IF(最佳化斷筋點!S453="","",最佳化斷筋點!S453)</f>
        <v>6</v>
      </c>
      <c r="AR453" s="6">
        <f>IF(最佳化斷筋點!T453="","",最佳化斷筋點!T453)</f>
        <v>5</v>
      </c>
      <c r="AS453" s="6">
        <f>IF(最佳化斷筋點!U453="","",最佳化斷筋點!U453)</f>
        <v>5</v>
      </c>
      <c r="AT453" s="6">
        <f>IF(最佳化斷筋點!V453="","",最佳化斷筋點!V453)</f>
        <v>6</v>
      </c>
      <c r="AU453" s="6">
        <f>IF(最佳化斷筋點!W453="","",最佳化斷筋點!W453)</f>
        <v>7</v>
      </c>
      <c r="AV453" s="6">
        <f>IF(最佳化斷筋點!X453="","",最佳化斷筋點!X453)</f>
        <v>7</v>
      </c>
      <c r="AX453" s="6" t="s">
        <v>51</v>
      </c>
      <c r="AY453" s="6">
        <v>7</v>
      </c>
      <c r="AZ453" s="6">
        <v>7</v>
      </c>
      <c r="BA453" s="6">
        <v>6</v>
      </c>
      <c r="BB453" s="6">
        <v>5</v>
      </c>
      <c r="BC453" s="6">
        <v>5</v>
      </c>
      <c r="BD453" s="6">
        <v>6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6</v>
      </c>
      <c r="BN453" s="6">
        <v>6</v>
      </c>
      <c r="BO453" s="6">
        <v>5</v>
      </c>
      <c r="BP453" s="6">
        <v>5</v>
      </c>
      <c r="BQ453" s="6">
        <v>6</v>
      </c>
      <c r="BR453" s="6">
        <v>7</v>
      </c>
      <c r="BS453" s="6">
        <v>7</v>
      </c>
    </row>
    <row r="454" spans="4:71" x14ac:dyDescent="0.25">
      <c r="E454" s="6">
        <f t="shared" si="148"/>
        <v>0</v>
      </c>
      <c r="F454" s="6">
        <f t="shared" si="149"/>
        <v>0</v>
      </c>
      <c r="G454" s="6">
        <f t="shared" si="150"/>
        <v>0</v>
      </c>
      <c r="H454" s="6">
        <f t="shared" si="151"/>
        <v>0</v>
      </c>
      <c r="I454" s="6">
        <f t="shared" si="152"/>
        <v>0</v>
      </c>
      <c r="J454" s="6">
        <f t="shared" si="153"/>
        <v>0</v>
      </c>
      <c r="K454" s="6">
        <f t="shared" si="154"/>
        <v>0</v>
      </c>
      <c r="L454" s="6">
        <f t="shared" si="155"/>
        <v>0</v>
      </c>
      <c r="M454" s="6">
        <f t="shared" si="156"/>
        <v>0</v>
      </c>
      <c r="N454" s="6">
        <f t="shared" si="157"/>
        <v>0</v>
      </c>
      <c r="O454" s="6">
        <f t="shared" si="158"/>
        <v>0</v>
      </c>
      <c r="P454" s="6">
        <f t="shared" si="159"/>
        <v>0</v>
      </c>
      <c r="Q454" s="6">
        <f t="shared" si="160"/>
        <v>0</v>
      </c>
      <c r="R454" s="6">
        <f t="shared" si="161"/>
        <v>0</v>
      </c>
      <c r="S454" s="6">
        <f t="shared" si="162"/>
        <v>0</v>
      </c>
      <c r="T454" s="6">
        <f t="shared" si="163"/>
        <v>0</v>
      </c>
      <c r="U454" s="6">
        <f t="shared" si="164"/>
        <v>0</v>
      </c>
      <c r="V454" s="6">
        <f t="shared" si="165"/>
        <v>0</v>
      </c>
      <c r="W454" s="6">
        <f t="shared" si="166"/>
        <v>0</v>
      </c>
      <c r="X454" s="6">
        <f t="shared" si="167"/>
        <v>0</v>
      </c>
      <c r="Y454" s="6">
        <f t="shared" si="168"/>
        <v>0</v>
      </c>
      <c r="AA454" s="6" t="str">
        <f>IF(最佳化斷筋點!C454="","",最佳化斷筋點!C454)</f>
        <v/>
      </c>
      <c r="AB454" s="6" t="str">
        <f>IF(最佳化斷筋點!D454="","",最佳化斷筋點!D454)</f>
        <v/>
      </c>
      <c r="AC454" s="6" t="str">
        <f>IF(最佳化斷筋點!E454="","",最佳化斷筋點!E454)</f>
        <v/>
      </c>
      <c r="AD454" s="6" t="str">
        <f>IF(最佳化斷筋點!F454="","",最佳化斷筋點!F454)</f>
        <v/>
      </c>
      <c r="AE454" s="6" t="str">
        <f>IF(最佳化斷筋點!G454="","",最佳化斷筋點!G454)</f>
        <v/>
      </c>
      <c r="AF454" s="6" t="str">
        <f>IF(最佳化斷筋點!H454="","",最佳化斷筋點!H454)</f>
        <v/>
      </c>
      <c r="AG454" s="6" t="str">
        <f>IF(最佳化斷筋點!I454="","",最佳化斷筋點!I454)</f>
        <v/>
      </c>
      <c r="AH454" s="6" t="str">
        <f>IF(最佳化斷筋點!J454="","",最佳化斷筋點!J454)</f>
        <v/>
      </c>
      <c r="AI454" s="6" t="str">
        <f>IF(最佳化斷筋點!K454="","",最佳化斷筋點!K454)</f>
        <v/>
      </c>
      <c r="AJ454" s="6" t="str">
        <f>IF(最佳化斷筋點!L454="","",最佳化斷筋點!L454)</f>
        <v/>
      </c>
      <c r="AK454" s="6" t="str">
        <f>IF(最佳化斷筋點!M454="","",最佳化斷筋點!M454)</f>
        <v/>
      </c>
      <c r="AL454" s="6" t="str">
        <f>IF(最佳化斷筋點!N454="","",最佳化斷筋點!N454)</f>
        <v/>
      </c>
      <c r="AM454" s="6" t="str">
        <f>IF(最佳化斷筋點!O454="","",最佳化斷筋點!O454)</f>
        <v/>
      </c>
      <c r="AN454" s="6" t="str">
        <f>IF(最佳化斷筋點!P454="","",最佳化斷筋點!P454)</f>
        <v/>
      </c>
      <c r="AO454" s="6" t="str">
        <f>IF(最佳化斷筋點!Q454="","",最佳化斷筋點!Q454)</f>
        <v/>
      </c>
      <c r="AP454" s="6" t="str">
        <f>IF(最佳化斷筋點!R454="","",最佳化斷筋點!R454)</f>
        <v/>
      </c>
      <c r="AQ454" s="6" t="str">
        <f>IF(最佳化斷筋點!S454="","",最佳化斷筋點!S454)</f>
        <v/>
      </c>
      <c r="AR454" s="6" t="str">
        <f>IF(最佳化斷筋點!T454="","",最佳化斷筋點!T454)</f>
        <v/>
      </c>
      <c r="AS454" s="6" t="str">
        <f>IF(最佳化斷筋點!U454="","",最佳化斷筋點!U454)</f>
        <v/>
      </c>
      <c r="AT454" s="6" t="str">
        <f>IF(最佳化斷筋點!V454="","",最佳化斷筋點!V454)</f>
        <v/>
      </c>
      <c r="AU454" s="6" t="str">
        <f>IF(最佳化斷筋點!W454="","",最佳化斷筋點!W454)</f>
        <v/>
      </c>
      <c r="AV454" s="6" t="str">
        <f>IF(最佳化斷筋點!X454="","",最佳化斷筋點!X454)</f>
        <v/>
      </c>
    </row>
    <row r="455" spans="4:71" x14ac:dyDescent="0.25">
      <c r="D455" s="6" t="s">
        <v>50</v>
      </c>
      <c r="E455" s="6">
        <f t="shared" si="148"/>
        <v>0</v>
      </c>
      <c r="F455" s="6">
        <f t="shared" si="149"/>
        <v>0</v>
      </c>
      <c r="G455" s="6">
        <f t="shared" si="150"/>
        <v>0</v>
      </c>
      <c r="H455" s="6">
        <f t="shared" si="151"/>
        <v>0</v>
      </c>
      <c r="I455" s="6">
        <f t="shared" si="152"/>
        <v>0</v>
      </c>
      <c r="J455" s="6">
        <f t="shared" si="153"/>
        <v>0</v>
      </c>
      <c r="K455" s="6">
        <f t="shared" si="154"/>
        <v>0</v>
      </c>
      <c r="L455" s="6">
        <f t="shared" si="155"/>
        <v>0</v>
      </c>
      <c r="M455" s="6">
        <f t="shared" si="156"/>
        <v>0</v>
      </c>
      <c r="N455" s="6">
        <f t="shared" si="157"/>
        <v>0</v>
      </c>
      <c r="O455" s="6">
        <f t="shared" si="158"/>
        <v>0</v>
      </c>
      <c r="P455" s="6">
        <f t="shared" si="159"/>
        <v>0</v>
      </c>
      <c r="Q455" s="6">
        <f t="shared" si="160"/>
        <v>0</v>
      </c>
      <c r="R455" s="6">
        <f t="shared" si="161"/>
        <v>0</v>
      </c>
      <c r="S455" s="6">
        <f t="shared" si="162"/>
        <v>0</v>
      </c>
      <c r="T455" s="6">
        <f t="shared" si="163"/>
        <v>0</v>
      </c>
      <c r="U455" s="6">
        <f t="shared" si="164"/>
        <v>0</v>
      </c>
      <c r="V455" s="6">
        <f t="shared" si="165"/>
        <v>0</v>
      </c>
      <c r="W455" s="6">
        <f t="shared" si="166"/>
        <v>0</v>
      </c>
      <c r="X455" s="6">
        <f t="shared" si="167"/>
        <v>0</v>
      </c>
      <c r="Y455" s="6">
        <f t="shared" si="168"/>
        <v>0</v>
      </c>
      <c r="AA455" s="6" t="str">
        <f>IF(最佳化斷筋點!C455="","",最佳化斷筋點!C455)</f>
        <v>上層</v>
      </c>
      <c r="AB455" s="6">
        <f>IF(最佳化斷筋點!D455="","",最佳化斷筋點!D455)</f>
        <v>10</v>
      </c>
      <c r="AC455" s="6">
        <f>IF(最佳化斷筋點!E455="","",最佳化斷筋點!E455)</f>
        <v>9</v>
      </c>
      <c r="AD455" s="6">
        <f>IF(最佳化斷筋點!F455="","",最佳化斷筋點!F455)</f>
        <v>8</v>
      </c>
      <c r="AE455" s="6">
        <f>IF(最佳化斷筋點!G455="","",最佳化斷筋點!G455)</f>
        <v>8</v>
      </c>
      <c r="AF455" s="6">
        <f>IF(最佳化斷筋點!H455="","",最佳化斷筋點!H455)</f>
        <v>7</v>
      </c>
      <c r="AG455" s="6">
        <f>IF(最佳化斷筋點!I455="","",最佳化斷筋點!I455)</f>
        <v>6</v>
      </c>
      <c r="AH455" s="6">
        <f>IF(最佳化斷筋點!J455="","",最佳化斷筋點!J455)</f>
        <v>5</v>
      </c>
      <c r="AI455" s="6">
        <f>IF(最佳化斷筋點!K455="","",最佳化斷筋點!K455)</f>
        <v>4</v>
      </c>
      <c r="AJ455" s="6">
        <f>IF(最佳化斷筋點!L455="","",最佳化斷筋點!L455)</f>
        <v>3</v>
      </c>
      <c r="AK455" s="6">
        <f>IF(最佳化斷筋點!M455="","",最佳化斷筋點!M455)</f>
        <v>2</v>
      </c>
      <c r="AL455" s="6">
        <f>IF(最佳化斷筋點!N455="","",最佳化斷筋點!N455)</f>
        <v>2</v>
      </c>
      <c r="AM455" s="6">
        <f>IF(最佳化斷筋點!O455="","",最佳化斷筋點!O455)</f>
        <v>2</v>
      </c>
      <c r="AN455" s="6">
        <f>IF(最佳化斷筋點!P455="","",最佳化斷筋點!P455)</f>
        <v>2</v>
      </c>
      <c r="AO455" s="6">
        <f>IF(最佳化斷筋點!Q455="","",最佳化斷筋點!Q455)</f>
        <v>2</v>
      </c>
      <c r="AP455" s="6">
        <f>IF(最佳化斷筋點!R455="","",最佳化斷筋點!R455)</f>
        <v>3</v>
      </c>
      <c r="AQ455" s="6">
        <f>IF(最佳化斷筋點!S455="","",最佳化斷筋點!S455)</f>
        <v>3</v>
      </c>
      <c r="AR455" s="6">
        <f>IF(最佳化斷筋點!T455="","",最佳化斷筋點!T455)</f>
        <v>4</v>
      </c>
      <c r="AS455" s="6">
        <f>IF(最佳化斷筋點!U455="","",最佳化斷筋點!U455)</f>
        <v>5</v>
      </c>
      <c r="AT455" s="6">
        <f>IF(最佳化斷筋點!V455="","",最佳化斷筋點!V455)</f>
        <v>5</v>
      </c>
      <c r="AU455" s="6">
        <f>IF(最佳化斷筋點!W455="","",最佳化斷筋點!W455)</f>
        <v>6</v>
      </c>
      <c r="AV455" s="6">
        <f>IF(最佳化斷筋點!X455="","",最佳化斷筋點!X455)</f>
        <v>6</v>
      </c>
      <c r="AX455" s="6" t="s">
        <v>50</v>
      </c>
      <c r="AY455" s="6">
        <v>10</v>
      </c>
      <c r="AZ455" s="6">
        <v>9</v>
      </c>
      <c r="BA455" s="6">
        <v>8</v>
      </c>
      <c r="BB455" s="6">
        <v>8</v>
      </c>
      <c r="BC455" s="6">
        <v>7</v>
      </c>
      <c r="BD455" s="6">
        <v>6</v>
      </c>
      <c r="BE455" s="6">
        <v>5</v>
      </c>
      <c r="BF455" s="6">
        <v>4</v>
      </c>
      <c r="BG455" s="6">
        <v>3</v>
      </c>
      <c r="BH455" s="6">
        <v>2</v>
      </c>
      <c r="BI455" s="6">
        <v>2</v>
      </c>
      <c r="BJ455" s="6">
        <v>2</v>
      </c>
      <c r="BK455" s="6">
        <v>2</v>
      </c>
      <c r="BL455" s="6">
        <v>2</v>
      </c>
      <c r="BM455" s="6">
        <v>3</v>
      </c>
      <c r="BN455" s="6">
        <v>3</v>
      </c>
      <c r="BO455" s="6">
        <v>4</v>
      </c>
      <c r="BP455" s="6">
        <v>5</v>
      </c>
      <c r="BQ455" s="6">
        <v>5</v>
      </c>
      <c r="BR455" s="6">
        <v>6</v>
      </c>
      <c r="BS455" s="6">
        <v>6</v>
      </c>
    </row>
    <row r="456" spans="4:71" x14ac:dyDescent="0.25">
      <c r="E456" s="6">
        <f t="shared" si="148"/>
        <v>0</v>
      </c>
      <c r="F456" s="6">
        <f t="shared" si="149"/>
        <v>0</v>
      </c>
      <c r="G456" s="6">
        <f t="shared" si="150"/>
        <v>0</v>
      </c>
      <c r="H456" s="6">
        <f t="shared" si="151"/>
        <v>0</v>
      </c>
      <c r="I456" s="6">
        <f t="shared" si="152"/>
        <v>0</v>
      </c>
      <c r="J456" s="6">
        <f t="shared" si="153"/>
        <v>0</v>
      </c>
      <c r="K456" s="6">
        <f t="shared" si="154"/>
        <v>0</v>
      </c>
      <c r="L456" s="6">
        <f t="shared" si="155"/>
        <v>0</v>
      </c>
      <c r="M456" s="6">
        <f t="shared" si="156"/>
        <v>0</v>
      </c>
      <c r="N456" s="6">
        <f t="shared" si="157"/>
        <v>0</v>
      </c>
      <c r="O456" s="6">
        <f t="shared" si="158"/>
        <v>0</v>
      </c>
      <c r="P456" s="6">
        <f t="shared" si="159"/>
        <v>0</v>
      </c>
      <c r="Q456" s="6">
        <f t="shared" si="160"/>
        <v>0</v>
      </c>
      <c r="R456" s="6">
        <f t="shared" si="161"/>
        <v>0</v>
      </c>
      <c r="S456" s="6">
        <f t="shared" si="162"/>
        <v>0</v>
      </c>
      <c r="T456" s="6">
        <f t="shared" si="163"/>
        <v>0</v>
      </c>
      <c r="U456" s="6">
        <f t="shared" si="164"/>
        <v>0</v>
      </c>
      <c r="V456" s="6">
        <f t="shared" si="165"/>
        <v>0</v>
      </c>
      <c r="W456" s="6">
        <f t="shared" si="166"/>
        <v>0</v>
      </c>
      <c r="X456" s="6">
        <f t="shared" si="167"/>
        <v>0</v>
      </c>
      <c r="Y456" s="6">
        <f t="shared" si="168"/>
        <v>0</v>
      </c>
      <c r="AA456" s="6" t="str">
        <f>IF(最佳化斷筋點!C456="","",最佳化斷筋點!C456)</f>
        <v/>
      </c>
      <c r="AB456" s="6" t="str">
        <f>IF(最佳化斷筋點!D456="","",最佳化斷筋點!D456)</f>
        <v/>
      </c>
      <c r="AC456" s="6" t="str">
        <f>IF(最佳化斷筋點!E456="","",最佳化斷筋點!E456)</f>
        <v/>
      </c>
      <c r="AD456" s="6" t="str">
        <f>IF(最佳化斷筋點!F456="","",最佳化斷筋點!F456)</f>
        <v/>
      </c>
      <c r="AE456" s="6" t="str">
        <f>IF(最佳化斷筋點!G456="","",最佳化斷筋點!G456)</f>
        <v/>
      </c>
      <c r="AF456" s="6" t="str">
        <f>IF(最佳化斷筋點!H456="","",最佳化斷筋點!H456)</f>
        <v/>
      </c>
      <c r="AG456" s="6" t="str">
        <f>IF(最佳化斷筋點!I456="","",最佳化斷筋點!I456)</f>
        <v/>
      </c>
      <c r="AH456" s="6" t="str">
        <f>IF(最佳化斷筋點!J456="","",最佳化斷筋點!J456)</f>
        <v/>
      </c>
      <c r="AI456" s="6" t="str">
        <f>IF(最佳化斷筋點!K456="","",最佳化斷筋點!K456)</f>
        <v/>
      </c>
      <c r="AJ456" s="6" t="str">
        <f>IF(最佳化斷筋點!L456="","",最佳化斷筋點!L456)</f>
        <v/>
      </c>
      <c r="AK456" s="6" t="str">
        <f>IF(最佳化斷筋點!M456="","",最佳化斷筋點!M456)</f>
        <v/>
      </c>
      <c r="AL456" s="6" t="str">
        <f>IF(最佳化斷筋點!N456="","",最佳化斷筋點!N456)</f>
        <v/>
      </c>
      <c r="AM456" s="6" t="str">
        <f>IF(最佳化斷筋點!O456="","",最佳化斷筋點!O456)</f>
        <v/>
      </c>
      <c r="AN456" s="6" t="str">
        <f>IF(最佳化斷筋點!P456="","",最佳化斷筋點!P456)</f>
        <v/>
      </c>
      <c r="AO456" s="6" t="str">
        <f>IF(最佳化斷筋點!Q456="","",最佳化斷筋點!Q456)</f>
        <v/>
      </c>
      <c r="AP456" s="6" t="str">
        <f>IF(最佳化斷筋點!R456="","",最佳化斷筋點!R456)</f>
        <v/>
      </c>
      <c r="AQ456" s="6" t="str">
        <f>IF(最佳化斷筋點!S456="","",最佳化斷筋點!S456)</f>
        <v/>
      </c>
      <c r="AR456" s="6" t="str">
        <f>IF(最佳化斷筋點!T456="","",最佳化斷筋點!T456)</f>
        <v/>
      </c>
      <c r="AS456" s="6" t="str">
        <f>IF(最佳化斷筋點!U456="","",最佳化斷筋點!U456)</f>
        <v/>
      </c>
      <c r="AT456" s="6" t="str">
        <f>IF(最佳化斷筋點!V456="","",最佳化斷筋點!V456)</f>
        <v/>
      </c>
      <c r="AU456" s="6" t="str">
        <f>IF(最佳化斷筋點!W456="","",最佳化斷筋點!W456)</f>
        <v/>
      </c>
      <c r="AV456" s="6" t="str">
        <f>IF(最佳化斷筋點!X456="","",最佳化斷筋點!X456)</f>
        <v/>
      </c>
    </row>
    <row r="457" spans="4:71" x14ac:dyDescent="0.25">
      <c r="D457" s="6" t="s">
        <v>51</v>
      </c>
      <c r="E457" s="6">
        <f t="shared" si="148"/>
        <v>0</v>
      </c>
      <c r="F457" s="6">
        <f t="shared" si="149"/>
        <v>0</v>
      </c>
      <c r="G457" s="6">
        <f t="shared" si="150"/>
        <v>0</v>
      </c>
      <c r="H457" s="6">
        <f t="shared" si="151"/>
        <v>0</v>
      </c>
      <c r="I457" s="6">
        <f t="shared" si="152"/>
        <v>0</v>
      </c>
      <c r="J457" s="6">
        <f t="shared" si="153"/>
        <v>0</v>
      </c>
      <c r="K457" s="6">
        <f t="shared" si="154"/>
        <v>0</v>
      </c>
      <c r="L457" s="6">
        <f t="shared" si="155"/>
        <v>0</v>
      </c>
      <c r="M457" s="6">
        <f t="shared" si="156"/>
        <v>0</v>
      </c>
      <c r="N457" s="6">
        <f t="shared" si="157"/>
        <v>0</v>
      </c>
      <c r="O457" s="6">
        <f t="shared" si="158"/>
        <v>0</v>
      </c>
      <c r="P457" s="6">
        <f t="shared" si="159"/>
        <v>0</v>
      </c>
      <c r="Q457" s="6">
        <f t="shared" si="160"/>
        <v>0</v>
      </c>
      <c r="R457" s="6">
        <f t="shared" si="161"/>
        <v>0</v>
      </c>
      <c r="S457" s="6">
        <f t="shared" si="162"/>
        <v>0</v>
      </c>
      <c r="T457" s="6">
        <f t="shared" si="163"/>
        <v>0</v>
      </c>
      <c r="U457" s="6">
        <f t="shared" si="164"/>
        <v>0</v>
      </c>
      <c r="V457" s="6">
        <f t="shared" si="165"/>
        <v>0</v>
      </c>
      <c r="W457" s="6">
        <f t="shared" si="166"/>
        <v>0</v>
      </c>
      <c r="X457" s="6">
        <f t="shared" si="167"/>
        <v>0</v>
      </c>
      <c r="Y457" s="6">
        <f t="shared" si="168"/>
        <v>0</v>
      </c>
      <c r="AA457" s="6" t="str">
        <f>IF(最佳化斷筋點!C457="","",最佳化斷筋點!C457)</f>
        <v>下層</v>
      </c>
      <c r="AB457" s="6">
        <f>IF(最佳化斷筋點!D457="","",最佳化斷筋點!D457)</f>
        <v>3</v>
      </c>
      <c r="AC457" s="6">
        <f>IF(最佳化斷筋點!E457="","",最佳化斷筋點!E457)</f>
        <v>3</v>
      </c>
      <c r="AD457" s="6">
        <f>IF(最佳化斷筋點!F457="","",最佳化斷筋點!F457)</f>
        <v>3</v>
      </c>
      <c r="AE457" s="6">
        <f>IF(最佳化斷筋點!G457="","",最佳化斷筋點!G457)</f>
        <v>3</v>
      </c>
      <c r="AF457" s="6">
        <f>IF(最佳化斷筋點!H457="","",最佳化斷筋點!H457)</f>
        <v>3</v>
      </c>
      <c r="AG457" s="6">
        <f>IF(最佳化斷筋點!I457="","",最佳化斷筋點!I457)</f>
        <v>3</v>
      </c>
      <c r="AH457" s="6">
        <f>IF(最佳化斷筋點!J457="","",最佳化斷筋點!J457)</f>
        <v>4</v>
      </c>
      <c r="AI457" s="6">
        <f>IF(最佳化斷筋點!K457="","",最佳化斷筋點!K457)</f>
        <v>4</v>
      </c>
      <c r="AJ457" s="6">
        <f>IF(最佳化斷筋點!L457="","",最佳化斷筋點!L457)</f>
        <v>4</v>
      </c>
      <c r="AK457" s="6">
        <f>IF(最佳化斷筋點!M457="","",最佳化斷筋點!M457)</f>
        <v>4</v>
      </c>
      <c r="AL457" s="6">
        <f>IF(最佳化斷筋點!N457="","",最佳化斷筋點!N457)</f>
        <v>4</v>
      </c>
      <c r="AM457" s="6">
        <f>IF(最佳化斷筋點!O457="","",最佳化斷筋點!O457)</f>
        <v>4</v>
      </c>
      <c r="AN457" s="6">
        <f>IF(最佳化斷筋點!P457="","",最佳化斷筋點!P457)</f>
        <v>4</v>
      </c>
      <c r="AO457" s="6">
        <f>IF(最佳化斷筋點!Q457="","",最佳化斷筋點!Q457)</f>
        <v>4</v>
      </c>
      <c r="AP457" s="6">
        <f>IF(最佳化斷筋點!R457="","",最佳化斷筋點!R457)</f>
        <v>4</v>
      </c>
      <c r="AQ457" s="6">
        <f>IF(最佳化斷筋點!S457="","",最佳化斷筋點!S457)</f>
        <v>3</v>
      </c>
      <c r="AR457" s="6">
        <f>IF(最佳化斷筋點!T457="","",最佳化斷筋點!T457)</f>
        <v>3</v>
      </c>
      <c r="AS457" s="6">
        <f>IF(最佳化斷筋點!U457="","",最佳化斷筋點!U457)</f>
        <v>3</v>
      </c>
      <c r="AT457" s="6">
        <f>IF(最佳化斷筋點!V457="","",最佳化斷筋點!V457)</f>
        <v>3</v>
      </c>
      <c r="AU457" s="6">
        <f>IF(最佳化斷筋點!W457="","",最佳化斷筋點!W457)</f>
        <v>3</v>
      </c>
      <c r="AV457" s="6">
        <f>IF(最佳化斷筋點!X457="","",最佳化斷筋點!X457)</f>
        <v>3</v>
      </c>
      <c r="AX457" s="6" t="s">
        <v>51</v>
      </c>
      <c r="AY457" s="6">
        <v>3</v>
      </c>
      <c r="AZ457" s="6">
        <v>3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3</v>
      </c>
      <c r="BO457" s="6">
        <v>3</v>
      </c>
      <c r="BP457" s="6">
        <v>3</v>
      </c>
      <c r="BQ457" s="6">
        <v>3</v>
      </c>
      <c r="BR457" s="6">
        <v>3</v>
      </c>
      <c r="BS457" s="6">
        <v>3</v>
      </c>
    </row>
    <row r="458" spans="4:71" x14ac:dyDescent="0.25">
      <c r="E458" s="6">
        <f t="shared" si="148"/>
        <v>0</v>
      </c>
      <c r="F458" s="6">
        <f t="shared" si="149"/>
        <v>0</v>
      </c>
      <c r="G458" s="6">
        <f t="shared" si="150"/>
        <v>0</v>
      </c>
      <c r="H458" s="6">
        <f t="shared" si="151"/>
        <v>0</v>
      </c>
      <c r="I458" s="6">
        <f t="shared" si="152"/>
        <v>0</v>
      </c>
      <c r="J458" s="6">
        <f t="shared" si="153"/>
        <v>0</v>
      </c>
      <c r="K458" s="6">
        <f t="shared" si="154"/>
        <v>0</v>
      </c>
      <c r="L458" s="6">
        <f t="shared" si="155"/>
        <v>0</v>
      </c>
      <c r="M458" s="6">
        <f t="shared" si="156"/>
        <v>0</v>
      </c>
      <c r="N458" s="6">
        <f t="shared" si="157"/>
        <v>0</v>
      </c>
      <c r="O458" s="6">
        <f t="shared" si="158"/>
        <v>0</v>
      </c>
      <c r="P458" s="6">
        <f t="shared" si="159"/>
        <v>0</v>
      </c>
      <c r="Q458" s="6">
        <f t="shared" si="160"/>
        <v>0</v>
      </c>
      <c r="R458" s="6">
        <f t="shared" si="161"/>
        <v>0</v>
      </c>
      <c r="S458" s="6">
        <f t="shared" si="162"/>
        <v>0</v>
      </c>
      <c r="T458" s="6">
        <f t="shared" si="163"/>
        <v>0</v>
      </c>
      <c r="U458" s="6">
        <f t="shared" si="164"/>
        <v>0</v>
      </c>
      <c r="V458" s="6">
        <f t="shared" si="165"/>
        <v>0</v>
      </c>
      <c r="W458" s="6">
        <f t="shared" si="166"/>
        <v>0</v>
      </c>
      <c r="X458" s="6">
        <f t="shared" si="167"/>
        <v>0</v>
      </c>
      <c r="Y458" s="6">
        <f t="shared" si="168"/>
        <v>0</v>
      </c>
      <c r="AA458" s="6" t="str">
        <f>IF(最佳化斷筋點!C458="","",最佳化斷筋點!C458)</f>
        <v/>
      </c>
      <c r="AB458" s="6" t="str">
        <f>IF(最佳化斷筋點!D458="","",最佳化斷筋點!D458)</f>
        <v/>
      </c>
      <c r="AC458" s="6" t="str">
        <f>IF(最佳化斷筋點!E458="","",最佳化斷筋點!E458)</f>
        <v/>
      </c>
      <c r="AD458" s="6" t="str">
        <f>IF(最佳化斷筋點!F458="","",最佳化斷筋點!F458)</f>
        <v/>
      </c>
      <c r="AE458" s="6" t="str">
        <f>IF(最佳化斷筋點!G458="","",最佳化斷筋點!G458)</f>
        <v/>
      </c>
      <c r="AF458" s="6" t="str">
        <f>IF(最佳化斷筋點!H458="","",最佳化斷筋點!H458)</f>
        <v/>
      </c>
      <c r="AG458" s="6" t="str">
        <f>IF(最佳化斷筋點!I458="","",最佳化斷筋點!I458)</f>
        <v/>
      </c>
      <c r="AH458" s="6" t="str">
        <f>IF(最佳化斷筋點!J458="","",最佳化斷筋點!J458)</f>
        <v/>
      </c>
      <c r="AI458" s="6" t="str">
        <f>IF(最佳化斷筋點!K458="","",最佳化斷筋點!K458)</f>
        <v/>
      </c>
      <c r="AJ458" s="6" t="str">
        <f>IF(最佳化斷筋點!L458="","",最佳化斷筋點!L458)</f>
        <v/>
      </c>
      <c r="AK458" s="6" t="str">
        <f>IF(最佳化斷筋點!M458="","",最佳化斷筋點!M458)</f>
        <v/>
      </c>
      <c r="AL458" s="6" t="str">
        <f>IF(最佳化斷筋點!N458="","",最佳化斷筋點!N458)</f>
        <v/>
      </c>
      <c r="AM458" s="6" t="str">
        <f>IF(最佳化斷筋點!O458="","",最佳化斷筋點!O458)</f>
        <v/>
      </c>
      <c r="AN458" s="6" t="str">
        <f>IF(最佳化斷筋點!P458="","",最佳化斷筋點!P458)</f>
        <v/>
      </c>
      <c r="AO458" s="6" t="str">
        <f>IF(最佳化斷筋點!Q458="","",最佳化斷筋點!Q458)</f>
        <v/>
      </c>
      <c r="AP458" s="6" t="str">
        <f>IF(最佳化斷筋點!R458="","",最佳化斷筋點!R458)</f>
        <v/>
      </c>
      <c r="AQ458" s="6" t="str">
        <f>IF(最佳化斷筋點!S458="","",最佳化斷筋點!S458)</f>
        <v/>
      </c>
      <c r="AR458" s="6" t="str">
        <f>IF(最佳化斷筋點!T458="","",最佳化斷筋點!T458)</f>
        <v/>
      </c>
      <c r="AS458" s="6" t="str">
        <f>IF(最佳化斷筋點!U458="","",最佳化斷筋點!U458)</f>
        <v/>
      </c>
      <c r="AT458" s="6" t="str">
        <f>IF(最佳化斷筋點!V458="","",最佳化斷筋點!V458)</f>
        <v/>
      </c>
      <c r="AU458" s="6" t="str">
        <f>IF(最佳化斷筋點!W458="","",最佳化斷筋點!W458)</f>
        <v/>
      </c>
      <c r="AV458" s="6" t="str">
        <f>IF(最佳化斷筋點!X458="","",最佳化斷筋點!X458)</f>
        <v/>
      </c>
    </row>
    <row r="459" spans="4:71" x14ac:dyDescent="0.25">
      <c r="D459" s="6" t="s">
        <v>50</v>
      </c>
      <c r="E459" s="6">
        <f t="shared" si="148"/>
        <v>0</v>
      </c>
      <c r="F459" s="6">
        <f t="shared" si="149"/>
        <v>0</v>
      </c>
      <c r="G459" s="6">
        <f t="shared" si="150"/>
        <v>0</v>
      </c>
      <c r="H459" s="6">
        <f t="shared" si="151"/>
        <v>0</v>
      </c>
      <c r="I459" s="6">
        <f t="shared" si="152"/>
        <v>0</v>
      </c>
      <c r="J459" s="6">
        <f t="shared" si="153"/>
        <v>0</v>
      </c>
      <c r="K459" s="6">
        <f t="shared" si="154"/>
        <v>0</v>
      </c>
      <c r="L459" s="6">
        <f t="shared" si="155"/>
        <v>0</v>
      </c>
      <c r="M459" s="6">
        <f t="shared" si="156"/>
        <v>0</v>
      </c>
      <c r="N459" s="6">
        <f t="shared" si="157"/>
        <v>0</v>
      </c>
      <c r="O459" s="6">
        <f t="shared" si="158"/>
        <v>0</v>
      </c>
      <c r="P459" s="6">
        <f t="shared" si="159"/>
        <v>0</v>
      </c>
      <c r="Q459" s="6">
        <f t="shared" si="160"/>
        <v>0</v>
      </c>
      <c r="R459" s="6">
        <f t="shared" si="161"/>
        <v>0</v>
      </c>
      <c r="S459" s="6">
        <f t="shared" si="162"/>
        <v>0</v>
      </c>
      <c r="T459" s="6">
        <f t="shared" si="163"/>
        <v>0</v>
      </c>
      <c r="U459" s="6">
        <f t="shared" si="164"/>
        <v>0</v>
      </c>
      <c r="V459" s="6">
        <f t="shared" si="165"/>
        <v>0</v>
      </c>
      <c r="W459" s="6">
        <f t="shared" si="166"/>
        <v>0</v>
      </c>
      <c r="X459" s="6">
        <f t="shared" si="167"/>
        <v>0</v>
      </c>
      <c r="Y459" s="6">
        <f t="shared" si="168"/>
        <v>0</v>
      </c>
      <c r="AA459" s="6" t="str">
        <f>IF(最佳化斷筋點!C459="","",最佳化斷筋點!C459)</f>
        <v>上層</v>
      </c>
      <c r="AB459" s="6">
        <f>IF(最佳化斷筋點!D459="","",最佳化斷筋點!D459)</f>
        <v>10</v>
      </c>
      <c r="AC459" s="6">
        <f>IF(最佳化斷筋點!E459="","",最佳化斷筋點!E459)</f>
        <v>9</v>
      </c>
      <c r="AD459" s="6">
        <f>IF(最佳化斷筋點!F459="","",最佳化斷筋點!F459)</f>
        <v>8</v>
      </c>
      <c r="AE459" s="6">
        <f>IF(最佳化斷筋點!G459="","",最佳化斷筋點!G459)</f>
        <v>8</v>
      </c>
      <c r="AF459" s="6">
        <f>IF(最佳化斷筋點!H459="","",最佳化斷筋點!H459)</f>
        <v>7</v>
      </c>
      <c r="AG459" s="6">
        <f>IF(最佳化斷筋點!I459="","",最佳化斷筋點!I459)</f>
        <v>6</v>
      </c>
      <c r="AH459" s="6">
        <f>IF(最佳化斷筋點!J459="","",最佳化斷筋點!J459)</f>
        <v>5</v>
      </c>
      <c r="AI459" s="6">
        <f>IF(最佳化斷筋點!K459="","",最佳化斷筋點!K459)</f>
        <v>4</v>
      </c>
      <c r="AJ459" s="6">
        <f>IF(最佳化斷筋點!L459="","",最佳化斷筋點!L459)</f>
        <v>3</v>
      </c>
      <c r="AK459" s="6">
        <f>IF(最佳化斷筋點!M459="","",最佳化斷筋點!M459)</f>
        <v>2</v>
      </c>
      <c r="AL459" s="6">
        <f>IF(最佳化斷筋點!N459="","",最佳化斷筋點!N459)</f>
        <v>2</v>
      </c>
      <c r="AM459" s="6">
        <f>IF(最佳化斷筋點!O459="","",最佳化斷筋點!O459)</f>
        <v>2</v>
      </c>
      <c r="AN459" s="6">
        <f>IF(最佳化斷筋點!P459="","",最佳化斷筋點!P459)</f>
        <v>2</v>
      </c>
      <c r="AO459" s="6">
        <f>IF(最佳化斷筋點!Q459="","",最佳化斷筋點!Q459)</f>
        <v>4</v>
      </c>
      <c r="AP459" s="6">
        <f>IF(最佳化斷筋點!R459="","",最佳化斷筋點!R459)</f>
        <v>4</v>
      </c>
      <c r="AQ459" s="6">
        <f>IF(最佳化斷筋點!S459="","",最佳化斷筋點!S459)</f>
        <v>5</v>
      </c>
      <c r="AR459" s="6">
        <f>IF(最佳化斷筋點!T459="","",最佳化斷筋點!T459)</f>
        <v>6</v>
      </c>
      <c r="AS459" s="6">
        <f>IF(最佳化斷筋點!U459="","",最佳化斷筋點!U459)</f>
        <v>7</v>
      </c>
      <c r="AT459" s="6">
        <f>IF(最佳化斷筋點!V459="","",最佳化斷筋點!V459)</f>
        <v>8</v>
      </c>
      <c r="AU459" s="6">
        <f>IF(最佳化斷筋點!W459="","",最佳化斷筋點!W459)</f>
        <v>9</v>
      </c>
      <c r="AV459" s="6">
        <f>IF(最佳化斷筋點!X459="","",最佳化斷筋點!X459)</f>
        <v>10</v>
      </c>
      <c r="AX459" s="6" t="s">
        <v>50</v>
      </c>
      <c r="AY459" s="6">
        <v>10</v>
      </c>
      <c r="AZ459" s="6">
        <v>9</v>
      </c>
      <c r="BA459" s="6">
        <v>8</v>
      </c>
      <c r="BB459" s="6">
        <v>8</v>
      </c>
      <c r="BC459" s="6">
        <v>7</v>
      </c>
      <c r="BD459" s="6">
        <v>6</v>
      </c>
      <c r="BE459" s="6">
        <v>5</v>
      </c>
      <c r="BF459" s="6">
        <v>4</v>
      </c>
      <c r="BG459" s="6">
        <v>3</v>
      </c>
      <c r="BH459" s="6">
        <v>2</v>
      </c>
      <c r="BI459" s="6">
        <v>2</v>
      </c>
      <c r="BJ459" s="6">
        <v>2</v>
      </c>
      <c r="BK459" s="6">
        <v>2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</row>
    <row r="460" spans="4:71" x14ac:dyDescent="0.25">
      <c r="E460" s="6">
        <f t="shared" si="148"/>
        <v>0</v>
      </c>
      <c r="F460" s="6">
        <f t="shared" si="149"/>
        <v>0</v>
      </c>
      <c r="G460" s="6">
        <f t="shared" si="150"/>
        <v>0</v>
      </c>
      <c r="H460" s="6">
        <f t="shared" si="151"/>
        <v>0</v>
      </c>
      <c r="I460" s="6">
        <f t="shared" si="152"/>
        <v>0</v>
      </c>
      <c r="J460" s="6">
        <f t="shared" si="153"/>
        <v>0</v>
      </c>
      <c r="K460" s="6">
        <f t="shared" si="154"/>
        <v>0</v>
      </c>
      <c r="L460" s="6">
        <f t="shared" si="155"/>
        <v>0</v>
      </c>
      <c r="M460" s="6">
        <f t="shared" si="156"/>
        <v>0</v>
      </c>
      <c r="N460" s="6">
        <f t="shared" si="157"/>
        <v>0</v>
      </c>
      <c r="O460" s="6">
        <f t="shared" si="158"/>
        <v>0</v>
      </c>
      <c r="P460" s="6">
        <f t="shared" si="159"/>
        <v>0</v>
      </c>
      <c r="Q460" s="6">
        <f t="shared" si="160"/>
        <v>0</v>
      </c>
      <c r="R460" s="6">
        <f t="shared" si="161"/>
        <v>0</v>
      </c>
      <c r="S460" s="6">
        <f t="shared" si="162"/>
        <v>0</v>
      </c>
      <c r="T460" s="6">
        <f t="shared" si="163"/>
        <v>0</v>
      </c>
      <c r="U460" s="6">
        <f t="shared" si="164"/>
        <v>0</v>
      </c>
      <c r="V460" s="6">
        <f t="shared" si="165"/>
        <v>0</v>
      </c>
      <c r="W460" s="6">
        <f t="shared" si="166"/>
        <v>0</v>
      </c>
      <c r="X460" s="6">
        <f t="shared" si="167"/>
        <v>0</v>
      </c>
      <c r="Y460" s="6">
        <f t="shared" si="168"/>
        <v>0</v>
      </c>
      <c r="AA460" s="6" t="str">
        <f>IF(最佳化斷筋點!C460="","",最佳化斷筋點!C460)</f>
        <v/>
      </c>
      <c r="AB460" s="6" t="str">
        <f>IF(最佳化斷筋點!D460="","",最佳化斷筋點!D460)</f>
        <v/>
      </c>
      <c r="AC460" s="6" t="str">
        <f>IF(最佳化斷筋點!E460="","",最佳化斷筋點!E460)</f>
        <v/>
      </c>
      <c r="AD460" s="6" t="str">
        <f>IF(最佳化斷筋點!F460="","",最佳化斷筋點!F460)</f>
        <v/>
      </c>
      <c r="AE460" s="6" t="str">
        <f>IF(最佳化斷筋點!G460="","",最佳化斷筋點!G460)</f>
        <v/>
      </c>
      <c r="AF460" s="6" t="str">
        <f>IF(最佳化斷筋點!H460="","",最佳化斷筋點!H460)</f>
        <v/>
      </c>
      <c r="AG460" s="6" t="str">
        <f>IF(最佳化斷筋點!I460="","",最佳化斷筋點!I460)</f>
        <v/>
      </c>
      <c r="AH460" s="6" t="str">
        <f>IF(最佳化斷筋點!J460="","",最佳化斷筋點!J460)</f>
        <v/>
      </c>
      <c r="AI460" s="6" t="str">
        <f>IF(最佳化斷筋點!K460="","",最佳化斷筋點!K460)</f>
        <v/>
      </c>
      <c r="AJ460" s="6" t="str">
        <f>IF(最佳化斷筋點!L460="","",最佳化斷筋點!L460)</f>
        <v/>
      </c>
      <c r="AK460" s="6" t="str">
        <f>IF(最佳化斷筋點!M460="","",最佳化斷筋點!M460)</f>
        <v/>
      </c>
      <c r="AL460" s="6" t="str">
        <f>IF(最佳化斷筋點!N460="","",最佳化斷筋點!N460)</f>
        <v/>
      </c>
      <c r="AM460" s="6" t="str">
        <f>IF(最佳化斷筋點!O460="","",最佳化斷筋點!O460)</f>
        <v/>
      </c>
      <c r="AN460" s="6" t="str">
        <f>IF(最佳化斷筋點!P460="","",最佳化斷筋點!P460)</f>
        <v/>
      </c>
      <c r="AO460" s="6" t="str">
        <f>IF(最佳化斷筋點!Q460="","",最佳化斷筋點!Q460)</f>
        <v/>
      </c>
      <c r="AP460" s="6" t="str">
        <f>IF(最佳化斷筋點!R460="","",最佳化斷筋點!R460)</f>
        <v/>
      </c>
      <c r="AQ460" s="6" t="str">
        <f>IF(最佳化斷筋點!S460="","",最佳化斷筋點!S460)</f>
        <v/>
      </c>
      <c r="AR460" s="6" t="str">
        <f>IF(最佳化斷筋點!T460="","",最佳化斷筋點!T460)</f>
        <v/>
      </c>
      <c r="AS460" s="6" t="str">
        <f>IF(最佳化斷筋點!U460="","",最佳化斷筋點!U460)</f>
        <v/>
      </c>
      <c r="AT460" s="6" t="str">
        <f>IF(最佳化斷筋點!V460="","",最佳化斷筋點!V460)</f>
        <v/>
      </c>
      <c r="AU460" s="6" t="str">
        <f>IF(最佳化斷筋點!W460="","",最佳化斷筋點!W460)</f>
        <v/>
      </c>
      <c r="AV460" s="6" t="str">
        <f>IF(最佳化斷筋點!X460="","",最佳化斷筋點!X460)</f>
        <v/>
      </c>
    </row>
    <row r="461" spans="4:71" x14ac:dyDescent="0.25">
      <c r="D461" s="6" t="s">
        <v>51</v>
      </c>
      <c r="E461" s="6">
        <f t="shared" si="148"/>
        <v>0</v>
      </c>
      <c r="F461" s="6">
        <f t="shared" si="149"/>
        <v>0</v>
      </c>
      <c r="G461" s="6">
        <f t="shared" si="150"/>
        <v>0</v>
      </c>
      <c r="H461" s="6">
        <f t="shared" si="151"/>
        <v>0</v>
      </c>
      <c r="I461" s="6">
        <f t="shared" si="152"/>
        <v>0</v>
      </c>
      <c r="J461" s="6">
        <f t="shared" si="153"/>
        <v>0</v>
      </c>
      <c r="K461" s="6">
        <f t="shared" si="154"/>
        <v>0</v>
      </c>
      <c r="L461" s="6">
        <f t="shared" si="155"/>
        <v>0</v>
      </c>
      <c r="M461" s="6">
        <f t="shared" si="156"/>
        <v>0</v>
      </c>
      <c r="N461" s="6">
        <f t="shared" si="157"/>
        <v>0</v>
      </c>
      <c r="O461" s="6">
        <f t="shared" si="158"/>
        <v>0</v>
      </c>
      <c r="P461" s="6">
        <f t="shared" si="159"/>
        <v>0</v>
      </c>
      <c r="Q461" s="6">
        <f t="shared" si="160"/>
        <v>0</v>
      </c>
      <c r="R461" s="6">
        <f t="shared" si="161"/>
        <v>0</v>
      </c>
      <c r="S461" s="6">
        <f t="shared" si="162"/>
        <v>0</v>
      </c>
      <c r="T461" s="6">
        <f t="shared" si="163"/>
        <v>0</v>
      </c>
      <c r="U461" s="6">
        <f t="shared" si="164"/>
        <v>0</v>
      </c>
      <c r="V461" s="6">
        <f t="shared" si="165"/>
        <v>0</v>
      </c>
      <c r="W461" s="6">
        <f t="shared" si="166"/>
        <v>0</v>
      </c>
      <c r="X461" s="6">
        <f t="shared" si="167"/>
        <v>0</v>
      </c>
      <c r="Y461" s="6">
        <f t="shared" si="168"/>
        <v>0</v>
      </c>
      <c r="AA461" s="6" t="str">
        <f>IF(最佳化斷筋點!C461="","",最佳化斷筋點!C461)</f>
        <v>下層</v>
      </c>
      <c r="AB461" s="6">
        <f>IF(最佳化斷筋點!D461="","",最佳化斷筋點!D461)</f>
        <v>7</v>
      </c>
      <c r="AC461" s="6">
        <f>IF(最佳化斷筋點!E461="","",最佳化斷筋點!E461)</f>
        <v>7</v>
      </c>
      <c r="AD461" s="6">
        <f>IF(最佳化斷筋點!F461="","",最佳化斷筋點!F461)</f>
        <v>6</v>
      </c>
      <c r="AE461" s="6">
        <f>IF(最佳化斷筋點!G461="","",最佳化斷筋點!G461)</f>
        <v>5</v>
      </c>
      <c r="AF461" s="6">
        <f>IF(最佳化斷筋點!H461="","",最佳化斷筋點!H461)</f>
        <v>5</v>
      </c>
      <c r="AG461" s="6">
        <f>IF(最佳化斷筋點!I461="","",最佳化斷筋點!I461)</f>
        <v>6</v>
      </c>
      <c r="AH461" s="6">
        <f>IF(最佳化斷筋點!J461="","",最佳化斷筋點!J461)</f>
        <v>6</v>
      </c>
      <c r="AI461" s="6">
        <f>IF(最佳化斷筋點!K461="","",最佳化斷筋點!K461)</f>
        <v>7</v>
      </c>
      <c r="AJ461" s="6">
        <f>IF(最佳化斷筋點!L461="","",最佳化斷筋點!L461)</f>
        <v>7</v>
      </c>
      <c r="AK461" s="6">
        <f>IF(最佳化斷筋點!M461="","",最佳化斷筋點!M461)</f>
        <v>7</v>
      </c>
      <c r="AL461" s="6">
        <f>IF(最佳化斷筋點!N461="","",最佳化斷筋點!N461)</f>
        <v>7</v>
      </c>
      <c r="AM461" s="6">
        <f>IF(最佳化斷筋點!O461="","",最佳化斷筋點!O461)</f>
        <v>7</v>
      </c>
      <c r="AN461" s="6">
        <f>IF(最佳化斷筋點!P461="","",最佳化斷筋點!P461)</f>
        <v>7</v>
      </c>
      <c r="AO461" s="6">
        <f>IF(最佳化斷筋點!Q461="","",最佳化斷筋點!Q461)</f>
        <v>7</v>
      </c>
      <c r="AP461" s="6">
        <f>IF(最佳化斷筋點!R461="","",最佳化斷筋點!R461)</f>
        <v>6</v>
      </c>
      <c r="AQ461" s="6">
        <f>IF(最佳化斷筋點!S461="","",最佳化斷筋點!S461)</f>
        <v>6</v>
      </c>
      <c r="AR461" s="6">
        <f>IF(最佳化斷筋點!T461="","",最佳化斷筋點!T461)</f>
        <v>5</v>
      </c>
      <c r="AS461" s="6">
        <f>IF(最佳化斷筋點!U461="","",最佳化斷筋點!U461)</f>
        <v>5</v>
      </c>
      <c r="AT461" s="6">
        <f>IF(最佳化斷筋點!V461="","",最佳化斷筋點!V461)</f>
        <v>6</v>
      </c>
      <c r="AU461" s="6">
        <f>IF(最佳化斷筋點!W461="","",最佳化斷筋點!W461)</f>
        <v>7</v>
      </c>
      <c r="AV461" s="6">
        <f>IF(最佳化斷筋點!X461="","",最佳化斷筋點!X461)</f>
        <v>7</v>
      </c>
      <c r="AX461" s="6" t="s">
        <v>51</v>
      </c>
      <c r="AY461" s="6">
        <v>7</v>
      </c>
      <c r="AZ461" s="6">
        <v>7</v>
      </c>
      <c r="BA461" s="6">
        <v>6</v>
      </c>
      <c r="BB461" s="6">
        <v>5</v>
      </c>
      <c r="BC461" s="6">
        <v>5</v>
      </c>
      <c r="BD461" s="6">
        <v>6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6</v>
      </c>
      <c r="BN461" s="6">
        <v>6</v>
      </c>
      <c r="BO461" s="6">
        <v>5</v>
      </c>
      <c r="BP461" s="6">
        <v>5</v>
      </c>
      <c r="BQ461" s="6">
        <v>6</v>
      </c>
      <c r="BR461" s="6">
        <v>7</v>
      </c>
      <c r="BS461" s="6">
        <v>7</v>
      </c>
    </row>
    <row r="462" spans="4:71" x14ac:dyDescent="0.25">
      <c r="E462" s="6">
        <f t="shared" si="148"/>
        <v>0</v>
      </c>
      <c r="F462" s="6">
        <f t="shared" si="149"/>
        <v>0</v>
      </c>
      <c r="G462" s="6">
        <f t="shared" si="150"/>
        <v>0</v>
      </c>
      <c r="H462" s="6">
        <f t="shared" si="151"/>
        <v>0</v>
      </c>
      <c r="I462" s="6">
        <f t="shared" si="152"/>
        <v>0</v>
      </c>
      <c r="J462" s="6">
        <f t="shared" si="153"/>
        <v>0</v>
      </c>
      <c r="K462" s="6">
        <f t="shared" si="154"/>
        <v>0</v>
      </c>
      <c r="L462" s="6">
        <f t="shared" si="155"/>
        <v>0</v>
      </c>
      <c r="M462" s="6">
        <f t="shared" si="156"/>
        <v>0</v>
      </c>
      <c r="N462" s="6">
        <f t="shared" si="157"/>
        <v>0</v>
      </c>
      <c r="O462" s="6">
        <f t="shared" si="158"/>
        <v>0</v>
      </c>
      <c r="P462" s="6">
        <f t="shared" si="159"/>
        <v>0</v>
      </c>
      <c r="Q462" s="6">
        <f t="shared" si="160"/>
        <v>0</v>
      </c>
      <c r="R462" s="6">
        <f t="shared" si="161"/>
        <v>0</v>
      </c>
      <c r="S462" s="6">
        <f t="shared" si="162"/>
        <v>0</v>
      </c>
      <c r="T462" s="6">
        <f t="shared" si="163"/>
        <v>0</v>
      </c>
      <c r="U462" s="6">
        <f t="shared" si="164"/>
        <v>0</v>
      </c>
      <c r="V462" s="6">
        <f t="shared" si="165"/>
        <v>0</v>
      </c>
      <c r="W462" s="6">
        <f t="shared" si="166"/>
        <v>0</v>
      </c>
      <c r="X462" s="6">
        <f t="shared" si="167"/>
        <v>0</v>
      </c>
      <c r="Y462" s="6">
        <f t="shared" si="168"/>
        <v>0</v>
      </c>
      <c r="AA462" s="6" t="str">
        <f>IF(最佳化斷筋點!C462="","",最佳化斷筋點!C462)</f>
        <v/>
      </c>
      <c r="AB462" s="6" t="str">
        <f>IF(最佳化斷筋點!D462="","",最佳化斷筋點!D462)</f>
        <v/>
      </c>
      <c r="AC462" s="6" t="str">
        <f>IF(最佳化斷筋點!E462="","",最佳化斷筋點!E462)</f>
        <v/>
      </c>
      <c r="AD462" s="6" t="str">
        <f>IF(最佳化斷筋點!F462="","",最佳化斷筋點!F462)</f>
        <v/>
      </c>
      <c r="AE462" s="6" t="str">
        <f>IF(最佳化斷筋點!G462="","",最佳化斷筋點!G462)</f>
        <v/>
      </c>
      <c r="AF462" s="6" t="str">
        <f>IF(最佳化斷筋點!H462="","",最佳化斷筋點!H462)</f>
        <v/>
      </c>
      <c r="AG462" s="6" t="str">
        <f>IF(最佳化斷筋點!I462="","",最佳化斷筋點!I462)</f>
        <v/>
      </c>
      <c r="AH462" s="6" t="str">
        <f>IF(最佳化斷筋點!J462="","",最佳化斷筋點!J462)</f>
        <v/>
      </c>
      <c r="AI462" s="6" t="str">
        <f>IF(最佳化斷筋點!K462="","",最佳化斷筋點!K462)</f>
        <v/>
      </c>
      <c r="AJ462" s="6" t="str">
        <f>IF(最佳化斷筋點!L462="","",最佳化斷筋點!L462)</f>
        <v/>
      </c>
      <c r="AK462" s="6" t="str">
        <f>IF(最佳化斷筋點!M462="","",最佳化斷筋點!M462)</f>
        <v/>
      </c>
      <c r="AL462" s="6" t="str">
        <f>IF(最佳化斷筋點!N462="","",最佳化斷筋點!N462)</f>
        <v/>
      </c>
      <c r="AM462" s="6" t="str">
        <f>IF(最佳化斷筋點!O462="","",最佳化斷筋點!O462)</f>
        <v/>
      </c>
      <c r="AN462" s="6" t="str">
        <f>IF(最佳化斷筋點!P462="","",最佳化斷筋點!P462)</f>
        <v/>
      </c>
      <c r="AO462" s="6" t="str">
        <f>IF(最佳化斷筋點!Q462="","",最佳化斷筋點!Q462)</f>
        <v/>
      </c>
      <c r="AP462" s="6" t="str">
        <f>IF(最佳化斷筋點!R462="","",最佳化斷筋點!R462)</f>
        <v/>
      </c>
      <c r="AQ462" s="6" t="str">
        <f>IF(最佳化斷筋點!S462="","",最佳化斷筋點!S462)</f>
        <v/>
      </c>
      <c r="AR462" s="6" t="str">
        <f>IF(最佳化斷筋點!T462="","",最佳化斷筋點!T462)</f>
        <v/>
      </c>
      <c r="AS462" s="6" t="str">
        <f>IF(最佳化斷筋點!U462="","",最佳化斷筋點!U462)</f>
        <v/>
      </c>
      <c r="AT462" s="6" t="str">
        <f>IF(最佳化斷筋點!V462="","",最佳化斷筋點!V462)</f>
        <v/>
      </c>
      <c r="AU462" s="6" t="str">
        <f>IF(最佳化斷筋點!W462="","",最佳化斷筋點!W462)</f>
        <v/>
      </c>
      <c r="AV462" s="6" t="str">
        <f>IF(最佳化斷筋點!X462="","",最佳化斷筋點!X462)</f>
        <v/>
      </c>
    </row>
    <row r="463" spans="4:71" x14ac:dyDescent="0.25">
      <c r="D463" s="6" t="s">
        <v>50</v>
      </c>
      <c r="E463" s="6">
        <f t="shared" si="148"/>
        <v>0</v>
      </c>
      <c r="F463" s="6">
        <f t="shared" si="149"/>
        <v>0</v>
      </c>
      <c r="G463" s="6">
        <f t="shared" si="150"/>
        <v>0</v>
      </c>
      <c r="H463" s="6">
        <f t="shared" si="151"/>
        <v>0</v>
      </c>
      <c r="I463" s="6">
        <f t="shared" si="152"/>
        <v>0</v>
      </c>
      <c r="J463" s="6">
        <f t="shared" si="153"/>
        <v>0</v>
      </c>
      <c r="K463" s="6">
        <f t="shared" si="154"/>
        <v>0</v>
      </c>
      <c r="L463" s="6">
        <f t="shared" si="155"/>
        <v>0</v>
      </c>
      <c r="M463" s="6">
        <f t="shared" si="156"/>
        <v>0</v>
      </c>
      <c r="N463" s="6">
        <f t="shared" si="157"/>
        <v>0</v>
      </c>
      <c r="O463" s="6">
        <f t="shared" si="158"/>
        <v>0</v>
      </c>
      <c r="P463" s="6">
        <f t="shared" si="159"/>
        <v>0</v>
      </c>
      <c r="Q463" s="6">
        <f t="shared" si="160"/>
        <v>0</v>
      </c>
      <c r="R463" s="6">
        <f t="shared" si="161"/>
        <v>0</v>
      </c>
      <c r="S463" s="6">
        <f t="shared" si="162"/>
        <v>0</v>
      </c>
      <c r="T463" s="6">
        <f t="shared" si="163"/>
        <v>0</v>
      </c>
      <c r="U463" s="6">
        <f t="shared" si="164"/>
        <v>0</v>
      </c>
      <c r="V463" s="6">
        <f t="shared" si="165"/>
        <v>0</v>
      </c>
      <c r="W463" s="6">
        <f t="shared" si="166"/>
        <v>0</v>
      </c>
      <c r="X463" s="6">
        <f t="shared" si="167"/>
        <v>0</v>
      </c>
      <c r="Y463" s="6">
        <f t="shared" si="168"/>
        <v>0</v>
      </c>
      <c r="AA463" s="6" t="str">
        <f>IF(最佳化斷筋點!C463="","",最佳化斷筋點!C463)</f>
        <v>上層</v>
      </c>
      <c r="AB463" s="6">
        <f>IF(最佳化斷筋點!D463="","",最佳化斷筋點!D463)</f>
        <v>10</v>
      </c>
      <c r="AC463" s="6">
        <f>IF(最佳化斷筋點!E463="","",最佳化斷筋點!E463)</f>
        <v>9</v>
      </c>
      <c r="AD463" s="6">
        <f>IF(最佳化斷筋點!F463="","",最佳化斷筋點!F463)</f>
        <v>8</v>
      </c>
      <c r="AE463" s="6">
        <f>IF(最佳化斷筋點!G463="","",最佳化斷筋點!G463)</f>
        <v>8</v>
      </c>
      <c r="AF463" s="6">
        <f>IF(最佳化斷筋點!H463="","",最佳化斷筋點!H463)</f>
        <v>7</v>
      </c>
      <c r="AG463" s="6">
        <f>IF(最佳化斷筋點!I463="","",最佳化斷筋點!I463)</f>
        <v>6</v>
      </c>
      <c r="AH463" s="6">
        <f>IF(最佳化斷筋點!J463="","",最佳化斷筋點!J463)</f>
        <v>5</v>
      </c>
      <c r="AI463" s="6">
        <f>IF(最佳化斷筋點!K463="","",最佳化斷筋點!K463)</f>
        <v>4</v>
      </c>
      <c r="AJ463" s="6">
        <f>IF(最佳化斷筋點!L463="","",最佳化斷筋點!L463)</f>
        <v>3</v>
      </c>
      <c r="AK463" s="6">
        <f>IF(最佳化斷筋點!M463="","",最佳化斷筋點!M463)</f>
        <v>2</v>
      </c>
      <c r="AL463" s="6">
        <f>IF(最佳化斷筋點!N463="","",最佳化斷筋點!N463)</f>
        <v>2</v>
      </c>
      <c r="AM463" s="6">
        <f>IF(最佳化斷筋點!O463="","",最佳化斷筋點!O463)</f>
        <v>2</v>
      </c>
      <c r="AN463" s="6">
        <f>IF(最佳化斷筋點!P463="","",最佳化斷筋點!P463)</f>
        <v>2</v>
      </c>
      <c r="AO463" s="6">
        <f>IF(最佳化斷筋點!Q463="","",最佳化斷筋點!Q463)</f>
        <v>2</v>
      </c>
      <c r="AP463" s="6">
        <f>IF(最佳化斷筋點!R463="","",最佳化斷筋點!R463)</f>
        <v>3</v>
      </c>
      <c r="AQ463" s="6">
        <f>IF(最佳化斷筋點!S463="","",最佳化斷筋點!S463)</f>
        <v>3</v>
      </c>
      <c r="AR463" s="6">
        <f>IF(最佳化斷筋點!T463="","",最佳化斷筋點!T463)</f>
        <v>4</v>
      </c>
      <c r="AS463" s="6">
        <f>IF(最佳化斷筋點!U463="","",最佳化斷筋點!U463)</f>
        <v>5</v>
      </c>
      <c r="AT463" s="6">
        <f>IF(最佳化斷筋點!V463="","",最佳化斷筋點!V463)</f>
        <v>5</v>
      </c>
      <c r="AU463" s="6">
        <f>IF(最佳化斷筋點!W463="","",最佳化斷筋點!W463)</f>
        <v>6</v>
      </c>
      <c r="AV463" s="6">
        <f>IF(最佳化斷筋點!X463="","",最佳化斷筋點!X463)</f>
        <v>6</v>
      </c>
      <c r="AX463" s="6" t="s">
        <v>50</v>
      </c>
      <c r="AY463" s="6">
        <v>10</v>
      </c>
      <c r="AZ463" s="6">
        <v>9</v>
      </c>
      <c r="BA463" s="6">
        <v>8</v>
      </c>
      <c r="BB463" s="6">
        <v>8</v>
      </c>
      <c r="BC463" s="6">
        <v>7</v>
      </c>
      <c r="BD463" s="6">
        <v>6</v>
      </c>
      <c r="BE463" s="6">
        <v>5</v>
      </c>
      <c r="BF463" s="6">
        <v>4</v>
      </c>
      <c r="BG463" s="6">
        <v>3</v>
      </c>
      <c r="BH463" s="6">
        <v>2</v>
      </c>
      <c r="BI463" s="6">
        <v>2</v>
      </c>
      <c r="BJ463" s="6">
        <v>2</v>
      </c>
      <c r="BK463" s="6">
        <v>2</v>
      </c>
      <c r="BL463" s="6">
        <v>2</v>
      </c>
      <c r="BM463" s="6">
        <v>3</v>
      </c>
      <c r="BN463" s="6">
        <v>3</v>
      </c>
      <c r="BO463" s="6">
        <v>4</v>
      </c>
      <c r="BP463" s="6">
        <v>5</v>
      </c>
      <c r="BQ463" s="6">
        <v>5</v>
      </c>
      <c r="BR463" s="6">
        <v>6</v>
      </c>
      <c r="BS463" s="6">
        <v>6</v>
      </c>
    </row>
    <row r="464" spans="4:71" x14ac:dyDescent="0.25">
      <c r="E464" s="6">
        <f t="shared" si="148"/>
        <v>0</v>
      </c>
      <c r="F464" s="6">
        <f t="shared" si="149"/>
        <v>0</v>
      </c>
      <c r="G464" s="6">
        <f t="shared" si="150"/>
        <v>0</v>
      </c>
      <c r="H464" s="6">
        <f t="shared" si="151"/>
        <v>0</v>
      </c>
      <c r="I464" s="6">
        <f t="shared" si="152"/>
        <v>0</v>
      </c>
      <c r="J464" s="6">
        <f t="shared" si="153"/>
        <v>0</v>
      </c>
      <c r="K464" s="6">
        <f t="shared" si="154"/>
        <v>0</v>
      </c>
      <c r="L464" s="6">
        <f t="shared" si="155"/>
        <v>0</v>
      </c>
      <c r="M464" s="6">
        <f t="shared" si="156"/>
        <v>0</v>
      </c>
      <c r="N464" s="6">
        <f t="shared" si="157"/>
        <v>0</v>
      </c>
      <c r="O464" s="6">
        <f t="shared" si="158"/>
        <v>0</v>
      </c>
      <c r="P464" s="6">
        <f t="shared" si="159"/>
        <v>0</v>
      </c>
      <c r="Q464" s="6">
        <f t="shared" si="160"/>
        <v>0</v>
      </c>
      <c r="R464" s="6">
        <f t="shared" si="161"/>
        <v>0</v>
      </c>
      <c r="S464" s="6">
        <f t="shared" si="162"/>
        <v>0</v>
      </c>
      <c r="T464" s="6">
        <f t="shared" si="163"/>
        <v>0</v>
      </c>
      <c r="U464" s="6">
        <f t="shared" si="164"/>
        <v>0</v>
      </c>
      <c r="V464" s="6">
        <f t="shared" si="165"/>
        <v>0</v>
      </c>
      <c r="W464" s="6">
        <f t="shared" si="166"/>
        <v>0</v>
      </c>
      <c r="X464" s="6">
        <f t="shared" si="167"/>
        <v>0</v>
      </c>
      <c r="Y464" s="6">
        <f t="shared" si="168"/>
        <v>0</v>
      </c>
      <c r="AA464" s="6" t="str">
        <f>IF(最佳化斷筋點!C464="","",最佳化斷筋點!C464)</f>
        <v/>
      </c>
      <c r="AB464" s="6" t="str">
        <f>IF(最佳化斷筋點!D464="","",最佳化斷筋點!D464)</f>
        <v/>
      </c>
      <c r="AC464" s="6" t="str">
        <f>IF(最佳化斷筋點!E464="","",最佳化斷筋點!E464)</f>
        <v/>
      </c>
      <c r="AD464" s="6" t="str">
        <f>IF(最佳化斷筋點!F464="","",最佳化斷筋點!F464)</f>
        <v/>
      </c>
      <c r="AE464" s="6" t="str">
        <f>IF(最佳化斷筋點!G464="","",最佳化斷筋點!G464)</f>
        <v/>
      </c>
      <c r="AF464" s="6" t="str">
        <f>IF(最佳化斷筋點!H464="","",最佳化斷筋點!H464)</f>
        <v/>
      </c>
      <c r="AG464" s="6" t="str">
        <f>IF(最佳化斷筋點!I464="","",最佳化斷筋點!I464)</f>
        <v/>
      </c>
      <c r="AH464" s="6" t="str">
        <f>IF(最佳化斷筋點!J464="","",最佳化斷筋點!J464)</f>
        <v/>
      </c>
      <c r="AI464" s="6" t="str">
        <f>IF(最佳化斷筋點!K464="","",最佳化斷筋點!K464)</f>
        <v/>
      </c>
      <c r="AJ464" s="6" t="str">
        <f>IF(最佳化斷筋點!L464="","",最佳化斷筋點!L464)</f>
        <v/>
      </c>
      <c r="AK464" s="6" t="str">
        <f>IF(最佳化斷筋點!M464="","",最佳化斷筋點!M464)</f>
        <v/>
      </c>
      <c r="AL464" s="6" t="str">
        <f>IF(最佳化斷筋點!N464="","",最佳化斷筋點!N464)</f>
        <v/>
      </c>
      <c r="AM464" s="6" t="str">
        <f>IF(最佳化斷筋點!O464="","",最佳化斷筋點!O464)</f>
        <v/>
      </c>
      <c r="AN464" s="6" t="str">
        <f>IF(最佳化斷筋點!P464="","",最佳化斷筋點!P464)</f>
        <v/>
      </c>
      <c r="AO464" s="6" t="str">
        <f>IF(最佳化斷筋點!Q464="","",最佳化斷筋點!Q464)</f>
        <v/>
      </c>
      <c r="AP464" s="6" t="str">
        <f>IF(最佳化斷筋點!R464="","",最佳化斷筋點!R464)</f>
        <v/>
      </c>
      <c r="AQ464" s="6" t="str">
        <f>IF(最佳化斷筋點!S464="","",最佳化斷筋點!S464)</f>
        <v/>
      </c>
      <c r="AR464" s="6" t="str">
        <f>IF(最佳化斷筋點!T464="","",最佳化斷筋點!T464)</f>
        <v/>
      </c>
      <c r="AS464" s="6" t="str">
        <f>IF(最佳化斷筋點!U464="","",最佳化斷筋點!U464)</f>
        <v/>
      </c>
      <c r="AT464" s="6" t="str">
        <f>IF(最佳化斷筋點!V464="","",最佳化斷筋點!V464)</f>
        <v/>
      </c>
      <c r="AU464" s="6" t="str">
        <f>IF(最佳化斷筋點!W464="","",最佳化斷筋點!W464)</f>
        <v/>
      </c>
      <c r="AV464" s="6" t="str">
        <f>IF(最佳化斷筋點!X464="","",最佳化斷筋點!X464)</f>
        <v/>
      </c>
    </row>
    <row r="465" spans="4:71" x14ac:dyDescent="0.25">
      <c r="D465" s="6" t="s">
        <v>51</v>
      </c>
      <c r="E465" s="6">
        <f t="shared" si="148"/>
        <v>0</v>
      </c>
      <c r="F465" s="6">
        <f t="shared" si="149"/>
        <v>0</v>
      </c>
      <c r="G465" s="6">
        <f t="shared" si="150"/>
        <v>0</v>
      </c>
      <c r="H465" s="6">
        <f t="shared" si="151"/>
        <v>0</v>
      </c>
      <c r="I465" s="6">
        <f t="shared" si="152"/>
        <v>0</v>
      </c>
      <c r="J465" s="6">
        <f t="shared" si="153"/>
        <v>0</v>
      </c>
      <c r="K465" s="6">
        <f t="shared" si="154"/>
        <v>0</v>
      </c>
      <c r="L465" s="6">
        <f t="shared" si="155"/>
        <v>0</v>
      </c>
      <c r="M465" s="6">
        <f t="shared" si="156"/>
        <v>0</v>
      </c>
      <c r="N465" s="6">
        <f t="shared" si="157"/>
        <v>0</v>
      </c>
      <c r="O465" s="6">
        <f t="shared" si="158"/>
        <v>0</v>
      </c>
      <c r="P465" s="6">
        <f t="shared" si="159"/>
        <v>0</v>
      </c>
      <c r="Q465" s="6">
        <f t="shared" si="160"/>
        <v>0</v>
      </c>
      <c r="R465" s="6">
        <f t="shared" si="161"/>
        <v>0</v>
      </c>
      <c r="S465" s="6">
        <f t="shared" si="162"/>
        <v>0</v>
      </c>
      <c r="T465" s="6">
        <f t="shared" si="163"/>
        <v>0</v>
      </c>
      <c r="U465" s="6">
        <f t="shared" si="164"/>
        <v>0</v>
      </c>
      <c r="V465" s="6">
        <f t="shared" si="165"/>
        <v>0</v>
      </c>
      <c r="W465" s="6">
        <f t="shared" si="166"/>
        <v>0</v>
      </c>
      <c r="X465" s="6">
        <f t="shared" si="167"/>
        <v>0</v>
      </c>
      <c r="Y465" s="6">
        <f t="shared" si="168"/>
        <v>0</v>
      </c>
      <c r="AA465" s="6" t="str">
        <f>IF(最佳化斷筋點!C465="","",最佳化斷筋點!C465)</f>
        <v>下層</v>
      </c>
      <c r="AB465" s="6">
        <f>IF(最佳化斷筋點!D465="","",最佳化斷筋點!D465)</f>
        <v>3</v>
      </c>
      <c r="AC465" s="6">
        <f>IF(最佳化斷筋點!E465="","",最佳化斷筋點!E465)</f>
        <v>3</v>
      </c>
      <c r="AD465" s="6">
        <f>IF(最佳化斷筋點!F465="","",最佳化斷筋點!F465)</f>
        <v>3</v>
      </c>
      <c r="AE465" s="6">
        <f>IF(最佳化斷筋點!G465="","",最佳化斷筋點!G465)</f>
        <v>3</v>
      </c>
      <c r="AF465" s="6">
        <f>IF(最佳化斷筋點!H465="","",最佳化斷筋點!H465)</f>
        <v>3</v>
      </c>
      <c r="AG465" s="6">
        <f>IF(最佳化斷筋點!I465="","",最佳化斷筋點!I465)</f>
        <v>3</v>
      </c>
      <c r="AH465" s="6">
        <f>IF(最佳化斷筋點!J465="","",最佳化斷筋點!J465)</f>
        <v>4</v>
      </c>
      <c r="AI465" s="6">
        <f>IF(最佳化斷筋點!K465="","",最佳化斷筋點!K465)</f>
        <v>4</v>
      </c>
      <c r="AJ465" s="6">
        <f>IF(最佳化斷筋點!L465="","",最佳化斷筋點!L465)</f>
        <v>4</v>
      </c>
      <c r="AK465" s="6">
        <f>IF(最佳化斷筋點!M465="","",最佳化斷筋點!M465)</f>
        <v>4</v>
      </c>
      <c r="AL465" s="6">
        <f>IF(最佳化斷筋點!N465="","",最佳化斷筋點!N465)</f>
        <v>4</v>
      </c>
      <c r="AM465" s="6">
        <f>IF(最佳化斷筋點!O465="","",最佳化斷筋點!O465)</f>
        <v>4</v>
      </c>
      <c r="AN465" s="6">
        <f>IF(最佳化斷筋點!P465="","",最佳化斷筋點!P465)</f>
        <v>4</v>
      </c>
      <c r="AO465" s="6">
        <f>IF(最佳化斷筋點!Q465="","",最佳化斷筋點!Q465)</f>
        <v>4</v>
      </c>
      <c r="AP465" s="6">
        <f>IF(最佳化斷筋點!R465="","",最佳化斷筋點!R465)</f>
        <v>4</v>
      </c>
      <c r="AQ465" s="6">
        <f>IF(最佳化斷筋點!S465="","",最佳化斷筋點!S465)</f>
        <v>3</v>
      </c>
      <c r="AR465" s="6">
        <f>IF(最佳化斷筋點!T465="","",最佳化斷筋點!T465)</f>
        <v>3</v>
      </c>
      <c r="AS465" s="6">
        <f>IF(最佳化斷筋點!U465="","",最佳化斷筋點!U465)</f>
        <v>3</v>
      </c>
      <c r="AT465" s="6">
        <f>IF(最佳化斷筋點!V465="","",最佳化斷筋點!V465)</f>
        <v>3</v>
      </c>
      <c r="AU465" s="6">
        <f>IF(最佳化斷筋點!W465="","",最佳化斷筋點!W465)</f>
        <v>3</v>
      </c>
      <c r="AV465" s="6">
        <f>IF(最佳化斷筋點!X465="","",最佳化斷筋點!X465)</f>
        <v>3</v>
      </c>
      <c r="AX465" s="6" t="s">
        <v>51</v>
      </c>
      <c r="AY465" s="6">
        <v>3</v>
      </c>
      <c r="AZ465" s="6">
        <v>3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3</v>
      </c>
      <c r="BO465" s="6">
        <v>3</v>
      </c>
      <c r="BP465" s="6">
        <v>3</v>
      </c>
      <c r="BQ465" s="6">
        <v>3</v>
      </c>
      <c r="BR465" s="6">
        <v>3</v>
      </c>
      <c r="BS465" s="6">
        <v>3</v>
      </c>
    </row>
    <row r="466" spans="4:71" x14ac:dyDescent="0.25">
      <c r="E466" s="6">
        <f t="shared" si="148"/>
        <v>0</v>
      </c>
      <c r="F466" s="6">
        <f t="shared" si="149"/>
        <v>0</v>
      </c>
      <c r="G466" s="6">
        <f t="shared" si="150"/>
        <v>0</v>
      </c>
      <c r="H466" s="6">
        <f t="shared" si="151"/>
        <v>0</v>
      </c>
      <c r="I466" s="6">
        <f t="shared" si="152"/>
        <v>0</v>
      </c>
      <c r="J466" s="6">
        <f t="shared" si="153"/>
        <v>0</v>
      </c>
      <c r="K466" s="6">
        <f t="shared" si="154"/>
        <v>0</v>
      </c>
      <c r="L466" s="6">
        <f t="shared" si="155"/>
        <v>0</v>
      </c>
      <c r="M466" s="6">
        <f t="shared" si="156"/>
        <v>0</v>
      </c>
      <c r="N466" s="6">
        <f t="shared" si="157"/>
        <v>0</v>
      </c>
      <c r="O466" s="6">
        <f t="shared" si="158"/>
        <v>0</v>
      </c>
      <c r="P466" s="6">
        <f t="shared" si="159"/>
        <v>0</v>
      </c>
      <c r="Q466" s="6">
        <f t="shared" si="160"/>
        <v>0</v>
      </c>
      <c r="R466" s="6">
        <f t="shared" si="161"/>
        <v>0</v>
      </c>
      <c r="S466" s="6">
        <f t="shared" si="162"/>
        <v>0</v>
      </c>
      <c r="T466" s="6">
        <f t="shared" si="163"/>
        <v>0</v>
      </c>
      <c r="U466" s="6">
        <f t="shared" si="164"/>
        <v>0</v>
      </c>
      <c r="V466" s="6">
        <f t="shared" si="165"/>
        <v>0</v>
      </c>
      <c r="W466" s="6">
        <f t="shared" si="166"/>
        <v>0</v>
      </c>
      <c r="X466" s="6">
        <f t="shared" si="167"/>
        <v>0</v>
      </c>
      <c r="Y466" s="6">
        <f t="shared" si="168"/>
        <v>0</v>
      </c>
      <c r="AA466" s="6" t="str">
        <f>IF(最佳化斷筋點!C466="","",最佳化斷筋點!C466)</f>
        <v/>
      </c>
      <c r="AB466" s="6" t="str">
        <f>IF(最佳化斷筋點!D466="","",最佳化斷筋點!D466)</f>
        <v/>
      </c>
      <c r="AC466" s="6" t="str">
        <f>IF(最佳化斷筋點!E466="","",最佳化斷筋點!E466)</f>
        <v/>
      </c>
      <c r="AD466" s="6" t="str">
        <f>IF(最佳化斷筋點!F466="","",最佳化斷筋點!F466)</f>
        <v/>
      </c>
      <c r="AE466" s="6" t="str">
        <f>IF(最佳化斷筋點!G466="","",最佳化斷筋點!G466)</f>
        <v/>
      </c>
      <c r="AF466" s="6" t="str">
        <f>IF(最佳化斷筋點!H466="","",最佳化斷筋點!H466)</f>
        <v/>
      </c>
      <c r="AG466" s="6" t="str">
        <f>IF(最佳化斷筋點!I466="","",最佳化斷筋點!I466)</f>
        <v/>
      </c>
      <c r="AH466" s="6" t="str">
        <f>IF(最佳化斷筋點!J466="","",最佳化斷筋點!J466)</f>
        <v/>
      </c>
      <c r="AI466" s="6" t="str">
        <f>IF(最佳化斷筋點!K466="","",最佳化斷筋點!K466)</f>
        <v/>
      </c>
      <c r="AJ466" s="6" t="str">
        <f>IF(最佳化斷筋點!L466="","",最佳化斷筋點!L466)</f>
        <v/>
      </c>
      <c r="AK466" s="6" t="str">
        <f>IF(最佳化斷筋點!M466="","",最佳化斷筋點!M466)</f>
        <v/>
      </c>
      <c r="AL466" s="6" t="str">
        <f>IF(最佳化斷筋點!N466="","",最佳化斷筋點!N466)</f>
        <v/>
      </c>
      <c r="AM466" s="6" t="str">
        <f>IF(最佳化斷筋點!O466="","",最佳化斷筋點!O466)</f>
        <v/>
      </c>
      <c r="AN466" s="6" t="str">
        <f>IF(最佳化斷筋點!P466="","",最佳化斷筋點!P466)</f>
        <v/>
      </c>
      <c r="AO466" s="6" t="str">
        <f>IF(最佳化斷筋點!Q466="","",最佳化斷筋點!Q466)</f>
        <v/>
      </c>
      <c r="AP466" s="6" t="str">
        <f>IF(最佳化斷筋點!R466="","",最佳化斷筋點!R466)</f>
        <v/>
      </c>
      <c r="AQ466" s="6" t="str">
        <f>IF(最佳化斷筋點!S466="","",最佳化斷筋點!S466)</f>
        <v/>
      </c>
      <c r="AR466" s="6" t="str">
        <f>IF(最佳化斷筋點!T466="","",最佳化斷筋點!T466)</f>
        <v/>
      </c>
      <c r="AS466" s="6" t="str">
        <f>IF(最佳化斷筋點!U466="","",最佳化斷筋點!U466)</f>
        <v/>
      </c>
      <c r="AT466" s="6" t="str">
        <f>IF(最佳化斷筋點!V466="","",最佳化斷筋點!V466)</f>
        <v/>
      </c>
      <c r="AU466" s="6" t="str">
        <f>IF(最佳化斷筋點!W466="","",最佳化斷筋點!W466)</f>
        <v/>
      </c>
      <c r="AV466" s="6" t="str">
        <f>IF(最佳化斷筋點!X466="","",最佳化斷筋點!X466)</f>
        <v/>
      </c>
    </row>
    <row r="467" spans="4:71" x14ac:dyDescent="0.25">
      <c r="D467" s="6" t="s">
        <v>50</v>
      </c>
      <c r="E467" s="6">
        <f t="shared" si="148"/>
        <v>0</v>
      </c>
      <c r="F467" s="6">
        <f t="shared" si="149"/>
        <v>0</v>
      </c>
      <c r="G467" s="6">
        <f t="shared" si="150"/>
        <v>0</v>
      </c>
      <c r="H467" s="6">
        <f t="shared" si="151"/>
        <v>0</v>
      </c>
      <c r="I467" s="6">
        <f t="shared" si="152"/>
        <v>0</v>
      </c>
      <c r="J467" s="6">
        <f t="shared" si="153"/>
        <v>0</v>
      </c>
      <c r="K467" s="6">
        <f t="shared" si="154"/>
        <v>0</v>
      </c>
      <c r="L467" s="6">
        <f t="shared" si="155"/>
        <v>0</v>
      </c>
      <c r="M467" s="6">
        <f t="shared" si="156"/>
        <v>0</v>
      </c>
      <c r="N467" s="6">
        <f t="shared" si="157"/>
        <v>0</v>
      </c>
      <c r="O467" s="6">
        <f t="shared" si="158"/>
        <v>0</v>
      </c>
      <c r="P467" s="6">
        <f t="shared" si="159"/>
        <v>0</v>
      </c>
      <c r="Q467" s="6">
        <f t="shared" si="160"/>
        <v>0</v>
      </c>
      <c r="R467" s="6">
        <f t="shared" si="161"/>
        <v>0</v>
      </c>
      <c r="S467" s="6">
        <f t="shared" si="162"/>
        <v>0</v>
      </c>
      <c r="T467" s="6">
        <f t="shared" si="163"/>
        <v>0</v>
      </c>
      <c r="U467" s="6">
        <f t="shared" si="164"/>
        <v>0</v>
      </c>
      <c r="V467" s="6">
        <f t="shared" si="165"/>
        <v>0</v>
      </c>
      <c r="W467" s="6">
        <f t="shared" si="166"/>
        <v>0</v>
      </c>
      <c r="X467" s="6">
        <f t="shared" si="167"/>
        <v>0</v>
      </c>
      <c r="Y467" s="6">
        <f t="shared" si="168"/>
        <v>0</v>
      </c>
      <c r="AA467" s="6" t="str">
        <f>IF(最佳化斷筋點!C467="","",最佳化斷筋點!C467)</f>
        <v>上層</v>
      </c>
      <c r="AB467" s="6">
        <f>IF(最佳化斷筋點!D467="","",最佳化斷筋點!D467)</f>
        <v>2</v>
      </c>
      <c r="AC467" s="6">
        <f>IF(最佳化斷筋點!E467="","",最佳化斷筋點!E467)</f>
        <v>2</v>
      </c>
      <c r="AD467" s="6">
        <f>IF(最佳化斷筋點!F467="","",最佳化斷筋點!F467)</f>
        <v>2</v>
      </c>
      <c r="AE467" s="6">
        <f>IF(最佳化斷筋點!G467="","",最佳化斷筋點!G467)</f>
        <v>2</v>
      </c>
      <c r="AF467" s="6">
        <f>IF(最佳化斷筋點!H467="","",最佳化斷筋點!H467)</f>
        <v>2</v>
      </c>
      <c r="AG467" s="6">
        <f>IF(最佳化斷筋點!I467="","",最佳化斷筋點!I467)</f>
        <v>2</v>
      </c>
      <c r="AH467" s="6">
        <f>IF(最佳化斷筋點!J467="","",最佳化斷筋點!J467)</f>
        <v>2</v>
      </c>
      <c r="AI467" s="6">
        <f>IF(最佳化斷筋點!K467="","",最佳化斷筋點!K467)</f>
        <v>2</v>
      </c>
      <c r="AJ467" s="6">
        <f>IF(最佳化斷筋點!L467="","",最佳化斷筋點!L467)</f>
        <v>2</v>
      </c>
      <c r="AK467" s="6">
        <f>IF(最佳化斷筋點!M467="","",最佳化斷筋點!M467)</f>
        <v>2</v>
      </c>
      <c r="AL467" s="6">
        <f>IF(最佳化斷筋點!N467="","",最佳化斷筋點!N467)</f>
        <v>2</v>
      </c>
      <c r="AM467" s="6">
        <f>IF(最佳化斷筋點!O467="","",最佳化斷筋點!O467)</f>
        <v>2</v>
      </c>
      <c r="AN467" s="6">
        <f>IF(最佳化斷筋點!P467="","",最佳化斷筋點!P467)</f>
        <v>2</v>
      </c>
      <c r="AO467" s="6">
        <f>IF(最佳化斷筋點!Q467="","",最佳化斷筋點!Q467)</f>
        <v>2</v>
      </c>
      <c r="AP467" s="6">
        <f>IF(最佳化斷筋點!R467="","",最佳化斷筋點!R467)</f>
        <v>2</v>
      </c>
      <c r="AQ467" s="6">
        <f>IF(最佳化斷筋點!S467="","",最佳化斷筋點!S467)</f>
        <v>3</v>
      </c>
      <c r="AR467" s="6">
        <f>IF(最佳化斷筋點!T467="","",最佳化斷筋點!T467)</f>
        <v>3</v>
      </c>
      <c r="AS467" s="6">
        <f>IF(最佳化斷筋點!U467="","",最佳化斷筋點!U467)</f>
        <v>4</v>
      </c>
      <c r="AT467" s="6">
        <f>IF(最佳化斷筋點!V467="","",最佳化斷筋點!V467)</f>
        <v>4</v>
      </c>
      <c r="AU467" s="6">
        <f>IF(最佳化斷筋點!W467="","",最佳化斷筋點!W467)</f>
        <v>5</v>
      </c>
      <c r="AV467" s="6">
        <f>IF(最佳化斷筋點!X467="","",最佳化斷筋點!X467)</f>
        <v>5</v>
      </c>
      <c r="AX467" s="6" t="s">
        <v>50</v>
      </c>
      <c r="AY467" s="6">
        <v>2</v>
      </c>
      <c r="AZ467" s="6">
        <v>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</row>
    <row r="468" spans="4:71" x14ac:dyDescent="0.25">
      <c r="E468" s="6">
        <f t="shared" si="148"/>
        <v>0</v>
      </c>
      <c r="F468" s="6">
        <f t="shared" si="149"/>
        <v>0</v>
      </c>
      <c r="G468" s="6">
        <f t="shared" si="150"/>
        <v>0</v>
      </c>
      <c r="H468" s="6">
        <f t="shared" si="151"/>
        <v>0</v>
      </c>
      <c r="I468" s="6">
        <f t="shared" si="152"/>
        <v>0</v>
      </c>
      <c r="J468" s="6">
        <f t="shared" si="153"/>
        <v>0</v>
      </c>
      <c r="K468" s="6">
        <f t="shared" si="154"/>
        <v>0</v>
      </c>
      <c r="L468" s="6">
        <f t="shared" si="155"/>
        <v>0</v>
      </c>
      <c r="M468" s="6">
        <f t="shared" si="156"/>
        <v>0</v>
      </c>
      <c r="N468" s="6">
        <f t="shared" si="157"/>
        <v>0</v>
      </c>
      <c r="O468" s="6">
        <f t="shared" si="158"/>
        <v>0</v>
      </c>
      <c r="P468" s="6">
        <f t="shared" si="159"/>
        <v>0</v>
      </c>
      <c r="Q468" s="6">
        <f t="shared" si="160"/>
        <v>0</v>
      </c>
      <c r="R468" s="6">
        <f t="shared" si="161"/>
        <v>0</v>
      </c>
      <c r="S468" s="6">
        <f t="shared" si="162"/>
        <v>0</v>
      </c>
      <c r="T468" s="6">
        <f t="shared" si="163"/>
        <v>0</v>
      </c>
      <c r="U468" s="6">
        <f t="shared" si="164"/>
        <v>0</v>
      </c>
      <c r="V468" s="6">
        <f t="shared" si="165"/>
        <v>0</v>
      </c>
      <c r="W468" s="6">
        <f t="shared" si="166"/>
        <v>0</v>
      </c>
      <c r="X468" s="6">
        <f t="shared" si="167"/>
        <v>0</v>
      </c>
      <c r="Y468" s="6">
        <f t="shared" si="168"/>
        <v>0</v>
      </c>
      <c r="AA468" s="6" t="str">
        <f>IF(最佳化斷筋點!C468="","",最佳化斷筋點!C468)</f>
        <v/>
      </c>
      <c r="AB468" s="6" t="str">
        <f>IF(最佳化斷筋點!D468="","",最佳化斷筋點!D468)</f>
        <v/>
      </c>
      <c r="AC468" s="6" t="str">
        <f>IF(最佳化斷筋點!E468="","",最佳化斷筋點!E468)</f>
        <v/>
      </c>
      <c r="AD468" s="6" t="str">
        <f>IF(最佳化斷筋點!F468="","",最佳化斷筋點!F468)</f>
        <v/>
      </c>
      <c r="AE468" s="6" t="str">
        <f>IF(最佳化斷筋點!G468="","",最佳化斷筋點!G468)</f>
        <v/>
      </c>
      <c r="AF468" s="6" t="str">
        <f>IF(最佳化斷筋點!H468="","",最佳化斷筋點!H468)</f>
        <v/>
      </c>
      <c r="AG468" s="6" t="str">
        <f>IF(最佳化斷筋點!I468="","",最佳化斷筋點!I468)</f>
        <v/>
      </c>
      <c r="AH468" s="6" t="str">
        <f>IF(最佳化斷筋點!J468="","",最佳化斷筋點!J468)</f>
        <v/>
      </c>
      <c r="AI468" s="6" t="str">
        <f>IF(最佳化斷筋點!K468="","",最佳化斷筋點!K468)</f>
        <v/>
      </c>
      <c r="AJ468" s="6" t="str">
        <f>IF(最佳化斷筋點!L468="","",最佳化斷筋點!L468)</f>
        <v/>
      </c>
      <c r="AK468" s="6" t="str">
        <f>IF(最佳化斷筋點!M468="","",最佳化斷筋點!M468)</f>
        <v/>
      </c>
      <c r="AL468" s="6" t="str">
        <f>IF(最佳化斷筋點!N468="","",最佳化斷筋點!N468)</f>
        <v/>
      </c>
      <c r="AM468" s="6" t="str">
        <f>IF(最佳化斷筋點!O468="","",最佳化斷筋點!O468)</f>
        <v/>
      </c>
      <c r="AN468" s="6" t="str">
        <f>IF(最佳化斷筋點!P468="","",最佳化斷筋點!P468)</f>
        <v/>
      </c>
      <c r="AO468" s="6" t="str">
        <f>IF(最佳化斷筋點!Q468="","",最佳化斷筋點!Q468)</f>
        <v/>
      </c>
      <c r="AP468" s="6" t="str">
        <f>IF(最佳化斷筋點!R468="","",最佳化斷筋點!R468)</f>
        <v/>
      </c>
      <c r="AQ468" s="6" t="str">
        <f>IF(最佳化斷筋點!S468="","",最佳化斷筋點!S468)</f>
        <v/>
      </c>
      <c r="AR468" s="6" t="str">
        <f>IF(最佳化斷筋點!T468="","",最佳化斷筋點!T468)</f>
        <v/>
      </c>
      <c r="AS468" s="6" t="str">
        <f>IF(最佳化斷筋點!U468="","",最佳化斷筋點!U468)</f>
        <v/>
      </c>
      <c r="AT468" s="6" t="str">
        <f>IF(最佳化斷筋點!V468="","",最佳化斷筋點!V468)</f>
        <v/>
      </c>
      <c r="AU468" s="6" t="str">
        <f>IF(最佳化斷筋點!W468="","",最佳化斷筋點!W468)</f>
        <v/>
      </c>
      <c r="AV468" s="6" t="str">
        <f>IF(最佳化斷筋點!X468="","",最佳化斷筋點!X468)</f>
        <v/>
      </c>
    </row>
    <row r="469" spans="4:71" x14ac:dyDescent="0.25">
      <c r="D469" s="6" t="s">
        <v>51</v>
      </c>
      <c r="E469" s="6">
        <f t="shared" si="148"/>
        <v>0</v>
      </c>
      <c r="F469" s="6">
        <f t="shared" si="149"/>
        <v>0</v>
      </c>
      <c r="G469" s="6">
        <f t="shared" si="150"/>
        <v>0</v>
      </c>
      <c r="H469" s="6">
        <f t="shared" si="151"/>
        <v>0</v>
      </c>
      <c r="I469" s="6">
        <f t="shared" si="152"/>
        <v>0</v>
      </c>
      <c r="J469" s="6">
        <f t="shared" si="153"/>
        <v>0</v>
      </c>
      <c r="K469" s="6">
        <f t="shared" si="154"/>
        <v>0</v>
      </c>
      <c r="L469" s="6">
        <f t="shared" si="155"/>
        <v>0</v>
      </c>
      <c r="M469" s="6">
        <f t="shared" si="156"/>
        <v>0</v>
      </c>
      <c r="N469" s="6">
        <f t="shared" si="157"/>
        <v>0</v>
      </c>
      <c r="O469" s="6">
        <f t="shared" si="158"/>
        <v>0</v>
      </c>
      <c r="P469" s="6">
        <f t="shared" si="159"/>
        <v>0</v>
      </c>
      <c r="Q469" s="6">
        <f t="shared" si="160"/>
        <v>0</v>
      </c>
      <c r="R469" s="6">
        <f t="shared" si="161"/>
        <v>0</v>
      </c>
      <c r="S469" s="6">
        <f t="shared" si="162"/>
        <v>0</v>
      </c>
      <c r="T469" s="6">
        <f t="shared" si="163"/>
        <v>0</v>
      </c>
      <c r="U469" s="6">
        <f t="shared" si="164"/>
        <v>0</v>
      </c>
      <c r="V469" s="6">
        <f t="shared" si="165"/>
        <v>0</v>
      </c>
      <c r="W469" s="6">
        <f t="shared" si="166"/>
        <v>0</v>
      </c>
      <c r="X469" s="6">
        <f t="shared" si="167"/>
        <v>0</v>
      </c>
      <c r="Y469" s="6">
        <f t="shared" si="168"/>
        <v>0</v>
      </c>
      <c r="AA469" s="6" t="str">
        <f>IF(最佳化斷筋點!C469="","",最佳化斷筋點!C469)</f>
        <v>下層</v>
      </c>
      <c r="AB469" s="6">
        <f>IF(最佳化斷筋點!D469="","",最佳化斷筋點!D469)</f>
        <v>4</v>
      </c>
      <c r="AC469" s="6">
        <f>IF(最佳化斷筋點!E469="","",最佳化斷筋點!E469)</f>
        <v>4</v>
      </c>
      <c r="AD469" s="6">
        <f>IF(最佳化斷筋點!F469="","",最佳化斷筋點!F469)</f>
        <v>4</v>
      </c>
      <c r="AE469" s="6">
        <f>IF(最佳化斷筋點!G469="","",最佳化斷筋點!G469)</f>
        <v>3</v>
      </c>
      <c r="AF469" s="6">
        <f>IF(最佳化斷筋點!H469="","",最佳化斷筋點!H469)</f>
        <v>4</v>
      </c>
      <c r="AG469" s="6">
        <f>IF(最佳化斷筋點!I469="","",最佳化斷筋點!I469)</f>
        <v>4</v>
      </c>
      <c r="AH469" s="6">
        <f>IF(最佳化斷筋點!J469="","",最佳化斷筋點!J469)</f>
        <v>5</v>
      </c>
      <c r="AI469" s="6">
        <f>IF(最佳化斷筋點!K469="","",最佳化斷筋點!K469)</f>
        <v>5</v>
      </c>
      <c r="AJ469" s="6">
        <f>IF(最佳化斷筋點!L469="","",最佳化斷筋點!L469)</f>
        <v>5</v>
      </c>
      <c r="AK469" s="6">
        <f>IF(最佳化斷筋點!M469="","",最佳化斷筋點!M469)</f>
        <v>5</v>
      </c>
      <c r="AL469" s="6">
        <f>IF(最佳化斷筋點!N469="","",最佳化斷筋點!N469)</f>
        <v>5</v>
      </c>
      <c r="AM469" s="6">
        <f>IF(最佳化斷筋點!O469="","",最佳化斷筋點!O469)</f>
        <v>5</v>
      </c>
      <c r="AN469" s="6">
        <f>IF(最佳化斷筋點!P469="","",最佳化斷筋點!P469)</f>
        <v>5</v>
      </c>
      <c r="AO469" s="6">
        <f>IF(最佳化斷筋點!Q469="","",最佳化斷筋點!Q469)</f>
        <v>5</v>
      </c>
      <c r="AP469" s="6">
        <f>IF(最佳化斷筋點!R469="","",最佳化斷筋點!R469)</f>
        <v>5</v>
      </c>
      <c r="AQ469" s="6">
        <f>IF(最佳化斷筋點!S469="","",最佳化斷筋點!S469)</f>
        <v>4</v>
      </c>
      <c r="AR469" s="6">
        <f>IF(最佳化斷筋點!T469="","",最佳化斷筋點!T469)</f>
        <v>4</v>
      </c>
      <c r="AS469" s="6">
        <f>IF(最佳化斷筋點!U469="","",最佳化斷筋點!U469)</f>
        <v>3</v>
      </c>
      <c r="AT469" s="6">
        <f>IF(最佳化斷筋點!V469="","",最佳化斷筋點!V469)</f>
        <v>3</v>
      </c>
      <c r="AU469" s="6">
        <f>IF(最佳化斷筋點!W469="","",最佳化斷筋點!W469)</f>
        <v>3</v>
      </c>
      <c r="AV469" s="6">
        <f>IF(最佳化斷筋點!X469="","",最佳化斷筋點!X469)</f>
        <v>3</v>
      </c>
      <c r="AX469" s="6" t="s">
        <v>51</v>
      </c>
      <c r="AY469" s="6">
        <v>4</v>
      </c>
      <c r="AZ469" s="6">
        <v>4</v>
      </c>
      <c r="BA469" s="6">
        <v>4</v>
      </c>
      <c r="BB469" s="6">
        <v>3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4</v>
      </c>
      <c r="BO469" s="6">
        <v>4</v>
      </c>
      <c r="BP469" s="6">
        <v>3</v>
      </c>
      <c r="BQ469" s="6">
        <v>3</v>
      </c>
      <c r="BR469" s="6">
        <v>3</v>
      </c>
      <c r="BS469" s="6">
        <v>3</v>
      </c>
    </row>
    <row r="470" spans="4:71" x14ac:dyDescent="0.25">
      <c r="E470" s="6">
        <f t="shared" si="148"/>
        <v>0</v>
      </c>
      <c r="F470" s="6">
        <f t="shared" si="149"/>
        <v>0</v>
      </c>
      <c r="G470" s="6">
        <f t="shared" si="150"/>
        <v>0</v>
      </c>
      <c r="H470" s="6">
        <f t="shared" si="151"/>
        <v>0</v>
      </c>
      <c r="I470" s="6">
        <f t="shared" si="152"/>
        <v>0</v>
      </c>
      <c r="J470" s="6">
        <f t="shared" si="153"/>
        <v>0</v>
      </c>
      <c r="K470" s="6">
        <f t="shared" si="154"/>
        <v>0</v>
      </c>
      <c r="L470" s="6">
        <f t="shared" si="155"/>
        <v>0</v>
      </c>
      <c r="M470" s="6">
        <f t="shared" si="156"/>
        <v>0</v>
      </c>
      <c r="N470" s="6">
        <f t="shared" si="157"/>
        <v>0</v>
      </c>
      <c r="O470" s="6">
        <f t="shared" si="158"/>
        <v>0</v>
      </c>
      <c r="P470" s="6">
        <f t="shared" si="159"/>
        <v>0</v>
      </c>
      <c r="Q470" s="6">
        <f t="shared" si="160"/>
        <v>0</v>
      </c>
      <c r="R470" s="6">
        <f t="shared" si="161"/>
        <v>0</v>
      </c>
      <c r="S470" s="6">
        <f t="shared" si="162"/>
        <v>0</v>
      </c>
      <c r="T470" s="6">
        <f t="shared" si="163"/>
        <v>0</v>
      </c>
      <c r="U470" s="6">
        <f t="shared" si="164"/>
        <v>0</v>
      </c>
      <c r="V470" s="6">
        <f t="shared" si="165"/>
        <v>0</v>
      </c>
      <c r="W470" s="6">
        <f t="shared" si="166"/>
        <v>0</v>
      </c>
      <c r="X470" s="6">
        <f t="shared" si="167"/>
        <v>0</v>
      </c>
      <c r="Y470" s="6">
        <f t="shared" si="168"/>
        <v>0</v>
      </c>
      <c r="AA470" s="6" t="str">
        <f>IF(最佳化斷筋點!C470="","",最佳化斷筋點!C470)</f>
        <v/>
      </c>
      <c r="AB470" s="6" t="str">
        <f>IF(最佳化斷筋點!D470="","",最佳化斷筋點!D470)</f>
        <v/>
      </c>
      <c r="AC470" s="6" t="str">
        <f>IF(最佳化斷筋點!E470="","",最佳化斷筋點!E470)</f>
        <v/>
      </c>
      <c r="AD470" s="6" t="str">
        <f>IF(最佳化斷筋點!F470="","",最佳化斷筋點!F470)</f>
        <v/>
      </c>
      <c r="AE470" s="6" t="str">
        <f>IF(最佳化斷筋點!G470="","",最佳化斷筋點!G470)</f>
        <v/>
      </c>
      <c r="AF470" s="6" t="str">
        <f>IF(最佳化斷筋點!H470="","",最佳化斷筋點!H470)</f>
        <v/>
      </c>
      <c r="AG470" s="6" t="str">
        <f>IF(最佳化斷筋點!I470="","",最佳化斷筋點!I470)</f>
        <v/>
      </c>
      <c r="AH470" s="6" t="str">
        <f>IF(最佳化斷筋點!J470="","",最佳化斷筋點!J470)</f>
        <v/>
      </c>
      <c r="AI470" s="6" t="str">
        <f>IF(最佳化斷筋點!K470="","",最佳化斷筋點!K470)</f>
        <v/>
      </c>
      <c r="AJ470" s="6" t="str">
        <f>IF(最佳化斷筋點!L470="","",最佳化斷筋點!L470)</f>
        <v/>
      </c>
      <c r="AK470" s="6" t="str">
        <f>IF(最佳化斷筋點!M470="","",最佳化斷筋點!M470)</f>
        <v/>
      </c>
      <c r="AL470" s="6" t="str">
        <f>IF(最佳化斷筋點!N470="","",最佳化斷筋點!N470)</f>
        <v/>
      </c>
      <c r="AM470" s="6" t="str">
        <f>IF(最佳化斷筋點!O470="","",最佳化斷筋點!O470)</f>
        <v/>
      </c>
      <c r="AN470" s="6" t="str">
        <f>IF(最佳化斷筋點!P470="","",最佳化斷筋點!P470)</f>
        <v/>
      </c>
      <c r="AO470" s="6" t="str">
        <f>IF(最佳化斷筋點!Q470="","",最佳化斷筋點!Q470)</f>
        <v/>
      </c>
      <c r="AP470" s="6" t="str">
        <f>IF(最佳化斷筋點!R470="","",最佳化斷筋點!R470)</f>
        <v/>
      </c>
      <c r="AQ470" s="6" t="str">
        <f>IF(最佳化斷筋點!S470="","",最佳化斷筋點!S470)</f>
        <v/>
      </c>
      <c r="AR470" s="6" t="str">
        <f>IF(最佳化斷筋點!T470="","",最佳化斷筋點!T470)</f>
        <v/>
      </c>
      <c r="AS470" s="6" t="str">
        <f>IF(最佳化斷筋點!U470="","",最佳化斷筋點!U470)</f>
        <v/>
      </c>
      <c r="AT470" s="6" t="str">
        <f>IF(最佳化斷筋點!V470="","",最佳化斷筋點!V470)</f>
        <v/>
      </c>
      <c r="AU470" s="6" t="str">
        <f>IF(最佳化斷筋點!W470="","",最佳化斷筋點!W470)</f>
        <v/>
      </c>
      <c r="AV470" s="6" t="str">
        <f>IF(最佳化斷筋點!X470="","",最佳化斷筋點!X470)</f>
        <v/>
      </c>
    </row>
    <row r="471" spans="4:71" x14ac:dyDescent="0.25">
      <c r="D471" s="6" t="s">
        <v>50</v>
      </c>
      <c r="E471" s="6">
        <f t="shared" si="148"/>
        <v>0</v>
      </c>
      <c r="F471" s="6">
        <f t="shared" si="149"/>
        <v>0</v>
      </c>
      <c r="G471" s="6">
        <f t="shared" si="150"/>
        <v>0</v>
      </c>
      <c r="H471" s="6">
        <f t="shared" si="151"/>
        <v>0</v>
      </c>
      <c r="I471" s="6">
        <f t="shared" si="152"/>
        <v>0</v>
      </c>
      <c r="J471" s="6">
        <f t="shared" si="153"/>
        <v>0</v>
      </c>
      <c r="K471" s="6">
        <f t="shared" si="154"/>
        <v>0</v>
      </c>
      <c r="L471" s="6">
        <f t="shared" si="155"/>
        <v>0</v>
      </c>
      <c r="M471" s="6">
        <f t="shared" si="156"/>
        <v>0</v>
      </c>
      <c r="N471" s="6">
        <f t="shared" si="157"/>
        <v>0</v>
      </c>
      <c r="O471" s="6">
        <f t="shared" si="158"/>
        <v>0</v>
      </c>
      <c r="P471" s="6">
        <f t="shared" si="159"/>
        <v>0</v>
      </c>
      <c r="Q471" s="6">
        <f t="shared" si="160"/>
        <v>0</v>
      </c>
      <c r="R471" s="6">
        <f t="shared" si="161"/>
        <v>0</v>
      </c>
      <c r="S471" s="6">
        <f t="shared" si="162"/>
        <v>0</v>
      </c>
      <c r="T471" s="6">
        <f t="shared" si="163"/>
        <v>0</v>
      </c>
      <c r="U471" s="6">
        <f t="shared" si="164"/>
        <v>0</v>
      </c>
      <c r="V471" s="6">
        <f t="shared" si="165"/>
        <v>0</v>
      </c>
      <c r="W471" s="6">
        <f t="shared" si="166"/>
        <v>0</v>
      </c>
      <c r="X471" s="6">
        <f t="shared" si="167"/>
        <v>0</v>
      </c>
      <c r="Y471" s="6">
        <f t="shared" si="168"/>
        <v>0</v>
      </c>
      <c r="AA471" s="6" t="str">
        <f>IF(最佳化斷筋點!C471="","",最佳化斷筋點!C471)</f>
        <v>上層</v>
      </c>
      <c r="AB471" s="6">
        <f>IF(最佳化斷筋點!D471="","",最佳化斷筋點!D471)</f>
        <v>5</v>
      </c>
      <c r="AC471" s="6">
        <f>IF(最佳化斷筋點!E471="","",最佳化斷筋點!E471)</f>
        <v>5</v>
      </c>
      <c r="AD471" s="6">
        <f>IF(最佳化斷筋點!F471="","",最佳化斷筋點!F471)</f>
        <v>4</v>
      </c>
      <c r="AE471" s="6">
        <f>IF(最佳化斷筋點!G471="","",最佳化斷筋點!G471)</f>
        <v>4</v>
      </c>
      <c r="AF471" s="6">
        <f>IF(最佳化斷筋點!H471="","",最佳化斷筋點!H471)</f>
        <v>4</v>
      </c>
      <c r="AG471" s="6">
        <f>IF(最佳化斷筋點!I471="","",最佳化斷筋點!I471)</f>
        <v>3</v>
      </c>
      <c r="AH471" s="6">
        <f>IF(最佳化斷筋點!J471="","",最佳化斷筋點!J471)</f>
        <v>3</v>
      </c>
      <c r="AI471" s="6">
        <f>IF(最佳化斷筋點!K471="","",最佳化斷筋點!K471)</f>
        <v>2</v>
      </c>
      <c r="AJ471" s="6">
        <f>IF(最佳化斷筋點!L471="","",最佳化斷筋點!L471)</f>
        <v>2</v>
      </c>
      <c r="AK471" s="6">
        <f>IF(最佳化斷筋點!M471="","",最佳化斷筋點!M471)</f>
        <v>2</v>
      </c>
      <c r="AL471" s="6">
        <f>IF(最佳化斷筋點!N471="","",最佳化斷筋點!N471)</f>
        <v>2</v>
      </c>
      <c r="AM471" s="6">
        <f>IF(最佳化斷筋點!O471="","",最佳化斷筋點!O471)</f>
        <v>2</v>
      </c>
      <c r="AN471" s="6">
        <f>IF(最佳化斷筋點!P471="","",最佳化斷筋點!P471)</f>
        <v>2</v>
      </c>
      <c r="AO471" s="6">
        <f>IF(最佳化斷筋點!Q471="","",最佳化斷筋點!Q471)</f>
        <v>2</v>
      </c>
      <c r="AP471" s="6">
        <f>IF(最佳化斷筋點!R471="","",最佳化斷筋點!R471)</f>
        <v>2</v>
      </c>
      <c r="AQ471" s="6">
        <f>IF(最佳化斷筋點!S471="","",最佳化斷筋點!S471)</f>
        <v>3</v>
      </c>
      <c r="AR471" s="6">
        <f>IF(最佳化斷筋點!T471="","",最佳化斷筋點!T471)</f>
        <v>3</v>
      </c>
      <c r="AS471" s="6">
        <f>IF(最佳化斷筋點!U471="","",最佳化斷筋點!U471)</f>
        <v>4</v>
      </c>
      <c r="AT471" s="6">
        <f>IF(最佳化斷筋點!V471="","",最佳化斷筋點!V471)</f>
        <v>4</v>
      </c>
      <c r="AU471" s="6">
        <f>IF(最佳化斷筋點!W471="","",最佳化斷筋點!W471)</f>
        <v>5</v>
      </c>
      <c r="AV471" s="6">
        <f>IF(最佳化斷筋點!X471="","",最佳化斷筋點!X471)</f>
        <v>5</v>
      </c>
      <c r="AX471" s="6" t="s">
        <v>50</v>
      </c>
      <c r="AY471" s="6">
        <v>5</v>
      </c>
      <c r="AZ471" s="6">
        <v>5</v>
      </c>
      <c r="BA471" s="6">
        <v>4</v>
      </c>
      <c r="BB471" s="6">
        <v>4</v>
      </c>
      <c r="BC471" s="6">
        <v>4</v>
      </c>
      <c r="BD471" s="6">
        <v>3</v>
      </c>
      <c r="BE471" s="6">
        <v>3</v>
      </c>
      <c r="BF471" s="6">
        <v>2</v>
      </c>
      <c r="BG471" s="6">
        <v>2</v>
      </c>
      <c r="BH471" s="6">
        <v>2</v>
      </c>
      <c r="BI471" s="6">
        <v>2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</row>
    <row r="472" spans="4:71" x14ac:dyDescent="0.25">
      <c r="E472" s="6">
        <f t="shared" si="148"/>
        <v>0</v>
      </c>
      <c r="F472" s="6">
        <f t="shared" si="149"/>
        <v>0</v>
      </c>
      <c r="G472" s="6">
        <f t="shared" si="150"/>
        <v>0</v>
      </c>
      <c r="H472" s="6">
        <f t="shared" si="151"/>
        <v>0</v>
      </c>
      <c r="I472" s="6">
        <f t="shared" si="152"/>
        <v>0</v>
      </c>
      <c r="J472" s="6">
        <f t="shared" si="153"/>
        <v>0</v>
      </c>
      <c r="K472" s="6">
        <f t="shared" si="154"/>
        <v>0</v>
      </c>
      <c r="L472" s="6">
        <f t="shared" si="155"/>
        <v>0</v>
      </c>
      <c r="M472" s="6">
        <f t="shared" si="156"/>
        <v>0</v>
      </c>
      <c r="N472" s="6">
        <f t="shared" si="157"/>
        <v>0</v>
      </c>
      <c r="O472" s="6">
        <f t="shared" si="158"/>
        <v>0</v>
      </c>
      <c r="P472" s="6">
        <f t="shared" si="159"/>
        <v>0</v>
      </c>
      <c r="Q472" s="6">
        <f t="shared" si="160"/>
        <v>0</v>
      </c>
      <c r="R472" s="6">
        <f t="shared" si="161"/>
        <v>0</v>
      </c>
      <c r="S472" s="6">
        <f t="shared" si="162"/>
        <v>0</v>
      </c>
      <c r="T472" s="6">
        <f t="shared" si="163"/>
        <v>0</v>
      </c>
      <c r="U472" s="6">
        <f t="shared" si="164"/>
        <v>0</v>
      </c>
      <c r="V472" s="6">
        <f t="shared" si="165"/>
        <v>0</v>
      </c>
      <c r="W472" s="6">
        <f t="shared" si="166"/>
        <v>0</v>
      </c>
      <c r="X472" s="6">
        <f t="shared" si="167"/>
        <v>0</v>
      </c>
      <c r="Y472" s="6">
        <f t="shared" si="168"/>
        <v>0</v>
      </c>
      <c r="AA472" s="6" t="str">
        <f>IF(最佳化斷筋點!C472="","",最佳化斷筋點!C472)</f>
        <v/>
      </c>
      <c r="AB472" s="6" t="str">
        <f>IF(最佳化斷筋點!D472="","",最佳化斷筋點!D472)</f>
        <v/>
      </c>
      <c r="AC472" s="6" t="str">
        <f>IF(最佳化斷筋點!E472="","",最佳化斷筋點!E472)</f>
        <v/>
      </c>
      <c r="AD472" s="6" t="str">
        <f>IF(最佳化斷筋點!F472="","",最佳化斷筋點!F472)</f>
        <v/>
      </c>
      <c r="AE472" s="6" t="str">
        <f>IF(最佳化斷筋點!G472="","",最佳化斷筋點!G472)</f>
        <v/>
      </c>
      <c r="AF472" s="6" t="str">
        <f>IF(最佳化斷筋點!H472="","",最佳化斷筋點!H472)</f>
        <v/>
      </c>
      <c r="AG472" s="6" t="str">
        <f>IF(最佳化斷筋點!I472="","",最佳化斷筋點!I472)</f>
        <v/>
      </c>
      <c r="AH472" s="6" t="str">
        <f>IF(最佳化斷筋點!J472="","",最佳化斷筋點!J472)</f>
        <v/>
      </c>
      <c r="AI472" s="6" t="str">
        <f>IF(最佳化斷筋點!K472="","",最佳化斷筋點!K472)</f>
        <v/>
      </c>
      <c r="AJ472" s="6" t="str">
        <f>IF(最佳化斷筋點!L472="","",最佳化斷筋點!L472)</f>
        <v/>
      </c>
      <c r="AK472" s="6" t="str">
        <f>IF(最佳化斷筋點!M472="","",最佳化斷筋點!M472)</f>
        <v/>
      </c>
      <c r="AL472" s="6" t="str">
        <f>IF(最佳化斷筋點!N472="","",最佳化斷筋點!N472)</f>
        <v/>
      </c>
      <c r="AM472" s="6" t="str">
        <f>IF(最佳化斷筋點!O472="","",最佳化斷筋點!O472)</f>
        <v/>
      </c>
      <c r="AN472" s="6" t="str">
        <f>IF(最佳化斷筋點!P472="","",最佳化斷筋點!P472)</f>
        <v/>
      </c>
      <c r="AO472" s="6" t="str">
        <f>IF(最佳化斷筋點!Q472="","",最佳化斷筋點!Q472)</f>
        <v/>
      </c>
      <c r="AP472" s="6" t="str">
        <f>IF(最佳化斷筋點!R472="","",最佳化斷筋點!R472)</f>
        <v/>
      </c>
      <c r="AQ472" s="6" t="str">
        <f>IF(最佳化斷筋點!S472="","",最佳化斷筋點!S472)</f>
        <v/>
      </c>
      <c r="AR472" s="6" t="str">
        <f>IF(最佳化斷筋點!T472="","",最佳化斷筋點!T472)</f>
        <v/>
      </c>
      <c r="AS472" s="6" t="str">
        <f>IF(最佳化斷筋點!U472="","",最佳化斷筋點!U472)</f>
        <v/>
      </c>
      <c r="AT472" s="6" t="str">
        <f>IF(最佳化斷筋點!V472="","",最佳化斷筋點!V472)</f>
        <v/>
      </c>
      <c r="AU472" s="6" t="str">
        <f>IF(最佳化斷筋點!W472="","",最佳化斷筋點!W472)</f>
        <v/>
      </c>
      <c r="AV472" s="6" t="str">
        <f>IF(最佳化斷筋點!X472="","",最佳化斷筋點!X472)</f>
        <v/>
      </c>
    </row>
    <row r="473" spans="4:71" x14ac:dyDescent="0.25">
      <c r="D473" s="6" t="s">
        <v>51</v>
      </c>
      <c r="E473" s="6">
        <f t="shared" si="148"/>
        <v>0</v>
      </c>
      <c r="F473" s="6">
        <f t="shared" si="149"/>
        <v>0</v>
      </c>
      <c r="G473" s="6">
        <f t="shared" si="150"/>
        <v>0</v>
      </c>
      <c r="H473" s="6">
        <f t="shared" si="151"/>
        <v>0</v>
      </c>
      <c r="I473" s="6">
        <f t="shared" si="152"/>
        <v>0</v>
      </c>
      <c r="J473" s="6">
        <f t="shared" si="153"/>
        <v>0</v>
      </c>
      <c r="K473" s="6">
        <f t="shared" si="154"/>
        <v>0</v>
      </c>
      <c r="L473" s="6">
        <f t="shared" si="155"/>
        <v>0</v>
      </c>
      <c r="M473" s="6">
        <f t="shared" si="156"/>
        <v>0</v>
      </c>
      <c r="N473" s="6">
        <f t="shared" si="157"/>
        <v>0</v>
      </c>
      <c r="O473" s="6">
        <f t="shared" si="158"/>
        <v>0</v>
      </c>
      <c r="P473" s="6">
        <f t="shared" si="159"/>
        <v>0</v>
      </c>
      <c r="Q473" s="6">
        <f t="shared" si="160"/>
        <v>0</v>
      </c>
      <c r="R473" s="6">
        <f t="shared" si="161"/>
        <v>0</v>
      </c>
      <c r="S473" s="6">
        <f t="shared" si="162"/>
        <v>0</v>
      </c>
      <c r="T473" s="6">
        <f t="shared" si="163"/>
        <v>0</v>
      </c>
      <c r="U473" s="6">
        <f t="shared" si="164"/>
        <v>0</v>
      </c>
      <c r="V473" s="6">
        <f t="shared" si="165"/>
        <v>0</v>
      </c>
      <c r="W473" s="6">
        <f t="shared" si="166"/>
        <v>0</v>
      </c>
      <c r="X473" s="6">
        <f t="shared" si="167"/>
        <v>0</v>
      </c>
      <c r="Y473" s="6">
        <f t="shared" si="168"/>
        <v>0</v>
      </c>
      <c r="AA473" s="6" t="str">
        <f>IF(最佳化斷筋點!C473="","",最佳化斷筋點!C473)</f>
        <v>下層</v>
      </c>
      <c r="AB473" s="6">
        <f>IF(最佳化斷筋點!D473="","",最佳化斷筋點!D473)</f>
        <v>3</v>
      </c>
      <c r="AC473" s="6">
        <f>IF(最佳化斷筋點!E473="","",最佳化斷筋點!E473)</f>
        <v>3</v>
      </c>
      <c r="AD473" s="6">
        <f>IF(最佳化斷筋點!F473="","",最佳化斷筋點!F473)</f>
        <v>3</v>
      </c>
      <c r="AE473" s="6">
        <f>IF(最佳化斷筋點!G473="","",最佳化斷筋點!G473)</f>
        <v>3</v>
      </c>
      <c r="AF473" s="6">
        <f>IF(最佳化斷筋點!H473="","",最佳化斷筋點!H473)</f>
        <v>3</v>
      </c>
      <c r="AG473" s="6">
        <f>IF(最佳化斷筋點!I473="","",最佳化斷筋點!I473)</f>
        <v>3</v>
      </c>
      <c r="AH473" s="6">
        <f>IF(最佳化斷筋點!J473="","",最佳化斷筋點!J473)</f>
        <v>4</v>
      </c>
      <c r="AI473" s="6">
        <f>IF(最佳化斷筋點!K473="","",最佳化斷筋點!K473)</f>
        <v>4</v>
      </c>
      <c r="AJ473" s="6">
        <f>IF(最佳化斷筋點!L473="","",最佳化斷筋點!L473)</f>
        <v>4</v>
      </c>
      <c r="AK473" s="6">
        <f>IF(最佳化斷筋點!M473="","",最佳化斷筋點!M473)</f>
        <v>4</v>
      </c>
      <c r="AL473" s="6">
        <f>IF(最佳化斷筋點!N473="","",最佳化斷筋點!N473)</f>
        <v>4</v>
      </c>
      <c r="AM473" s="6">
        <f>IF(最佳化斷筋點!O473="","",最佳化斷筋點!O473)</f>
        <v>4</v>
      </c>
      <c r="AN473" s="6">
        <f>IF(最佳化斷筋點!P473="","",最佳化斷筋點!P473)</f>
        <v>4</v>
      </c>
      <c r="AO473" s="6">
        <f>IF(最佳化斷筋點!Q473="","",最佳化斷筋點!Q473)</f>
        <v>4</v>
      </c>
      <c r="AP473" s="6">
        <f>IF(最佳化斷筋點!R473="","",最佳化斷筋點!R473)</f>
        <v>4</v>
      </c>
      <c r="AQ473" s="6">
        <f>IF(最佳化斷筋點!S473="","",最佳化斷筋點!S473)</f>
        <v>3</v>
      </c>
      <c r="AR473" s="6">
        <f>IF(最佳化斷筋點!T473="","",最佳化斷筋點!T473)</f>
        <v>3</v>
      </c>
      <c r="AS473" s="6">
        <f>IF(最佳化斷筋點!U473="","",最佳化斷筋點!U473)</f>
        <v>3</v>
      </c>
      <c r="AT473" s="6">
        <f>IF(最佳化斷筋點!V473="","",最佳化斷筋點!V473)</f>
        <v>3</v>
      </c>
      <c r="AU473" s="6">
        <f>IF(最佳化斷筋點!W473="","",最佳化斷筋點!W473)</f>
        <v>3</v>
      </c>
      <c r="AV473" s="6">
        <f>IF(最佳化斷筋點!X473="","",最佳化斷筋點!X473)</f>
        <v>3</v>
      </c>
      <c r="AX473" s="6" t="s">
        <v>51</v>
      </c>
      <c r="AY473" s="6">
        <v>3</v>
      </c>
      <c r="AZ473" s="6">
        <v>3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3</v>
      </c>
      <c r="BO473" s="6">
        <v>3</v>
      </c>
      <c r="BP473" s="6">
        <v>3</v>
      </c>
      <c r="BQ473" s="6">
        <v>3</v>
      </c>
      <c r="BR473" s="6">
        <v>3</v>
      </c>
      <c r="BS473" s="6">
        <v>3</v>
      </c>
    </row>
    <row r="474" spans="4:71" x14ac:dyDescent="0.25">
      <c r="E474" s="6">
        <f t="shared" si="148"/>
        <v>0</v>
      </c>
      <c r="F474" s="6">
        <f t="shared" si="149"/>
        <v>0</v>
      </c>
      <c r="G474" s="6">
        <f t="shared" si="150"/>
        <v>0</v>
      </c>
      <c r="H474" s="6">
        <f t="shared" si="151"/>
        <v>0</v>
      </c>
      <c r="I474" s="6">
        <f t="shared" si="152"/>
        <v>0</v>
      </c>
      <c r="J474" s="6">
        <f t="shared" si="153"/>
        <v>0</v>
      </c>
      <c r="K474" s="6">
        <f t="shared" si="154"/>
        <v>0</v>
      </c>
      <c r="L474" s="6">
        <f t="shared" si="155"/>
        <v>0</v>
      </c>
      <c r="M474" s="6">
        <f t="shared" si="156"/>
        <v>0</v>
      </c>
      <c r="N474" s="6">
        <f t="shared" si="157"/>
        <v>0</v>
      </c>
      <c r="O474" s="6">
        <f t="shared" si="158"/>
        <v>0</v>
      </c>
      <c r="P474" s="6">
        <f t="shared" si="159"/>
        <v>0</v>
      </c>
      <c r="Q474" s="6">
        <f t="shared" si="160"/>
        <v>0</v>
      </c>
      <c r="R474" s="6">
        <f t="shared" si="161"/>
        <v>0</v>
      </c>
      <c r="S474" s="6">
        <f t="shared" si="162"/>
        <v>0</v>
      </c>
      <c r="T474" s="6">
        <f t="shared" si="163"/>
        <v>0</v>
      </c>
      <c r="U474" s="6">
        <f t="shared" si="164"/>
        <v>0</v>
      </c>
      <c r="V474" s="6">
        <f t="shared" si="165"/>
        <v>0</v>
      </c>
      <c r="W474" s="6">
        <f t="shared" si="166"/>
        <v>0</v>
      </c>
      <c r="X474" s="6">
        <f t="shared" si="167"/>
        <v>0</v>
      </c>
      <c r="Y474" s="6">
        <f t="shared" si="168"/>
        <v>0</v>
      </c>
      <c r="AA474" s="6" t="str">
        <f>IF(最佳化斷筋點!C474="","",最佳化斷筋點!C474)</f>
        <v/>
      </c>
      <c r="AB474" s="6" t="str">
        <f>IF(最佳化斷筋點!D474="","",最佳化斷筋點!D474)</f>
        <v/>
      </c>
      <c r="AC474" s="6" t="str">
        <f>IF(最佳化斷筋點!E474="","",最佳化斷筋點!E474)</f>
        <v/>
      </c>
      <c r="AD474" s="6" t="str">
        <f>IF(最佳化斷筋點!F474="","",最佳化斷筋點!F474)</f>
        <v/>
      </c>
      <c r="AE474" s="6" t="str">
        <f>IF(最佳化斷筋點!G474="","",最佳化斷筋點!G474)</f>
        <v/>
      </c>
      <c r="AF474" s="6" t="str">
        <f>IF(最佳化斷筋點!H474="","",最佳化斷筋點!H474)</f>
        <v/>
      </c>
      <c r="AG474" s="6" t="str">
        <f>IF(最佳化斷筋點!I474="","",最佳化斷筋點!I474)</f>
        <v/>
      </c>
      <c r="AH474" s="6" t="str">
        <f>IF(最佳化斷筋點!J474="","",最佳化斷筋點!J474)</f>
        <v/>
      </c>
      <c r="AI474" s="6" t="str">
        <f>IF(最佳化斷筋點!K474="","",最佳化斷筋點!K474)</f>
        <v/>
      </c>
      <c r="AJ474" s="6" t="str">
        <f>IF(最佳化斷筋點!L474="","",最佳化斷筋點!L474)</f>
        <v/>
      </c>
      <c r="AK474" s="6" t="str">
        <f>IF(最佳化斷筋點!M474="","",最佳化斷筋點!M474)</f>
        <v/>
      </c>
      <c r="AL474" s="6" t="str">
        <f>IF(最佳化斷筋點!N474="","",最佳化斷筋點!N474)</f>
        <v/>
      </c>
      <c r="AM474" s="6" t="str">
        <f>IF(最佳化斷筋點!O474="","",最佳化斷筋點!O474)</f>
        <v/>
      </c>
      <c r="AN474" s="6" t="str">
        <f>IF(最佳化斷筋點!P474="","",最佳化斷筋點!P474)</f>
        <v/>
      </c>
      <c r="AO474" s="6" t="str">
        <f>IF(最佳化斷筋點!Q474="","",最佳化斷筋點!Q474)</f>
        <v/>
      </c>
      <c r="AP474" s="6" t="str">
        <f>IF(最佳化斷筋點!R474="","",最佳化斷筋點!R474)</f>
        <v/>
      </c>
      <c r="AQ474" s="6" t="str">
        <f>IF(最佳化斷筋點!S474="","",最佳化斷筋點!S474)</f>
        <v/>
      </c>
      <c r="AR474" s="6" t="str">
        <f>IF(最佳化斷筋點!T474="","",最佳化斷筋點!T474)</f>
        <v/>
      </c>
      <c r="AS474" s="6" t="str">
        <f>IF(最佳化斷筋點!U474="","",最佳化斷筋點!U474)</f>
        <v/>
      </c>
      <c r="AT474" s="6" t="str">
        <f>IF(最佳化斷筋點!V474="","",最佳化斷筋點!V474)</f>
        <v/>
      </c>
      <c r="AU474" s="6" t="str">
        <f>IF(最佳化斷筋點!W474="","",最佳化斷筋點!W474)</f>
        <v/>
      </c>
      <c r="AV474" s="6" t="str">
        <f>IF(最佳化斷筋點!X474="","",最佳化斷筋點!X474)</f>
        <v/>
      </c>
    </row>
    <row r="475" spans="4:71" x14ac:dyDescent="0.25">
      <c r="D475" s="6" t="s">
        <v>50</v>
      </c>
      <c r="E475" s="6">
        <f t="shared" si="148"/>
        <v>0</v>
      </c>
      <c r="F475" s="6">
        <f t="shared" si="149"/>
        <v>0</v>
      </c>
      <c r="G475" s="6">
        <f t="shared" si="150"/>
        <v>0</v>
      </c>
      <c r="H475" s="6">
        <f t="shared" si="151"/>
        <v>0</v>
      </c>
      <c r="I475" s="6">
        <f t="shared" si="152"/>
        <v>0</v>
      </c>
      <c r="J475" s="6">
        <f t="shared" si="153"/>
        <v>0</v>
      </c>
      <c r="K475" s="6">
        <f t="shared" si="154"/>
        <v>0</v>
      </c>
      <c r="L475" s="6">
        <f t="shared" si="155"/>
        <v>0</v>
      </c>
      <c r="M475" s="6">
        <f t="shared" si="156"/>
        <v>0</v>
      </c>
      <c r="N475" s="6">
        <f t="shared" si="157"/>
        <v>0</v>
      </c>
      <c r="O475" s="6">
        <f t="shared" si="158"/>
        <v>0</v>
      </c>
      <c r="P475" s="6">
        <f t="shared" si="159"/>
        <v>0</v>
      </c>
      <c r="Q475" s="6">
        <f t="shared" si="160"/>
        <v>0</v>
      </c>
      <c r="R475" s="6">
        <f t="shared" si="161"/>
        <v>0</v>
      </c>
      <c r="S475" s="6">
        <f t="shared" si="162"/>
        <v>0</v>
      </c>
      <c r="T475" s="6">
        <f t="shared" si="163"/>
        <v>0</v>
      </c>
      <c r="U475" s="6">
        <f t="shared" si="164"/>
        <v>0</v>
      </c>
      <c r="V475" s="6">
        <f t="shared" si="165"/>
        <v>0</v>
      </c>
      <c r="W475" s="6">
        <f t="shared" si="166"/>
        <v>0</v>
      </c>
      <c r="X475" s="6">
        <f t="shared" si="167"/>
        <v>0</v>
      </c>
      <c r="Y475" s="6">
        <f t="shared" si="168"/>
        <v>0</v>
      </c>
      <c r="AA475" s="6" t="str">
        <f>IF(最佳化斷筋點!C475="","",最佳化斷筋點!C475)</f>
        <v>上層</v>
      </c>
      <c r="AB475" s="6">
        <f>IF(最佳化斷筋點!D475="","",最佳化斷筋點!D475)</f>
        <v>5</v>
      </c>
      <c r="AC475" s="6">
        <f>IF(最佳化斷筋點!E475="","",最佳化斷筋點!E475)</f>
        <v>5</v>
      </c>
      <c r="AD475" s="6">
        <f>IF(最佳化斷筋點!F475="","",最佳化斷筋點!F475)</f>
        <v>4</v>
      </c>
      <c r="AE475" s="6">
        <f>IF(最佳化斷筋點!G475="","",最佳化斷筋點!G475)</f>
        <v>4</v>
      </c>
      <c r="AF475" s="6">
        <f>IF(最佳化斷筋點!H475="","",最佳化斷筋點!H475)</f>
        <v>4</v>
      </c>
      <c r="AG475" s="6">
        <f>IF(最佳化斷筋點!I475="","",最佳化斷筋點!I475)</f>
        <v>3</v>
      </c>
      <c r="AH475" s="6">
        <f>IF(最佳化斷筋點!J475="","",最佳化斷筋點!J475)</f>
        <v>3</v>
      </c>
      <c r="AI475" s="6">
        <f>IF(最佳化斷筋點!K475="","",最佳化斷筋點!K475)</f>
        <v>2</v>
      </c>
      <c r="AJ475" s="6">
        <f>IF(最佳化斷筋點!L475="","",最佳化斷筋點!L475)</f>
        <v>2</v>
      </c>
      <c r="AK475" s="6">
        <f>IF(最佳化斷筋點!M475="","",最佳化斷筋點!M475)</f>
        <v>2</v>
      </c>
      <c r="AL475" s="6">
        <f>IF(最佳化斷筋點!N475="","",最佳化斷筋點!N475)</f>
        <v>2</v>
      </c>
      <c r="AM475" s="6">
        <f>IF(最佳化斷筋點!O475="","",最佳化斷筋點!O475)</f>
        <v>2</v>
      </c>
      <c r="AN475" s="6">
        <f>IF(最佳化斷筋點!P475="","",最佳化斷筋點!P475)</f>
        <v>2</v>
      </c>
      <c r="AO475" s="6">
        <f>IF(最佳化斷筋點!Q475="","",最佳化斷筋點!Q475)</f>
        <v>2</v>
      </c>
      <c r="AP475" s="6">
        <f>IF(最佳化斷筋點!R475="","",最佳化斷筋點!R475)</f>
        <v>2</v>
      </c>
      <c r="AQ475" s="6">
        <f>IF(最佳化斷筋點!S475="","",最佳化斷筋點!S475)</f>
        <v>3</v>
      </c>
      <c r="AR475" s="6">
        <f>IF(最佳化斷筋點!T475="","",最佳化斷筋點!T475)</f>
        <v>3</v>
      </c>
      <c r="AS475" s="6">
        <f>IF(最佳化斷筋點!U475="","",最佳化斷筋點!U475)</f>
        <v>4</v>
      </c>
      <c r="AT475" s="6">
        <f>IF(最佳化斷筋點!V475="","",最佳化斷筋點!V475)</f>
        <v>4</v>
      </c>
      <c r="AU475" s="6">
        <f>IF(最佳化斷筋點!W475="","",最佳化斷筋點!W475)</f>
        <v>5</v>
      </c>
      <c r="AV475" s="6">
        <f>IF(最佳化斷筋點!X475="","",最佳化斷筋點!X475)</f>
        <v>5</v>
      </c>
      <c r="AX475" s="6" t="s">
        <v>50</v>
      </c>
      <c r="AY475" s="6">
        <v>5</v>
      </c>
      <c r="AZ475" s="6">
        <v>5</v>
      </c>
      <c r="BA475" s="6">
        <v>4</v>
      </c>
      <c r="BB475" s="6">
        <v>4</v>
      </c>
      <c r="BC475" s="6">
        <v>4</v>
      </c>
      <c r="BD475" s="6">
        <v>3</v>
      </c>
      <c r="BE475" s="6">
        <v>3</v>
      </c>
      <c r="BF475" s="6">
        <v>2</v>
      </c>
      <c r="BG475" s="6">
        <v>2</v>
      </c>
      <c r="BH475" s="6">
        <v>2</v>
      </c>
      <c r="BI475" s="6">
        <v>2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</row>
    <row r="476" spans="4:71" x14ac:dyDescent="0.25">
      <c r="E476" s="6">
        <f t="shared" si="148"/>
        <v>0</v>
      </c>
      <c r="F476" s="6">
        <f t="shared" si="149"/>
        <v>0</v>
      </c>
      <c r="G476" s="6">
        <f t="shared" si="150"/>
        <v>0</v>
      </c>
      <c r="H476" s="6">
        <f t="shared" si="151"/>
        <v>0</v>
      </c>
      <c r="I476" s="6">
        <f t="shared" si="152"/>
        <v>0</v>
      </c>
      <c r="J476" s="6">
        <f t="shared" si="153"/>
        <v>0</v>
      </c>
      <c r="K476" s="6">
        <f t="shared" si="154"/>
        <v>0</v>
      </c>
      <c r="L476" s="6">
        <f t="shared" si="155"/>
        <v>0</v>
      </c>
      <c r="M476" s="6">
        <f t="shared" si="156"/>
        <v>0</v>
      </c>
      <c r="N476" s="6">
        <f t="shared" si="157"/>
        <v>0</v>
      </c>
      <c r="O476" s="6">
        <f t="shared" si="158"/>
        <v>0</v>
      </c>
      <c r="P476" s="6">
        <f t="shared" si="159"/>
        <v>0</v>
      </c>
      <c r="Q476" s="6">
        <f t="shared" si="160"/>
        <v>0</v>
      </c>
      <c r="R476" s="6">
        <f t="shared" si="161"/>
        <v>0</v>
      </c>
      <c r="S476" s="6">
        <f t="shared" si="162"/>
        <v>0</v>
      </c>
      <c r="T476" s="6">
        <f t="shared" si="163"/>
        <v>0</v>
      </c>
      <c r="U476" s="6">
        <f t="shared" si="164"/>
        <v>0</v>
      </c>
      <c r="V476" s="6">
        <f t="shared" si="165"/>
        <v>0</v>
      </c>
      <c r="W476" s="6">
        <f t="shared" si="166"/>
        <v>0</v>
      </c>
      <c r="X476" s="6">
        <f t="shared" si="167"/>
        <v>0</v>
      </c>
      <c r="Y476" s="6">
        <f t="shared" si="168"/>
        <v>0</v>
      </c>
      <c r="AA476" s="6" t="str">
        <f>IF(最佳化斷筋點!C476="","",最佳化斷筋點!C476)</f>
        <v/>
      </c>
      <c r="AB476" s="6" t="str">
        <f>IF(最佳化斷筋點!D476="","",最佳化斷筋點!D476)</f>
        <v/>
      </c>
      <c r="AC476" s="6" t="str">
        <f>IF(最佳化斷筋點!E476="","",最佳化斷筋點!E476)</f>
        <v/>
      </c>
      <c r="AD476" s="6" t="str">
        <f>IF(最佳化斷筋點!F476="","",最佳化斷筋點!F476)</f>
        <v/>
      </c>
      <c r="AE476" s="6" t="str">
        <f>IF(最佳化斷筋點!G476="","",最佳化斷筋點!G476)</f>
        <v/>
      </c>
      <c r="AF476" s="6" t="str">
        <f>IF(最佳化斷筋點!H476="","",最佳化斷筋點!H476)</f>
        <v/>
      </c>
      <c r="AG476" s="6" t="str">
        <f>IF(最佳化斷筋點!I476="","",最佳化斷筋點!I476)</f>
        <v/>
      </c>
      <c r="AH476" s="6" t="str">
        <f>IF(最佳化斷筋點!J476="","",最佳化斷筋點!J476)</f>
        <v/>
      </c>
      <c r="AI476" s="6" t="str">
        <f>IF(最佳化斷筋點!K476="","",最佳化斷筋點!K476)</f>
        <v/>
      </c>
      <c r="AJ476" s="6" t="str">
        <f>IF(最佳化斷筋點!L476="","",最佳化斷筋點!L476)</f>
        <v/>
      </c>
      <c r="AK476" s="6" t="str">
        <f>IF(最佳化斷筋點!M476="","",最佳化斷筋點!M476)</f>
        <v/>
      </c>
      <c r="AL476" s="6" t="str">
        <f>IF(最佳化斷筋點!N476="","",最佳化斷筋點!N476)</f>
        <v/>
      </c>
      <c r="AM476" s="6" t="str">
        <f>IF(最佳化斷筋點!O476="","",最佳化斷筋點!O476)</f>
        <v/>
      </c>
      <c r="AN476" s="6" t="str">
        <f>IF(最佳化斷筋點!P476="","",最佳化斷筋點!P476)</f>
        <v/>
      </c>
      <c r="AO476" s="6" t="str">
        <f>IF(最佳化斷筋點!Q476="","",最佳化斷筋點!Q476)</f>
        <v/>
      </c>
      <c r="AP476" s="6" t="str">
        <f>IF(最佳化斷筋點!R476="","",最佳化斷筋點!R476)</f>
        <v/>
      </c>
      <c r="AQ476" s="6" t="str">
        <f>IF(最佳化斷筋點!S476="","",最佳化斷筋點!S476)</f>
        <v/>
      </c>
      <c r="AR476" s="6" t="str">
        <f>IF(最佳化斷筋點!T476="","",最佳化斷筋點!T476)</f>
        <v/>
      </c>
      <c r="AS476" s="6" t="str">
        <f>IF(最佳化斷筋點!U476="","",最佳化斷筋點!U476)</f>
        <v/>
      </c>
      <c r="AT476" s="6" t="str">
        <f>IF(最佳化斷筋點!V476="","",最佳化斷筋點!V476)</f>
        <v/>
      </c>
      <c r="AU476" s="6" t="str">
        <f>IF(最佳化斷筋點!W476="","",最佳化斷筋點!W476)</f>
        <v/>
      </c>
      <c r="AV476" s="6" t="str">
        <f>IF(最佳化斷筋點!X476="","",最佳化斷筋點!X476)</f>
        <v/>
      </c>
    </row>
    <row r="477" spans="4:71" x14ac:dyDescent="0.25">
      <c r="D477" s="6" t="s">
        <v>51</v>
      </c>
      <c r="E477" s="6">
        <f t="shared" si="148"/>
        <v>0</v>
      </c>
      <c r="F477" s="6">
        <f t="shared" si="149"/>
        <v>0</v>
      </c>
      <c r="G477" s="6">
        <f t="shared" si="150"/>
        <v>0</v>
      </c>
      <c r="H477" s="6">
        <f t="shared" si="151"/>
        <v>0</v>
      </c>
      <c r="I477" s="6">
        <f t="shared" si="152"/>
        <v>0</v>
      </c>
      <c r="J477" s="6">
        <f t="shared" si="153"/>
        <v>0</v>
      </c>
      <c r="K477" s="6">
        <f t="shared" si="154"/>
        <v>0</v>
      </c>
      <c r="L477" s="6">
        <f t="shared" si="155"/>
        <v>0</v>
      </c>
      <c r="M477" s="6">
        <f t="shared" si="156"/>
        <v>0</v>
      </c>
      <c r="N477" s="6">
        <f t="shared" si="157"/>
        <v>0</v>
      </c>
      <c r="O477" s="6">
        <f t="shared" si="158"/>
        <v>0</v>
      </c>
      <c r="P477" s="6">
        <f t="shared" si="159"/>
        <v>0</v>
      </c>
      <c r="Q477" s="6">
        <f t="shared" si="160"/>
        <v>0</v>
      </c>
      <c r="R477" s="6">
        <f t="shared" si="161"/>
        <v>0</v>
      </c>
      <c r="S477" s="6">
        <f t="shared" si="162"/>
        <v>0</v>
      </c>
      <c r="T477" s="6">
        <f t="shared" si="163"/>
        <v>0</v>
      </c>
      <c r="U477" s="6">
        <f t="shared" si="164"/>
        <v>0</v>
      </c>
      <c r="V477" s="6">
        <f t="shared" si="165"/>
        <v>0</v>
      </c>
      <c r="W477" s="6">
        <f t="shared" si="166"/>
        <v>0</v>
      </c>
      <c r="X477" s="6">
        <f t="shared" si="167"/>
        <v>0</v>
      </c>
      <c r="Y477" s="6">
        <f t="shared" si="168"/>
        <v>0</v>
      </c>
      <c r="AA477" s="6" t="str">
        <f>IF(最佳化斷筋點!C477="","",最佳化斷筋點!C477)</f>
        <v>下層</v>
      </c>
      <c r="AB477" s="6">
        <f>IF(最佳化斷筋點!D477="","",最佳化斷筋點!D477)</f>
        <v>3</v>
      </c>
      <c r="AC477" s="6">
        <f>IF(最佳化斷筋點!E477="","",最佳化斷筋點!E477)</f>
        <v>3</v>
      </c>
      <c r="AD477" s="6">
        <f>IF(最佳化斷筋點!F477="","",最佳化斷筋點!F477)</f>
        <v>3</v>
      </c>
      <c r="AE477" s="6">
        <f>IF(最佳化斷筋點!G477="","",最佳化斷筋點!G477)</f>
        <v>3</v>
      </c>
      <c r="AF477" s="6">
        <f>IF(最佳化斷筋點!H477="","",最佳化斷筋點!H477)</f>
        <v>3</v>
      </c>
      <c r="AG477" s="6">
        <f>IF(最佳化斷筋點!I477="","",最佳化斷筋點!I477)</f>
        <v>3</v>
      </c>
      <c r="AH477" s="6">
        <f>IF(最佳化斷筋點!J477="","",最佳化斷筋點!J477)</f>
        <v>4</v>
      </c>
      <c r="AI477" s="6">
        <f>IF(最佳化斷筋點!K477="","",最佳化斷筋點!K477)</f>
        <v>4</v>
      </c>
      <c r="AJ477" s="6">
        <f>IF(最佳化斷筋點!L477="","",最佳化斷筋點!L477)</f>
        <v>4</v>
      </c>
      <c r="AK477" s="6">
        <f>IF(最佳化斷筋點!M477="","",最佳化斷筋點!M477)</f>
        <v>4</v>
      </c>
      <c r="AL477" s="6">
        <f>IF(最佳化斷筋點!N477="","",最佳化斷筋點!N477)</f>
        <v>4</v>
      </c>
      <c r="AM477" s="6">
        <f>IF(最佳化斷筋點!O477="","",最佳化斷筋點!O477)</f>
        <v>4</v>
      </c>
      <c r="AN477" s="6">
        <f>IF(最佳化斷筋點!P477="","",最佳化斷筋點!P477)</f>
        <v>4</v>
      </c>
      <c r="AO477" s="6">
        <f>IF(最佳化斷筋點!Q477="","",最佳化斷筋點!Q477)</f>
        <v>4</v>
      </c>
      <c r="AP477" s="6">
        <f>IF(最佳化斷筋點!R477="","",最佳化斷筋點!R477)</f>
        <v>4</v>
      </c>
      <c r="AQ477" s="6">
        <f>IF(最佳化斷筋點!S477="","",最佳化斷筋點!S477)</f>
        <v>3</v>
      </c>
      <c r="AR477" s="6">
        <f>IF(最佳化斷筋點!T477="","",最佳化斷筋點!T477)</f>
        <v>3</v>
      </c>
      <c r="AS477" s="6">
        <f>IF(最佳化斷筋點!U477="","",最佳化斷筋點!U477)</f>
        <v>3</v>
      </c>
      <c r="AT477" s="6">
        <f>IF(最佳化斷筋點!V477="","",最佳化斷筋點!V477)</f>
        <v>3</v>
      </c>
      <c r="AU477" s="6">
        <f>IF(最佳化斷筋點!W477="","",最佳化斷筋點!W477)</f>
        <v>3</v>
      </c>
      <c r="AV477" s="6">
        <f>IF(最佳化斷筋點!X477="","",最佳化斷筋點!X477)</f>
        <v>3</v>
      </c>
      <c r="AX477" s="6" t="s">
        <v>51</v>
      </c>
      <c r="AY477" s="6">
        <v>3</v>
      </c>
      <c r="AZ477" s="6">
        <v>3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3</v>
      </c>
      <c r="BO477" s="6">
        <v>3</v>
      </c>
      <c r="BP477" s="6">
        <v>3</v>
      </c>
      <c r="BQ477" s="6">
        <v>3</v>
      </c>
      <c r="BR477" s="6">
        <v>3</v>
      </c>
      <c r="BS477" s="6">
        <v>3</v>
      </c>
    </row>
    <row r="478" spans="4:71" x14ac:dyDescent="0.25">
      <c r="E478" s="6">
        <f t="shared" si="148"/>
        <v>0</v>
      </c>
      <c r="F478" s="6">
        <f t="shared" si="149"/>
        <v>0</v>
      </c>
      <c r="G478" s="6">
        <f t="shared" si="150"/>
        <v>0</v>
      </c>
      <c r="H478" s="6">
        <f t="shared" si="151"/>
        <v>0</v>
      </c>
      <c r="I478" s="6">
        <f t="shared" si="152"/>
        <v>0</v>
      </c>
      <c r="J478" s="6">
        <f t="shared" si="153"/>
        <v>0</v>
      </c>
      <c r="K478" s="6">
        <f t="shared" si="154"/>
        <v>0</v>
      </c>
      <c r="L478" s="6">
        <f t="shared" si="155"/>
        <v>0</v>
      </c>
      <c r="M478" s="6">
        <f t="shared" si="156"/>
        <v>0</v>
      </c>
      <c r="N478" s="6">
        <f t="shared" si="157"/>
        <v>0</v>
      </c>
      <c r="O478" s="6">
        <f t="shared" si="158"/>
        <v>0</v>
      </c>
      <c r="P478" s="6">
        <f t="shared" si="159"/>
        <v>0</v>
      </c>
      <c r="Q478" s="6">
        <f t="shared" si="160"/>
        <v>0</v>
      </c>
      <c r="R478" s="6">
        <f t="shared" si="161"/>
        <v>0</v>
      </c>
      <c r="S478" s="6">
        <f t="shared" si="162"/>
        <v>0</v>
      </c>
      <c r="T478" s="6">
        <f t="shared" si="163"/>
        <v>0</v>
      </c>
      <c r="U478" s="6">
        <f t="shared" si="164"/>
        <v>0</v>
      </c>
      <c r="V478" s="6">
        <f t="shared" si="165"/>
        <v>0</v>
      </c>
      <c r="W478" s="6">
        <f t="shared" si="166"/>
        <v>0</v>
      </c>
      <c r="X478" s="6">
        <f t="shared" si="167"/>
        <v>0</v>
      </c>
      <c r="Y478" s="6">
        <f t="shared" si="168"/>
        <v>0</v>
      </c>
      <c r="AA478" s="6" t="str">
        <f>IF(最佳化斷筋點!C478="","",最佳化斷筋點!C478)</f>
        <v/>
      </c>
      <c r="AB478" s="6" t="str">
        <f>IF(最佳化斷筋點!D478="","",最佳化斷筋點!D478)</f>
        <v/>
      </c>
      <c r="AC478" s="6" t="str">
        <f>IF(最佳化斷筋點!E478="","",最佳化斷筋點!E478)</f>
        <v/>
      </c>
      <c r="AD478" s="6" t="str">
        <f>IF(最佳化斷筋點!F478="","",最佳化斷筋點!F478)</f>
        <v/>
      </c>
      <c r="AE478" s="6" t="str">
        <f>IF(最佳化斷筋點!G478="","",最佳化斷筋點!G478)</f>
        <v/>
      </c>
      <c r="AF478" s="6" t="str">
        <f>IF(最佳化斷筋點!H478="","",最佳化斷筋點!H478)</f>
        <v/>
      </c>
      <c r="AG478" s="6" t="str">
        <f>IF(最佳化斷筋點!I478="","",最佳化斷筋點!I478)</f>
        <v/>
      </c>
      <c r="AH478" s="6" t="str">
        <f>IF(最佳化斷筋點!J478="","",最佳化斷筋點!J478)</f>
        <v/>
      </c>
      <c r="AI478" s="6" t="str">
        <f>IF(最佳化斷筋點!K478="","",最佳化斷筋點!K478)</f>
        <v/>
      </c>
      <c r="AJ478" s="6" t="str">
        <f>IF(最佳化斷筋點!L478="","",最佳化斷筋點!L478)</f>
        <v/>
      </c>
      <c r="AK478" s="6" t="str">
        <f>IF(最佳化斷筋點!M478="","",最佳化斷筋點!M478)</f>
        <v/>
      </c>
      <c r="AL478" s="6" t="str">
        <f>IF(最佳化斷筋點!N478="","",最佳化斷筋點!N478)</f>
        <v/>
      </c>
      <c r="AM478" s="6" t="str">
        <f>IF(最佳化斷筋點!O478="","",最佳化斷筋點!O478)</f>
        <v/>
      </c>
      <c r="AN478" s="6" t="str">
        <f>IF(最佳化斷筋點!P478="","",最佳化斷筋點!P478)</f>
        <v/>
      </c>
      <c r="AO478" s="6" t="str">
        <f>IF(最佳化斷筋點!Q478="","",最佳化斷筋點!Q478)</f>
        <v/>
      </c>
      <c r="AP478" s="6" t="str">
        <f>IF(最佳化斷筋點!R478="","",最佳化斷筋點!R478)</f>
        <v/>
      </c>
      <c r="AQ478" s="6" t="str">
        <f>IF(最佳化斷筋點!S478="","",最佳化斷筋點!S478)</f>
        <v/>
      </c>
      <c r="AR478" s="6" t="str">
        <f>IF(最佳化斷筋點!T478="","",最佳化斷筋點!T478)</f>
        <v/>
      </c>
      <c r="AS478" s="6" t="str">
        <f>IF(最佳化斷筋點!U478="","",最佳化斷筋點!U478)</f>
        <v/>
      </c>
      <c r="AT478" s="6" t="str">
        <f>IF(最佳化斷筋點!V478="","",最佳化斷筋點!V478)</f>
        <v/>
      </c>
      <c r="AU478" s="6" t="str">
        <f>IF(最佳化斷筋點!W478="","",最佳化斷筋點!W478)</f>
        <v/>
      </c>
      <c r="AV478" s="6" t="str">
        <f>IF(最佳化斷筋點!X478="","",最佳化斷筋點!X478)</f>
        <v/>
      </c>
    </row>
    <row r="479" spans="4:71" x14ac:dyDescent="0.25">
      <c r="D479" s="6" t="s">
        <v>50</v>
      </c>
      <c r="E479" s="6">
        <f t="shared" si="148"/>
        <v>0</v>
      </c>
      <c r="F479" s="6">
        <f t="shared" si="149"/>
        <v>0</v>
      </c>
      <c r="G479" s="6">
        <f t="shared" si="150"/>
        <v>0</v>
      </c>
      <c r="H479" s="6">
        <f t="shared" si="151"/>
        <v>0</v>
      </c>
      <c r="I479" s="6">
        <f t="shared" si="152"/>
        <v>0</v>
      </c>
      <c r="J479" s="6">
        <f t="shared" si="153"/>
        <v>0</v>
      </c>
      <c r="K479" s="6">
        <f t="shared" si="154"/>
        <v>0</v>
      </c>
      <c r="L479" s="6">
        <f t="shared" si="155"/>
        <v>0</v>
      </c>
      <c r="M479" s="6">
        <f t="shared" si="156"/>
        <v>0</v>
      </c>
      <c r="N479" s="6">
        <f t="shared" si="157"/>
        <v>0</v>
      </c>
      <c r="O479" s="6">
        <f t="shared" si="158"/>
        <v>0</v>
      </c>
      <c r="P479" s="6">
        <f t="shared" si="159"/>
        <v>0</v>
      </c>
      <c r="Q479" s="6">
        <f t="shared" si="160"/>
        <v>0</v>
      </c>
      <c r="R479" s="6">
        <f t="shared" si="161"/>
        <v>0</v>
      </c>
      <c r="S479" s="6">
        <f t="shared" si="162"/>
        <v>0</v>
      </c>
      <c r="T479" s="6">
        <f t="shared" si="163"/>
        <v>0</v>
      </c>
      <c r="U479" s="6">
        <f t="shared" si="164"/>
        <v>0</v>
      </c>
      <c r="V479" s="6">
        <f t="shared" si="165"/>
        <v>0</v>
      </c>
      <c r="W479" s="6">
        <f t="shared" si="166"/>
        <v>0</v>
      </c>
      <c r="X479" s="6">
        <f t="shared" si="167"/>
        <v>0</v>
      </c>
      <c r="Y479" s="6">
        <f t="shared" si="168"/>
        <v>0</v>
      </c>
      <c r="AA479" s="6" t="str">
        <f>IF(最佳化斷筋點!C479="","",最佳化斷筋點!C479)</f>
        <v>上層</v>
      </c>
      <c r="AB479" s="6">
        <f>IF(最佳化斷筋點!D479="","",最佳化斷筋點!D479)</f>
        <v>5</v>
      </c>
      <c r="AC479" s="6">
        <f>IF(最佳化斷筋點!E479="","",最佳化斷筋點!E479)</f>
        <v>5</v>
      </c>
      <c r="AD479" s="6">
        <f>IF(最佳化斷筋點!F479="","",最佳化斷筋點!F479)</f>
        <v>4</v>
      </c>
      <c r="AE479" s="6">
        <f>IF(最佳化斷筋點!G479="","",最佳化斷筋點!G479)</f>
        <v>4</v>
      </c>
      <c r="AF479" s="6">
        <f>IF(最佳化斷筋點!H479="","",最佳化斷筋點!H479)</f>
        <v>4</v>
      </c>
      <c r="AG479" s="6">
        <f>IF(最佳化斷筋點!I479="","",最佳化斷筋點!I479)</f>
        <v>3</v>
      </c>
      <c r="AH479" s="6">
        <f>IF(最佳化斷筋點!J479="","",最佳化斷筋點!J479)</f>
        <v>3</v>
      </c>
      <c r="AI479" s="6">
        <f>IF(最佳化斷筋點!K479="","",最佳化斷筋點!K479)</f>
        <v>2</v>
      </c>
      <c r="AJ479" s="6">
        <f>IF(最佳化斷筋點!L479="","",最佳化斷筋點!L479)</f>
        <v>2</v>
      </c>
      <c r="AK479" s="6">
        <f>IF(最佳化斷筋點!M479="","",最佳化斷筋點!M479)</f>
        <v>2</v>
      </c>
      <c r="AL479" s="6">
        <f>IF(最佳化斷筋點!N479="","",最佳化斷筋點!N479)</f>
        <v>2</v>
      </c>
      <c r="AM479" s="6">
        <f>IF(最佳化斷筋點!O479="","",最佳化斷筋點!O479)</f>
        <v>2</v>
      </c>
      <c r="AN479" s="6">
        <f>IF(最佳化斷筋點!P479="","",最佳化斷筋點!P479)</f>
        <v>2</v>
      </c>
      <c r="AO479" s="6">
        <f>IF(最佳化斷筋點!Q479="","",最佳化斷筋點!Q479)</f>
        <v>2</v>
      </c>
      <c r="AP479" s="6">
        <f>IF(最佳化斷筋點!R479="","",最佳化斷筋點!R479)</f>
        <v>2</v>
      </c>
      <c r="AQ479" s="6">
        <f>IF(最佳化斷筋點!S479="","",最佳化斷筋點!S479)</f>
        <v>3</v>
      </c>
      <c r="AR479" s="6">
        <f>IF(最佳化斷筋點!T479="","",最佳化斷筋點!T479)</f>
        <v>3</v>
      </c>
      <c r="AS479" s="6">
        <f>IF(最佳化斷筋點!U479="","",最佳化斷筋點!U479)</f>
        <v>4</v>
      </c>
      <c r="AT479" s="6">
        <f>IF(最佳化斷筋點!V479="","",最佳化斷筋點!V479)</f>
        <v>4</v>
      </c>
      <c r="AU479" s="6">
        <f>IF(最佳化斷筋點!W479="","",最佳化斷筋點!W479)</f>
        <v>5</v>
      </c>
      <c r="AV479" s="6">
        <f>IF(最佳化斷筋點!X479="","",最佳化斷筋點!X479)</f>
        <v>5</v>
      </c>
      <c r="AX479" s="6" t="s">
        <v>50</v>
      </c>
      <c r="AY479" s="6">
        <v>5</v>
      </c>
      <c r="AZ479" s="6">
        <v>5</v>
      </c>
      <c r="BA479" s="6">
        <v>4</v>
      </c>
      <c r="BB479" s="6">
        <v>4</v>
      </c>
      <c r="BC479" s="6">
        <v>4</v>
      </c>
      <c r="BD479" s="6">
        <v>3</v>
      </c>
      <c r="BE479" s="6">
        <v>3</v>
      </c>
      <c r="BF479" s="6">
        <v>2</v>
      </c>
      <c r="BG479" s="6">
        <v>2</v>
      </c>
      <c r="BH479" s="6">
        <v>2</v>
      </c>
      <c r="BI479" s="6">
        <v>2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</row>
    <row r="480" spans="4:71" x14ac:dyDescent="0.25">
      <c r="E480" s="6">
        <f t="shared" si="148"/>
        <v>0</v>
      </c>
      <c r="F480" s="6">
        <f t="shared" si="149"/>
        <v>0</v>
      </c>
      <c r="G480" s="6">
        <f t="shared" si="150"/>
        <v>0</v>
      </c>
      <c r="H480" s="6">
        <f t="shared" si="151"/>
        <v>0</v>
      </c>
      <c r="I480" s="6">
        <f t="shared" si="152"/>
        <v>0</v>
      </c>
      <c r="J480" s="6">
        <f t="shared" si="153"/>
        <v>0</v>
      </c>
      <c r="K480" s="6">
        <f t="shared" si="154"/>
        <v>0</v>
      </c>
      <c r="L480" s="6">
        <f t="shared" si="155"/>
        <v>0</v>
      </c>
      <c r="M480" s="6">
        <f t="shared" si="156"/>
        <v>0</v>
      </c>
      <c r="N480" s="6">
        <f t="shared" si="157"/>
        <v>0</v>
      </c>
      <c r="O480" s="6">
        <f t="shared" si="158"/>
        <v>0</v>
      </c>
      <c r="P480" s="6">
        <f t="shared" si="159"/>
        <v>0</v>
      </c>
      <c r="Q480" s="6">
        <f t="shared" si="160"/>
        <v>0</v>
      </c>
      <c r="R480" s="6">
        <f t="shared" si="161"/>
        <v>0</v>
      </c>
      <c r="S480" s="6">
        <f t="shared" si="162"/>
        <v>0</v>
      </c>
      <c r="T480" s="6">
        <f t="shared" si="163"/>
        <v>0</v>
      </c>
      <c r="U480" s="6">
        <f t="shared" si="164"/>
        <v>0</v>
      </c>
      <c r="V480" s="6">
        <f t="shared" si="165"/>
        <v>0</v>
      </c>
      <c r="W480" s="6">
        <f t="shared" si="166"/>
        <v>0</v>
      </c>
      <c r="X480" s="6">
        <f t="shared" si="167"/>
        <v>0</v>
      </c>
      <c r="Y480" s="6">
        <f t="shared" si="168"/>
        <v>0</v>
      </c>
      <c r="AA480" s="6" t="str">
        <f>IF(最佳化斷筋點!C480="","",最佳化斷筋點!C480)</f>
        <v/>
      </c>
      <c r="AB480" s="6" t="str">
        <f>IF(最佳化斷筋點!D480="","",最佳化斷筋點!D480)</f>
        <v/>
      </c>
      <c r="AC480" s="6" t="str">
        <f>IF(最佳化斷筋點!E480="","",最佳化斷筋點!E480)</f>
        <v/>
      </c>
      <c r="AD480" s="6" t="str">
        <f>IF(最佳化斷筋點!F480="","",最佳化斷筋點!F480)</f>
        <v/>
      </c>
      <c r="AE480" s="6" t="str">
        <f>IF(最佳化斷筋點!G480="","",最佳化斷筋點!G480)</f>
        <v/>
      </c>
      <c r="AF480" s="6" t="str">
        <f>IF(最佳化斷筋點!H480="","",最佳化斷筋點!H480)</f>
        <v/>
      </c>
      <c r="AG480" s="6" t="str">
        <f>IF(最佳化斷筋點!I480="","",最佳化斷筋點!I480)</f>
        <v/>
      </c>
      <c r="AH480" s="6" t="str">
        <f>IF(最佳化斷筋點!J480="","",最佳化斷筋點!J480)</f>
        <v/>
      </c>
      <c r="AI480" s="6" t="str">
        <f>IF(最佳化斷筋點!K480="","",最佳化斷筋點!K480)</f>
        <v/>
      </c>
      <c r="AJ480" s="6" t="str">
        <f>IF(最佳化斷筋點!L480="","",最佳化斷筋點!L480)</f>
        <v/>
      </c>
      <c r="AK480" s="6" t="str">
        <f>IF(最佳化斷筋點!M480="","",最佳化斷筋點!M480)</f>
        <v/>
      </c>
      <c r="AL480" s="6" t="str">
        <f>IF(最佳化斷筋點!N480="","",最佳化斷筋點!N480)</f>
        <v/>
      </c>
      <c r="AM480" s="6" t="str">
        <f>IF(最佳化斷筋點!O480="","",最佳化斷筋點!O480)</f>
        <v/>
      </c>
      <c r="AN480" s="6" t="str">
        <f>IF(最佳化斷筋點!P480="","",最佳化斷筋點!P480)</f>
        <v/>
      </c>
      <c r="AO480" s="6" t="str">
        <f>IF(最佳化斷筋點!Q480="","",最佳化斷筋點!Q480)</f>
        <v/>
      </c>
      <c r="AP480" s="6" t="str">
        <f>IF(最佳化斷筋點!R480="","",最佳化斷筋點!R480)</f>
        <v/>
      </c>
      <c r="AQ480" s="6" t="str">
        <f>IF(最佳化斷筋點!S480="","",最佳化斷筋點!S480)</f>
        <v/>
      </c>
      <c r="AR480" s="6" t="str">
        <f>IF(最佳化斷筋點!T480="","",最佳化斷筋點!T480)</f>
        <v/>
      </c>
      <c r="AS480" s="6" t="str">
        <f>IF(最佳化斷筋點!U480="","",最佳化斷筋點!U480)</f>
        <v/>
      </c>
      <c r="AT480" s="6" t="str">
        <f>IF(最佳化斷筋點!V480="","",最佳化斷筋點!V480)</f>
        <v/>
      </c>
      <c r="AU480" s="6" t="str">
        <f>IF(最佳化斷筋點!W480="","",最佳化斷筋點!W480)</f>
        <v/>
      </c>
      <c r="AV480" s="6" t="str">
        <f>IF(最佳化斷筋點!X480="","",最佳化斷筋點!X480)</f>
        <v/>
      </c>
    </row>
    <row r="481" spans="4:71" x14ac:dyDescent="0.25">
      <c r="D481" s="6" t="s">
        <v>51</v>
      </c>
      <c r="E481" s="6">
        <f t="shared" si="148"/>
        <v>0</v>
      </c>
      <c r="F481" s="6">
        <f t="shared" si="149"/>
        <v>0</v>
      </c>
      <c r="G481" s="6">
        <f t="shared" si="150"/>
        <v>0</v>
      </c>
      <c r="H481" s="6">
        <f t="shared" si="151"/>
        <v>0</v>
      </c>
      <c r="I481" s="6">
        <f t="shared" si="152"/>
        <v>0</v>
      </c>
      <c r="J481" s="6">
        <f t="shared" si="153"/>
        <v>0</v>
      </c>
      <c r="K481" s="6">
        <f t="shared" si="154"/>
        <v>0</v>
      </c>
      <c r="L481" s="6">
        <f t="shared" si="155"/>
        <v>0</v>
      </c>
      <c r="M481" s="6">
        <f t="shared" si="156"/>
        <v>0</v>
      </c>
      <c r="N481" s="6">
        <f t="shared" si="157"/>
        <v>0</v>
      </c>
      <c r="O481" s="6">
        <f t="shared" si="158"/>
        <v>0</v>
      </c>
      <c r="P481" s="6">
        <f t="shared" si="159"/>
        <v>0</v>
      </c>
      <c r="Q481" s="6">
        <f t="shared" si="160"/>
        <v>0</v>
      </c>
      <c r="R481" s="6">
        <f t="shared" si="161"/>
        <v>0</v>
      </c>
      <c r="S481" s="6">
        <f t="shared" si="162"/>
        <v>0</v>
      </c>
      <c r="T481" s="6">
        <f t="shared" si="163"/>
        <v>0</v>
      </c>
      <c r="U481" s="6">
        <f t="shared" si="164"/>
        <v>0</v>
      </c>
      <c r="V481" s="6">
        <f t="shared" si="165"/>
        <v>0</v>
      </c>
      <c r="W481" s="6">
        <f t="shared" si="166"/>
        <v>0</v>
      </c>
      <c r="X481" s="6">
        <f t="shared" si="167"/>
        <v>0</v>
      </c>
      <c r="Y481" s="6">
        <f t="shared" si="168"/>
        <v>0</v>
      </c>
      <c r="AA481" s="6" t="str">
        <f>IF(最佳化斷筋點!C481="","",最佳化斷筋點!C481)</f>
        <v>下層</v>
      </c>
      <c r="AB481" s="6">
        <f>IF(最佳化斷筋點!D481="","",最佳化斷筋點!D481)</f>
        <v>3</v>
      </c>
      <c r="AC481" s="6">
        <f>IF(最佳化斷筋點!E481="","",最佳化斷筋點!E481)</f>
        <v>3</v>
      </c>
      <c r="AD481" s="6">
        <f>IF(最佳化斷筋點!F481="","",最佳化斷筋點!F481)</f>
        <v>3</v>
      </c>
      <c r="AE481" s="6">
        <f>IF(最佳化斷筋點!G481="","",最佳化斷筋點!G481)</f>
        <v>3</v>
      </c>
      <c r="AF481" s="6">
        <f>IF(最佳化斷筋點!H481="","",最佳化斷筋點!H481)</f>
        <v>3</v>
      </c>
      <c r="AG481" s="6">
        <f>IF(最佳化斷筋點!I481="","",最佳化斷筋點!I481)</f>
        <v>3</v>
      </c>
      <c r="AH481" s="6">
        <f>IF(最佳化斷筋點!J481="","",最佳化斷筋點!J481)</f>
        <v>4</v>
      </c>
      <c r="AI481" s="6">
        <f>IF(最佳化斷筋點!K481="","",最佳化斷筋點!K481)</f>
        <v>4</v>
      </c>
      <c r="AJ481" s="6">
        <f>IF(最佳化斷筋點!L481="","",最佳化斷筋點!L481)</f>
        <v>4</v>
      </c>
      <c r="AK481" s="6">
        <f>IF(最佳化斷筋點!M481="","",最佳化斷筋點!M481)</f>
        <v>4</v>
      </c>
      <c r="AL481" s="6">
        <f>IF(最佳化斷筋點!N481="","",最佳化斷筋點!N481)</f>
        <v>4</v>
      </c>
      <c r="AM481" s="6">
        <f>IF(最佳化斷筋點!O481="","",最佳化斷筋點!O481)</f>
        <v>4</v>
      </c>
      <c r="AN481" s="6">
        <f>IF(最佳化斷筋點!P481="","",最佳化斷筋點!P481)</f>
        <v>4</v>
      </c>
      <c r="AO481" s="6">
        <f>IF(最佳化斷筋點!Q481="","",最佳化斷筋點!Q481)</f>
        <v>4</v>
      </c>
      <c r="AP481" s="6">
        <f>IF(最佳化斷筋點!R481="","",最佳化斷筋點!R481)</f>
        <v>4</v>
      </c>
      <c r="AQ481" s="6">
        <f>IF(最佳化斷筋點!S481="","",最佳化斷筋點!S481)</f>
        <v>3</v>
      </c>
      <c r="AR481" s="6">
        <f>IF(最佳化斷筋點!T481="","",最佳化斷筋點!T481)</f>
        <v>3</v>
      </c>
      <c r="AS481" s="6">
        <f>IF(最佳化斷筋點!U481="","",最佳化斷筋點!U481)</f>
        <v>3</v>
      </c>
      <c r="AT481" s="6">
        <f>IF(最佳化斷筋點!V481="","",最佳化斷筋點!V481)</f>
        <v>3</v>
      </c>
      <c r="AU481" s="6">
        <f>IF(最佳化斷筋點!W481="","",最佳化斷筋點!W481)</f>
        <v>3</v>
      </c>
      <c r="AV481" s="6">
        <f>IF(最佳化斷筋點!X481="","",最佳化斷筋點!X481)</f>
        <v>3</v>
      </c>
      <c r="AX481" s="6" t="s">
        <v>51</v>
      </c>
      <c r="AY481" s="6">
        <v>3</v>
      </c>
      <c r="AZ481" s="6">
        <v>3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3</v>
      </c>
      <c r="BO481" s="6">
        <v>3</v>
      </c>
      <c r="BP481" s="6">
        <v>3</v>
      </c>
      <c r="BQ481" s="6">
        <v>3</v>
      </c>
      <c r="BR481" s="6">
        <v>3</v>
      </c>
      <c r="BS481" s="6">
        <v>3</v>
      </c>
    </row>
    <row r="482" spans="4:71" x14ac:dyDescent="0.25">
      <c r="E482" s="6">
        <f t="shared" si="148"/>
        <v>0</v>
      </c>
      <c r="F482" s="6">
        <f t="shared" si="149"/>
        <v>0</v>
      </c>
      <c r="G482" s="6">
        <f t="shared" si="150"/>
        <v>0</v>
      </c>
      <c r="H482" s="6">
        <f t="shared" si="151"/>
        <v>0</v>
      </c>
      <c r="I482" s="6">
        <f t="shared" si="152"/>
        <v>0</v>
      </c>
      <c r="J482" s="6">
        <f t="shared" si="153"/>
        <v>0</v>
      </c>
      <c r="K482" s="6">
        <f t="shared" si="154"/>
        <v>0</v>
      </c>
      <c r="L482" s="6">
        <f t="shared" si="155"/>
        <v>0</v>
      </c>
      <c r="M482" s="6">
        <f t="shared" si="156"/>
        <v>0</v>
      </c>
      <c r="N482" s="6">
        <f t="shared" si="157"/>
        <v>0</v>
      </c>
      <c r="O482" s="6">
        <f t="shared" si="158"/>
        <v>0</v>
      </c>
      <c r="P482" s="6">
        <f t="shared" si="159"/>
        <v>0</v>
      </c>
      <c r="Q482" s="6">
        <f t="shared" si="160"/>
        <v>0</v>
      </c>
      <c r="R482" s="6">
        <f t="shared" si="161"/>
        <v>0</v>
      </c>
      <c r="S482" s="6">
        <f t="shared" si="162"/>
        <v>0</v>
      </c>
      <c r="T482" s="6">
        <f t="shared" si="163"/>
        <v>0</v>
      </c>
      <c r="U482" s="6">
        <f t="shared" si="164"/>
        <v>0</v>
      </c>
      <c r="V482" s="6">
        <f t="shared" si="165"/>
        <v>0</v>
      </c>
      <c r="W482" s="6">
        <f t="shared" si="166"/>
        <v>0</v>
      </c>
      <c r="X482" s="6">
        <f t="shared" si="167"/>
        <v>0</v>
      </c>
      <c r="Y482" s="6">
        <f t="shared" si="168"/>
        <v>0</v>
      </c>
      <c r="AA482" s="6" t="str">
        <f>IF(最佳化斷筋點!C482="","",最佳化斷筋點!C482)</f>
        <v/>
      </c>
      <c r="AB482" s="6" t="str">
        <f>IF(最佳化斷筋點!D482="","",最佳化斷筋點!D482)</f>
        <v/>
      </c>
      <c r="AC482" s="6" t="str">
        <f>IF(最佳化斷筋點!E482="","",最佳化斷筋點!E482)</f>
        <v/>
      </c>
      <c r="AD482" s="6" t="str">
        <f>IF(最佳化斷筋點!F482="","",最佳化斷筋點!F482)</f>
        <v/>
      </c>
      <c r="AE482" s="6" t="str">
        <f>IF(最佳化斷筋點!G482="","",最佳化斷筋點!G482)</f>
        <v/>
      </c>
      <c r="AF482" s="6" t="str">
        <f>IF(最佳化斷筋點!H482="","",最佳化斷筋點!H482)</f>
        <v/>
      </c>
      <c r="AG482" s="6" t="str">
        <f>IF(最佳化斷筋點!I482="","",最佳化斷筋點!I482)</f>
        <v/>
      </c>
      <c r="AH482" s="6" t="str">
        <f>IF(最佳化斷筋點!J482="","",最佳化斷筋點!J482)</f>
        <v/>
      </c>
      <c r="AI482" s="6" t="str">
        <f>IF(最佳化斷筋點!K482="","",最佳化斷筋點!K482)</f>
        <v/>
      </c>
      <c r="AJ482" s="6" t="str">
        <f>IF(最佳化斷筋點!L482="","",最佳化斷筋點!L482)</f>
        <v/>
      </c>
      <c r="AK482" s="6" t="str">
        <f>IF(最佳化斷筋點!M482="","",最佳化斷筋點!M482)</f>
        <v/>
      </c>
      <c r="AL482" s="6" t="str">
        <f>IF(最佳化斷筋點!N482="","",最佳化斷筋點!N482)</f>
        <v/>
      </c>
      <c r="AM482" s="6" t="str">
        <f>IF(最佳化斷筋點!O482="","",最佳化斷筋點!O482)</f>
        <v/>
      </c>
      <c r="AN482" s="6" t="str">
        <f>IF(最佳化斷筋點!P482="","",最佳化斷筋點!P482)</f>
        <v/>
      </c>
      <c r="AO482" s="6" t="str">
        <f>IF(最佳化斷筋點!Q482="","",最佳化斷筋點!Q482)</f>
        <v/>
      </c>
      <c r="AP482" s="6" t="str">
        <f>IF(最佳化斷筋點!R482="","",最佳化斷筋點!R482)</f>
        <v/>
      </c>
      <c r="AQ482" s="6" t="str">
        <f>IF(最佳化斷筋點!S482="","",最佳化斷筋點!S482)</f>
        <v/>
      </c>
      <c r="AR482" s="6" t="str">
        <f>IF(最佳化斷筋點!T482="","",最佳化斷筋點!T482)</f>
        <v/>
      </c>
      <c r="AS482" s="6" t="str">
        <f>IF(最佳化斷筋點!U482="","",最佳化斷筋點!U482)</f>
        <v/>
      </c>
      <c r="AT482" s="6" t="str">
        <f>IF(最佳化斷筋點!V482="","",最佳化斷筋點!V482)</f>
        <v/>
      </c>
      <c r="AU482" s="6" t="str">
        <f>IF(最佳化斷筋點!W482="","",最佳化斷筋點!W482)</f>
        <v/>
      </c>
      <c r="AV482" s="6" t="str">
        <f>IF(最佳化斷筋點!X482="","",最佳化斷筋點!X482)</f>
        <v/>
      </c>
    </row>
    <row r="483" spans="4:71" x14ac:dyDescent="0.25">
      <c r="D483" s="6" t="s">
        <v>50</v>
      </c>
      <c r="E483" s="6">
        <f t="shared" si="148"/>
        <v>0</v>
      </c>
      <c r="F483" s="6">
        <f t="shared" si="149"/>
        <v>0</v>
      </c>
      <c r="G483" s="6">
        <f t="shared" si="150"/>
        <v>0</v>
      </c>
      <c r="H483" s="6">
        <f t="shared" si="151"/>
        <v>0</v>
      </c>
      <c r="I483" s="6">
        <f t="shared" si="152"/>
        <v>0</v>
      </c>
      <c r="J483" s="6">
        <f t="shared" si="153"/>
        <v>0</v>
      </c>
      <c r="K483" s="6">
        <f t="shared" si="154"/>
        <v>0</v>
      </c>
      <c r="L483" s="6">
        <f t="shared" si="155"/>
        <v>0</v>
      </c>
      <c r="M483" s="6">
        <f t="shared" si="156"/>
        <v>0</v>
      </c>
      <c r="N483" s="6">
        <f t="shared" si="157"/>
        <v>0</v>
      </c>
      <c r="O483" s="6">
        <f t="shared" si="158"/>
        <v>0</v>
      </c>
      <c r="P483" s="6">
        <f t="shared" si="159"/>
        <v>0</v>
      </c>
      <c r="Q483" s="6">
        <f t="shared" si="160"/>
        <v>0</v>
      </c>
      <c r="R483" s="6">
        <f t="shared" si="161"/>
        <v>0</v>
      </c>
      <c r="S483" s="6">
        <f t="shared" si="162"/>
        <v>0</v>
      </c>
      <c r="T483" s="6">
        <f t="shared" si="163"/>
        <v>0</v>
      </c>
      <c r="U483" s="6">
        <f t="shared" si="164"/>
        <v>0</v>
      </c>
      <c r="V483" s="6">
        <f t="shared" si="165"/>
        <v>0</v>
      </c>
      <c r="W483" s="6">
        <f t="shared" si="166"/>
        <v>0</v>
      </c>
      <c r="X483" s="6">
        <f t="shared" si="167"/>
        <v>0</v>
      </c>
      <c r="Y483" s="6">
        <f t="shared" si="168"/>
        <v>0</v>
      </c>
      <c r="AA483" s="6" t="str">
        <f>IF(最佳化斷筋點!C483="","",最佳化斷筋點!C483)</f>
        <v>上層</v>
      </c>
      <c r="AB483" s="6">
        <f>IF(最佳化斷筋點!D483="","",最佳化斷筋點!D483)</f>
        <v>5</v>
      </c>
      <c r="AC483" s="6">
        <f>IF(最佳化斷筋點!E483="","",最佳化斷筋點!E483)</f>
        <v>5</v>
      </c>
      <c r="AD483" s="6">
        <f>IF(最佳化斷筋點!F483="","",最佳化斷筋點!F483)</f>
        <v>4</v>
      </c>
      <c r="AE483" s="6">
        <f>IF(最佳化斷筋點!G483="","",最佳化斷筋點!G483)</f>
        <v>4</v>
      </c>
      <c r="AF483" s="6">
        <f>IF(最佳化斷筋點!H483="","",最佳化斷筋點!H483)</f>
        <v>4</v>
      </c>
      <c r="AG483" s="6">
        <f>IF(最佳化斷筋點!I483="","",最佳化斷筋點!I483)</f>
        <v>3</v>
      </c>
      <c r="AH483" s="6">
        <f>IF(最佳化斷筋點!J483="","",最佳化斷筋點!J483)</f>
        <v>3</v>
      </c>
      <c r="AI483" s="6">
        <f>IF(最佳化斷筋點!K483="","",最佳化斷筋點!K483)</f>
        <v>2</v>
      </c>
      <c r="AJ483" s="6">
        <f>IF(最佳化斷筋點!L483="","",最佳化斷筋點!L483)</f>
        <v>2</v>
      </c>
      <c r="AK483" s="6">
        <f>IF(最佳化斷筋點!M483="","",最佳化斷筋點!M483)</f>
        <v>2</v>
      </c>
      <c r="AL483" s="6">
        <f>IF(最佳化斷筋點!N483="","",最佳化斷筋點!N483)</f>
        <v>2</v>
      </c>
      <c r="AM483" s="6">
        <f>IF(最佳化斷筋點!O483="","",最佳化斷筋點!O483)</f>
        <v>2</v>
      </c>
      <c r="AN483" s="6">
        <f>IF(最佳化斷筋點!P483="","",最佳化斷筋點!P483)</f>
        <v>2</v>
      </c>
      <c r="AO483" s="6">
        <f>IF(最佳化斷筋點!Q483="","",最佳化斷筋點!Q483)</f>
        <v>2</v>
      </c>
      <c r="AP483" s="6">
        <f>IF(最佳化斷筋點!R483="","",最佳化斷筋點!R483)</f>
        <v>2</v>
      </c>
      <c r="AQ483" s="6">
        <f>IF(最佳化斷筋點!S483="","",最佳化斷筋點!S483)</f>
        <v>3</v>
      </c>
      <c r="AR483" s="6">
        <f>IF(最佳化斷筋點!T483="","",最佳化斷筋點!T483)</f>
        <v>3</v>
      </c>
      <c r="AS483" s="6">
        <f>IF(最佳化斷筋點!U483="","",最佳化斷筋點!U483)</f>
        <v>4</v>
      </c>
      <c r="AT483" s="6">
        <f>IF(最佳化斷筋點!V483="","",最佳化斷筋點!V483)</f>
        <v>4</v>
      </c>
      <c r="AU483" s="6">
        <f>IF(最佳化斷筋點!W483="","",最佳化斷筋點!W483)</f>
        <v>5</v>
      </c>
      <c r="AV483" s="6">
        <f>IF(最佳化斷筋點!X483="","",最佳化斷筋點!X483)</f>
        <v>5</v>
      </c>
      <c r="AX483" s="6" t="s">
        <v>50</v>
      </c>
      <c r="AY483" s="6">
        <v>5</v>
      </c>
      <c r="AZ483" s="6">
        <v>5</v>
      </c>
      <c r="BA483" s="6">
        <v>4</v>
      </c>
      <c r="BB483" s="6">
        <v>4</v>
      </c>
      <c r="BC483" s="6">
        <v>4</v>
      </c>
      <c r="BD483" s="6">
        <v>3</v>
      </c>
      <c r="BE483" s="6">
        <v>3</v>
      </c>
      <c r="BF483" s="6">
        <v>2</v>
      </c>
      <c r="BG483" s="6">
        <v>2</v>
      </c>
      <c r="BH483" s="6">
        <v>2</v>
      </c>
      <c r="BI483" s="6">
        <v>2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</row>
    <row r="484" spans="4:71" x14ac:dyDescent="0.25">
      <c r="E484" s="6">
        <f t="shared" si="148"/>
        <v>0</v>
      </c>
      <c r="F484" s="6">
        <f t="shared" si="149"/>
        <v>0</v>
      </c>
      <c r="G484" s="6">
        <f t="shared" si="150"/>
        <v>0</v>
      </c>
      <c r="H484" s="6">
        <f t="shared" si="151"/>
        <v>0</v>
      </c>
      <c r="I484" s="6">
        <f t="shared" si="152"/>
        <v>0</v>
      </c>
      <c r="J484" s="6">
        <f t="shared" si="153"/>
        <v>0</v>
      </c>
      <c r="K484" s="6">
        <f t="shared" si="154"/>
        <v>0</v>
      </c>
      <c r="L484" s="6">
        <f t="shared" si="155"/>
        <v>0</v>
      </c>
      <c r="M484" s="6">
        <f t="shared" si="156"/>
        <v>0</v>
      </c>
      <c r="N484" s="6">
        <f t="shared" si="157"/>
        <v>0</v>
      </c>
      <c r="O484" s="6">
        <f t="shared" si="158"/>
        <v>0</v>
      </c>
      <c r="P484" s="6">
        <f t="shared" si="159"/>
        <v>0</v>
      </c>
      <c r="Q484" s="6">
        <f t="shared" si="160"/>
        <v>0</v>
      </c>
      <c r="R484" s="6">
        <f t="shared" si="161"/>
        <v>0</v>
      </c>
      <c r="S484" s="6">
        <f t="shared" si="162"/>
        <v>0</v>
      </c>
      <c r="T484" s="6">
        <f t="shared" si="163"/>
        <v>0</v>
      </c>
      <c r="U484" s="6">
        <f t="shared" si="164"/>
        <v>0</v>
      </c>
      <c r="V484" s="6">
        <f t="shared" si="165"/>
        <v>0</v>
      </c>
      <c r="W484" s="6">
        <f t="shared" si="166"/>
        <v>0</v>
      </c>
      <c r="X484" s="6">
        <f t="shared" si="167"/>
        <v>0</v>
      </c>
      <c r="Y484" s="6">
        <f t="shared" si="168"/>
        <v>0</v>
      </c>
      <c r="AA484" s="6" t="str">
        <f>IF(最佳化斷筋點!C484="","",最佳化斷筋點!C484)</f>
        <v/>
      </c>
      <c r="AB484" s="6" t="str">
        <f>IF(最佳化斷筋點!D484="","",最佳化斷筋點!D484)</f>
        <v/>
      </c>
      <c r="AC484" s="6" t="str">
        <f>IF(最佳化斷筋點!E484="","",最佳化斷筋點!E484)</f>
        <v/>
      </c>
      <c r="AD484" s="6" t="str">
        <f>IF(最佳化斷筋點!F484="","",最佳化斷筋點!F484)</f>
        <v/>
      </c>
      <c r="AE484" s="6" t="str">
        <f>IF(最佳化斷筋點!G484="","",最佳化斷筋點!G484)</f>
        <v/>
      </c>
      <c r="AF484" s="6" t="str">
        <f>IF(最佳化斷筋點!H484="","",最佳化斷筋點!H484)</f>
        <v/>
      </c>
      <c r="AG484" s="6" t="str">
        <f>IF(最佳化斷筋點!I484="","",最佳化斷筋點!I484)</f>
        <v/>
      </c>
      <c r="AH484" s="6" t="str">
        <f>IF(最佳化斷筋點!J484="","",最佳化斷筋點!J484)</f>
        <v/>
      </c>
      <c r="AI484" s="6" t="str">
        <f>IF(最佳化斷筋點!K484="","",最佳化斷筋點!K484)</f>
        <v/>
      </c>
      <c r="AJ484" s="6" t="str">
        <f>IF(最佳化斷筋點!L484="","",最佳化斷筋點!L484)</f>
        <v/>
      </c>
      <c r="AK484" s="6" t="str">
        <f>IF(最佳化斷筋點!M484="","",最佳化斷筋點!M484)</f>
        <v/>
      </c>
      <c r="AL484" s="6" t="str">
        <f>IF(最佳化斷筋點!N484="","",最佳化斷筋點!N484)</f>
        <v/>
      </c>
      <c r="AM484" s="6" t="str">
        <f>IF(最佳化斷筋點!O484="","",最佳化斷筋點!O484)</f>
        <v/>
      </c>
      <c r="AN484" s="6" t="str">
        <f>IF(最佳化斷筋點!P484="","",最佳化斷筋點!P484)</f>
        <v/>
      </c>
      <c r="AO484" s="6" t="str">
        <f>IF(最佳化斷筋點!Q484="","",最佳化斷筋點!Q484)</f>
        <v/>
      </c>
      <c r="AP484" s="6" t="str">
        <f>IF(最佳化斷筋點!R484="","",最佳化斷筋點!R484)</f>
        <v/>
      </c>
      <c r="AQ484" s="6" t="str">
        <f>IF(最佳化斷筋點!S484="","",最佳化斷筋點!S484)</f>
        <v/>
      </c>
      <c r="AR484" s="6" t="str">
        <f>IF(最佳化斷筋點!T484="","",最佳化斷筋點!T484)</f>
        <v/>
      </c>
      <c r="AS484" s="6" t="str">
        <f>IF(最佳化斷筋點!U484="","",最佳化斷筋點!U484)</f>
        <v/>
      </c>
      <c r="AT484" s="6" t="str">
        <f>IF(最佳化斷筋點!V484="","",最佳化斷筋點!V484)</f>
        <v/>
      </c>
      <c r="AU484" s="6" t="str">
        <f>IF(最佳化斷筋點!W484="","",最佳化斷筋點!W484)</f>
        <v/>
      </c>
      <c r="AV484" s="6" t="str">
        <f>IF(最佳化斷筋點!X484="","",最佳化斷筋點!X484)</f>
        <v/>
      </c>
    </row>
    <row r="485" spans="4:71" x14ac:dyDescent="0.25">
      <c r="D485" s="6" t="s">
        <v>51</v>
      </c>
      <c r="E485" s="6">
        <f t="shared" si="148"/>
        <v>0</v>
      </c>
      <c r="F485" s="6">
        <f t="shared" si="149"/>
        <v>0</v>
      </c>
      <c r="G485" s="6">
        <f t="shared" si="150"/>
        <v>0</v>
      </c>
      <c r="H485" s="6">
        <f t="shared" si="151"/>
        <v>0</v>
      </c>
      <c r="I485" s="6">
        <f t="shared" si="152"/>
        <v>0</v>
      </c>
      <c r="J485" s="6">
        <f t="shared" si="153"/>
        <v>0</v>
      </c>
      <c r="K485" s="6">
        <f t="shared" si="154"/>
        <v>0</v>
      </c>
      <c r="L485" s="6">
        <f t="shared" si="155"/>
        <v>0</v>
      </c>
      <c r="M485" s="6">
        <f t="shared" si="156"/>
        <v>0</v>
      </c>
      <c r="N485" s="6">
        <f t="shared" si="157"/>
        <v>0</v>
      </c>
      <c r="O485" s="6">
        <f t="shared" si="158"/>
        <v>0</v>
      </c>
      <c r="P485" s="6">
        <f t="shared" si="159"/>
        <v>0</v>
      </c>
      <c r="Q485" s="6">
        <f t="shared" si="160"/>
        <v>0</v>
      </c>
      <c r="R485" s="6">
        <f t="shared" si="161"/>
        <v>0</v>
      </c>
      <c r="S485" s="6">
        <f t="shared" si="162"/>
        <v>0</v>
      </c>
      <c r="T485" s="6">
        <f t="shared" si="163"/>
        <v>0</v>
      </c>
      <c r="U485" s="6">
        <f t="shared" si="164"/>
        <v>0</v>
      </c>
      <c r="V485" s="6">
        <f t="shared" si="165"/>
        <v>0</v>
      </c>
      <c r="W485" s="6">
        <f t="shared" si="166"/>
        <v>0</v>
      </c>
      <c r="X485" s="6">
        <f t="shared" si="167"/>
        <v>0</v>
      </c>
      <c r="Y485" s="6">
        <f t="shared" si="168"/>
        <v>0</v>
      </c>
      <c r="AA485" s="6" t="str">
        <f>IF(最佳化斷筋點!C485="","",最佳化斷筋點!C485)</f>
        <v>下層</v>
      </c>
      <c r="AB485" s="6">
        <f>IF(最佳化斷筋點!D485="","",最佳化斷筋點!D485)</f>
        <v>3</v>
      </c>
      <c r="AC485" s="6">
        <f>IF(最佳化斷筋點!E485="","",最佳化斷筋點!E485)</f>
        <v>3</v>
      </c>
      <c r="AD485" s="6">
        <f>IF(最佳化斷筋點!F485="","",最佳化斷筋點!F485)</f>
        <v>3</v>
      </c>
      <c r="AE485" s="6">
        <f>IF(最佳化斷筋點!G485="","",最佳化斷筋點!G485)</f>
        <v>3</v>
      </c>
      <c r="AF485" s="6">
        <f>IF(最佳化斷筋點!H485="","",最佳化斷筋點!H485)</f>
        <v>3</v>
      </c>
      <c r="AG485" s="6">
        <f>IF(最佳化斷筋點!I485="","",最佳化斷筋點!I485)</f>
        <v>3</v>
      </c>
      <c r="AH485" s="6">
        <f>IF(最佳化斷筋點!J485="","",最佳化斷筋點!J485)</f>
        <v>4</v>
      </c>
      <c r="AI485" s="6">
        <f>IF(最佳化斷筋點!K485="","",最佳化斷筋點!K485)</f>
        <v>4</v>
      </c>
      <c r="AJ485" s="6">
        <f>IF(最佳化斷筋點!L485="","",最佳化斷筋點!L485)</f>
        <v>4</v>
      </c>
      <c r="AK485" s="6">
        <f>IF(最佳化斷筋點!M485="","",最佳化斷筋點!M485)</f>
        <v>4</v>
      </c>
      <c r="AL485" s="6">
        <f>IF(最佳化斷筋點!N485="","",最佳化斷筋點!N485)</f>
        <v>4</v>
      </c>
      <c r="AM485" s="6">
        <f>IF(最佳化斷筋點!O485="","",最佳化斷筋點!O485)</f>
        <v>4</v>
      </c>
      <c r="AN485" s="6">
        <f>IF(最佳化斷筋點!P485="","",最佳化斷筋點!P485)</f>
        <v>4</v>
      </c>
      <c r="AO485" s="6">
        <f>IF(最佳化斷筋點!Q485="","",最佳化斷筋點!Q485)</f>
        <v>4</v>
      </c>
      <c r="AP485" s="6">
        <f>IF(最佳化斷筋點!R485="","",最佳化斷筋點!R485)</f>
        <v>4</v>
      </c>
      <c r="AQ485" s="6">
        <f>IF(最佳化斷筋點!S485="","",最佳化斷筋點!S485)</f>
        <v>3</v>
      </c>
      <c r="AR485" s="6">
        <f>IF(最佳化斷筋點!T485="","",最佳化斷筋點!T485)</f>
        <v>3</v>
      </c>
      <c r="AS485" s="6">
        <f>IF(最佳化斷筋點!U485="","",最佳化斷筋點!U485)</f>
        <v>3</v>
      </c>
      <c r="AT485" s="6">
        <f>IF(最佳化斷筋點!V485="","",最佳化斷筋點!V485)</f>
        <v>3</v>
      </c>
      <c r="AU485" s="6">
        <f>IF(最佳化斷筋點!W485="","",最佳化斷筋點!W485)</f>
        <v>3</v>
      </c>
      <c r="AV485" s="6">
        <f>IF(最佳化斷筋點!X485="","",最佳化斷筋點!X485)</f>
        <v>3</v>
      </c>
      <c r="AX485" s="6" t="s">
        <v>51</v>
      </c>
      <c r="AY485" s="6">
        <v>3</v>
      </c>
      <c r="AZ485" s="6">
        <v>3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3</v>
      </c>
      <c r="BO485" s="6">
        <v>3</v>
      </c>
      <c r="BP485" s="6">
        <v>3</v>
      </c>
      <c r="BQ485" s="6">
        <v>3</v>
      </c>
      <c r="BR485" s="6">
        <v>3</v>
      </c>
      <c r="BS485" s="6">
        <v>3</v>
      </c>
    </row>
    <row r="486" spans="4:71" x14ac:dyDescent="0.25">
      <c r="E486" s="6">
        <f t="shared" si="148"/>
        <v>0</v>
      </c>
      <c r="F486" s="6">
        <f t="shared" si="149"/>
        <v>0</v>
      </c>
      <c r="G486" s="6">
        <f t="shared" si="150"/>
        <v>0</v>
      </c>
      <c r="H486" s="6">
        <f t="shared" si="151"/>
        <v>0</v>
      </c>
      <c r="I486" s="6">
        <f t="shared" si="152"/>
        <v>0</v>
      </c>
      <c r="J486" s="6">
        <f t="shared" si="153"/>
        <v>0</v>
      </c>
      <c r="K486" s="6">
        <f t="shared" si="154"/>
        <v>0</v>
      </c>
      <c r="L486" s="6">
        <f t="shared" si="155"/>
        <v>0</v>
      </c>
      <c r="M486" s="6">
        <f t="shared" si="156"/>
        <v>0</v>
      </c>
      <c r="N486" s="6">
        <f t="shared" si="157"/>
        <v>0</v>
      </c>
      <c r="O486" s="6">
        <f t="shared" si="158"/>
        <v>0</v>
      </c>
      <c r="P486" s="6">
        <f t="shared" si="159"/>
        <v>0</v>
      </c>
      <c r="Q486" s="6">
        <f t="shared" si="160"/>
        <v>0</v>
      </c>
      <c r="R486" s="6">
        <f t="shared" si="161"/>
        <v>0</v>
      </c>
      <c r="S486" s="6">
        <f t="shared" si="162"/>
        <v>0</v>
      </c>
      <c r="T486" s="6">
        <f t="shared" si="163"/>
        <v>0</v>
      </c>
      <c r="U486" s="6">
        <f t="shared" si="164"/>
        <v>0</v>
      </c>
      <c r="V486" s="6">
        <f t="shared" si="165"/>
        <v>0</v>
      </c>
      <c r="W486" s="6">
        <f t="shared" si="166"/>
        <v>0</v>
      </c>
      <c r="X486" s="6">
        <f t="shared" si="167"/>
        <v>0</v>
      </c>
      <c r="Y486" s="6">
        <f t="shared" si="168"/>
        <v>0</v>
      </c>
      <c r="AA486" s="6" t="str">
        <f>IF(最佳化斷筋點!C486="","",最佳化斷筋點!C486)</f>
        <v/>
      </c>
      <c r="AB486" s="6" t="str">
        <f>IF(最佳化斷筋點!D486="","",最佳化斷筋點!D486)</f>
        <v/>
      </c>
      <c r="AC486" s="6" t="str">
        <f>IF(最佳化斷筋點!E486="","",最佳化斷筋點!E486)</f>
        <v/>
      </c>
      <c r="AD486" s="6" t="str">
        <f>IF(最佳化斷筋點!F486="","",最佳化斷筋點!F486)</f>
        <v/>
      </c>
      <c r="AE486" s="6" t="str">
        <f>IF(最佳化斷筋點!G486="","",最佳化斷筋點!G486)</f>
        <v/>
      </c>
      <c r="AF486" s="6" t="str">
        <f>IF(最佳化斷筋點!H486="","",最佳化斷筋點!H486)</f>
        <v/>
      </c>
      <c r="AG486" s="6" t="str">
        <f>IF(最佳化斷筋點!I486="","",最佳化斷筋點!I486)</f>
        <v/>
      </c>
      <c r="AH486" s="6" t="str">
        <f>IF(最佳化斷筋點!J486="","",最佳化斷筋點!J486)</f>
        <v/>
      </c>
      <c r="AI486" s="6" t="str">
        <f>IF(最佳化斷筋點!K486="","",最佳化斷筋點!K486)</f>
        <v/>
      </c>
      <c r="AJ486" s="6" t="str">
        <f>IF(最佳化斷筋點!L486="","",最佳化斷筋點!L486)</f>
        <v/>
      </c>
      <c r="AK486" s="6" t="str">
        <f>IF(最佳化斷筋點!M486="","",最佳化斷筋點!M486)</f>
        <v/>
      </c>
      <c r="AL486" s="6" t="str">
        <f>IF(最佳化斷筋點!N486="","",最佳化斷筋點!N486)</f>
        <v/>
      </c>
      <c r="AM486" s="6" t="str">
        <f>IF(最佳化斷筋點!O486="","",最佳化斷筋點!O486)</f>
        <v/>
      </c>
      <c r="AN486" s="6" t="str">
        <f>IF(最佳化斷筋點!P486="","",最佳化斷筋點!P486)</f>
        <v/>
      </c>
      <c r="AO486" s="6" t="str">
        <f>IF(最佳化斷筋點!Q486="","",最佳化斷筋點!Q486)</f>
        <v/>
      </c>
      <c r="AP486" s="6" t="str">
        <f>IF(最佳化斷筋點!R486="","",最佳化斷筋點!R486)</f>
        <v/>
      </c>
      <c r="AQ486" s="6" t="str">
        <f>IF(最佳化斷筋點!S486="","",最佳化斷筋點!S486)</f>
        <v/>
      </c>
      <c r="AR486" s="6" t="str">
        <f>IF(最佳化斷筋點!T486="","",最佳化斷筋點!T486)</f>
        <v/>
      </c>
      <c r="AS486" s="6" t="str">
        <f>IF(最佳化斷筋點!U486="","",最佳化斷筋點!U486)</f>
        <v/>
      </c>
      <c r="AT486" s="6" t="str">
        <f>IF(最佳化斷筋點!V486="","",最佳化斷筋點!V486)</f>
        <v/>
      </c>
      <c r="AU486" s="6" t="str">
        <f>IF(最佳化斷筋點!W486="","",最佳化斷筋點!W486)</f>
        <v/>
      </c>
      <c r="AV486" s="6" t="str">
        <f>IF(最佳化斷筋點!X486="","",最佳化斷筋點!X486)</f>
        <v/>
      </c>
    </row>
    <row r="487" spans="4:71" x14ac:dyDescent="0.25">
      <c r="D487" s="6" t="s">
        <v>50</v>
      </c>
      <c r="E487" s="6">
        <f t="shared" si="148"/>
        <v>0</v>
      </c>
      <c r="F487" s="6">
        <f t="shared" si="149"/>
        <v>0</v>
      </c>
      <c r="G487" s="6">
        <f t="shared" si="150"/>
        <v>0</v>
      </c>
      <c r="H487" s="6">
        <f t="shared" si="151"/>
        <v>0</v>
      </c>
      <c r="I487" s="6">
        <f t="shared" si="152"/>
        <v>0</v>
      </c>
      <c r="J487" s="6">
        <f t="shared" si="153"/>
        <v>0</v>
      </c>
      <c r="K487" s="6">
        <f t="shared" si="154"/>
        <v>0</v>
      </c>
      <c r="L487" s="6">
        <f t="shared" si="155"/>
        <v>0</v>
      </c>
      <c r="M487" s="6">
        <f t="shared" si="156"/>
        <v>0</v>
      </c>
      <c r="N487" s="6">
        <f t="shared" si="157"/>
        <v>0</v>
      </c>
      <c r="O487" s="6">
        <f t="shared" si="158"/>
        <v>0</v>
      </c>
      <c r="P487" s="6">
        <f t="shared" si="159"/>
        <v>0</v>
      </c>
      <c r="Q487" s="6">
        <f t="shared" si="160"/>
        <v>0</v>
      </c>
      <c r="R487" s="6">
        <f t="shared" si="161"/>
        <v>0</v>
      </c>
      <c r="S487" s="6">
        <f t="shared" si="162"/>
        <v>0</v>
      </c>
      <c r="T487" s="6">
        <f t="shared" si="163"/>
        <v>0</v>
      </c>
      <c r="U487" s="6">
        <f t="shared" si="164"/>
        <v>0</v>
      </c>
      <c r="V487" s="6">
        <f t="shared" si="165"/>
        <v>0</v>
      </c>
      <c r="W487" s="6">
        <f t="shared" si="166"/>
        <v>0</v>
      </c>
      <c r="X487" s="6">
        <f t="shared" si="167"/>
        <v>0</v>
      </c>
      <c r="Y487" s="6">
        <f t="shared" si="168"/>
        <v>0</v>
      </c>
      <c r="AA487" s="6" t="str">
        <f>IF(最佳化斷筋點!C487="","",最佳化斷筋點!C487)</f>
        <v>上層</v>
      </c>
      <c r="AB487" s="6">
        <f>IF(最佳化斷筋點!D487="","",最佳化斷筋點!D487)</f>
        <v>5</v>
      </c>
      <c r="AC487" s="6">
        <f>IF(最佳化斷筋點!E487="","",最佳化斷筋點!E487)</f>
        <v>5</v>
      </c>
      <c r="AD487" s="6">
        <f>IF(最佳化斷筋點!F487="","",最佳化斷筋點!F487)</f>
        <v>4</v>
      </c>
      <c r="AE487" s="6">
        <f>IF(最佳化斷筋點!G487="","",最佳化斷筋點!G487)</f>
        <v>4</v>
      </c>
      <c r="AF487" s="6">
        <f>IF(最佳化斷筋點!H487="","",最佳化斷筋點!H487)</f>
        <v>4</v>
      </c>
      <c r="AG487" s="6">
        <f>IF(最佳化斷筋點!I487="","",最佳化斷筋點!I487)</f>
        <v>3</v>
      </c>
      <c r="AH487" s="6">
        <f>IF(最佳化斷筋點!J487="","",最佳化斷筋點!J487)</f>
        <v>3</v>
      </c>
      <c r="AI487" s="6">
        <f>IF(最佳化斷筋點!K487="","",最佳化斷筋點!K487)</f>
        <v>2</v>
      </c>
      <c r="AJ487" s="6">
        <f>IF(最佳化斷筋點!L487="","",最佳化斷筋點!L487)</f>
        <v>2</v>
      </c>
      <c r="AK487" s="6">
        <f>IF(最佳化斷筋點!M487="","",最佳化斷筋點!M487)</f>
        <v>2</v>
      </c>
      <c r="AL487" s="6">
        <f>IF(最佳化斷筋點!N487="","",最佳化斷筋點!N487)</f>
        <v>2</v>
      </c>
      <c r="AM487" s="6">
        <f>IF(最佳化斷筋點!O487="","",最佳化斷筋點!O487)</f>
        <v>2</v>
      </c>
      <c r="AN487" s="6">
        <f>IF(最佳化斷筋點!P487="","",最佳化斷筋點!P487)</f>
        <v>2</v>
      </c>
      <c r="AO487" s="6">
        <f>IF(最佳化斷筋點!Q487="","",最佳化斷筋點!Q487)</f>
        <v>2</v>
      </c>
      <c r="AP487" s="6">
        <f>IF(最佳化斷筋點!R487="","",最佳化斷筋點!R487)</f>
        <v>2</v>
      </c>
      <c r="AQ487" s="6">
        <f>IF(最佳化斷筋點!S487="","",最佳化斷筋點!S487)</f>
        <v>2</v>
      </c>
      <c r="AR487" s="6">
        <f>IF(最佳化斷筋點!T487="","",最佳化斷筋點!T487)</f>
        <v>2</v>
      </c>
      <c r="AS487" s="6">
        <f>IF(最佳化斷筋點!U487="","",最佳化斷筋點!U487)</f>
        <v>3</v>
      </c>
      <c r="AT487" s="6">
        <f>IF(最佳化斷筋點!V487="","",最佳化斷筋點!V487)</f>
        <v>3</v>
      </c>
      <c r="AU487" s="6">
        <f>IF(最佳化斷筋點!W487="","",最佳化斷筋點!W487)</f>
        <v>3</v>
      </c>
      <c r="AV487" s="6">
        <f>IF(最佳化斷筋點!X487="","",最佳化斷筋點!X487)</f>
        <v>3</v>
      </c>
      <c r="AX487" s="6" t="s">
        <v>50</v>
      </c>
      <c r="AY487" s="6">
        <v>5</v>
      </c>
      <c r="AZ487" s="6">
        <v>5</v>
      </c>
      <c r="BA487" s="6">
        <v>4</v>
      </c>
      <c r="BB487" s="6">
        <v>4</v>
      </c>
      <c r="BC487" s="6">
        <v>4</v>
      </c>
      <c r="BD487" s="6">
        <v>3</v>
      </c>
      <c r="BE487" s="6">
        <v>3</v>
      </c>
      <c r="BF487" s="6">
        <v>2</v>
      </c>
      <c r="BG487" s="6">
        <v>2</v>
      </c>
      <c r="BH487" s="6">
        <v>2</v>
      </c>
      <c r="BI487" s="6">
        <v>2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</row>
    <row r="488" spans="4:71" x14ac:dyDescent="0.25">
      <c r="E488" s="6">
        <f t="shared" si="148"/>
        <v>0</v>
      </c>
      <c r="F488" s="6">
        <f t="shared" si="149"/>
        <v>0</v>
      </c>
      <c r="G488" s="6">
        <f t="shared" si="150"/>
        <v>0</v>
      </c>
      <c r="H488" s="6">
        <f t="shared" si="151"/>
        <v>0</v>
      </c>
      <c r="I488" s="6">
        <f t="shared" si="152"/>
        <v>0</v>
      </c>
      <c r="J488" s="6">
        <f t="shared" si="153"/>
        <v>0</v>
      </c>
      <c r="K488" s="6">
        <f t="shared" si="154"/>
        <v>0</v>
      </c>
      <c r="L488" s="6">
        <f t="shared" si="155"/>
        <v>0</v>
      </c>
      <c r="M488" s="6">
        <f t="shared" si="156"/>
        <v>0</v>
      </c>
      <c r="N488" s="6">
        <f t="shared" si="157"/>
        <v>0</v>
      </c>
      <c r="O488" s="6">
        <f t="shared" si="158"/>
        <v>0</v>
      </c>
      <c r="P488" s="6">
        <f t="shared" si="159"/>
        <v>0</v>
      </c>
      <c r="Q488" s="6">
        <f t="shared" si="160"/>
        <v>0</v>
      </c>
      <c r="R488" s="6">
        <f t="shared" si="161"/>
        <v>0</v>
      </c>
      <c r="S488" s="6">
        <f t="shared" si="162"/>
        <v>0</v>
      </c>
      <c r="T488" s="6">
        <f t="shared" si="163"/>
        <v>0</v>
      </c>
      <c r="U488" s="6">
        <f t="shared" si="164"/>
        <v>0</v>
      </c>
      <c r="V488" s="6">
        <f t="shared" si="165"/>
        <v>0</v>
      </c>
      <c r="W488" s="6">
        <f t="shared" si="166"/>
        <v>0</v>
      </c>
      <c r="X488" s="6">
        <f t="shared" si="167"/>
        <v>0</v>
      </c>
      <c r="Y488" s="6">
        <f t="shared" si="168"/>
        <v>0</v>
      </c>
      <c r="AA488" s="6" t="str">
        <f>IF(最佳化斷筋點!C488="","",最佳化斷筋點!C488)</f>
        <v/>
      </c>
      <c r="AB488" s="6" t="str">
        <f>IF(最佳化斷筋點!D488="","",最佳化斷筋點!D488)</f>
        <v/>
      </c>
      <c r="AC488" s="6" t="str">
        <f>IF(最佳化斷筋點!E488="","",最佳化斷筋點!E488)</f>
        <v/>
      </c>
      <c r="AD488" s="6" t="str">
        <f>IF(最佳化斷筋點!F488="","",最佳化斷筋點!F488)</f>
        <v/>
      </c>
      <c r="AE488" s="6" t="str">
        <f>IF(最佳化斷筋點!G488="","",最佳化斷筋點!G488)</f>
        <v/>
      </c>
      <c r="AF488" s="6" t="str">
        <f>IF(最佳化斷筋點!H488="","",最佳化斷筋點!H488)</f>
        <v/>
      </c>
      <c r="AG488" s="6" t="str">
        <f>IF(最佳化斷筋點!I488="","",最佳化斷筋點!I488)</f>
        <v/>
      </c>
      <c r="AH488" s="6" t="str">
        <f>IF(最佳化斷筋點!J488="","",最佳化斷筋點!J488)</f>
        <v/>
      </c>
      <c r="AI488" s="6" t="str">
        <f>IF(最佳化斷筋點!K488="","",最佳化斷筋點!K488)</f>
        <v/>
      </c>
      <c r="AJ488" s="6" t="str">
        <f>IF(最佳化斷筋點!L488="","",最佳化斷筋點!L488)</f>
        <v/>
      </c>
      <c r="AK488" s="6" t="str">
        <f>IF(最佳化斷筋點!M488="","",最佳化斷筋點!M488)</f>
        <v/>
      </c>
      <c r="AL488" s="6" t="str">
        <f>IF(最佳化斷筋點!N488="","",最佳化斷筋點!N488)</f>
        <v/>
      </c>
      <c r="AM488" s="6" t="str">
        <f>IF(最佳化斷筋點!O488="","",最佳化斷筋點!O488)</f>
        <v/>
      </c>
      <c r="AN488" s="6" t="str">
        <f>IF(最佳化斷筋點!P488="","",最佳化斷筋點!P488)</f>
        <v/>
      </c>
      <c r="AO488" s="6" t="str">
        <f>IF(最佳化斷筋點!Q488="","",最佳化斷筋點!Q488)</f>
        <v/>
      </c>
      <c r="AP488" s="6" t="str">
        <f>IF(最佳化斷筋點!R488="","",最佳化斷筋點!R488)</f>
        <v/>
      </c>
      <c r="AQ488" s="6" t="str">
        <f>IF(最佳化斷筋點!S488="","",最佳化斷筋點!S488)</f>
        <v/>
      </c>
      <c r="AR488" s="6" t="str">
        <f>IF(最佳化斷筋點!T488="","",最佳化斷筋點!T488)</f>
        <v/>
      </c>
      <c r="AS488" s="6" t="str">
        <f>IF(最佳化斷筋點!U488="","",最佳化斷筋點!U488)</f>
        <v/>
      </c>
      <c r="AT488" s="6" t="str">
        <f>IF(最佳化斷筋點!V488="","",最佳化斷筋點!V488)</f>
        <v/>
      </c>
      <c r="AU488" s="6" t="str">
        <f>IF(最佳化斷筋點!W488="","",最佳化斷筋點!W488)</f>
        <v/>
      </c>
      <c r="AV488" s="6" t="str">
        <f>IF(最佳化斷筋點!X488="","",最佳化斷筋點!X488)</f>
        <v/>
      </c>
    </row>
    <row r="489" spans="4:71" x14ac:dyDescent="0.25">
      <c r="D489" s="6" t="s">
        <v>51</v>
      </c>
      <c r="E489" s="6">
        <f t="shared" si="148"/>
        <v>0</v>
      </c>
      <c r="F489" s="6">
        <f t="shared" si="149"/>
        <v>0</v>
      </c>
      <c r="G489" s="6">
        <f t="shared" si="150"/>
        <v>0</v>
      </c>
      <c r="H489" s="6">
        <f t="shared" si="151"/>
        <v>0</v>
      </c>
      <c r="I489" s="6">
        <f t="shared" si="152"/>
        <v>0</v>
      </c>
      <c r="J489" s="6">
        <f t="shared" si="153"/>
        <v>0</v>
      </c>
      <c r="K489" s="6">
        <f t="shared" si="154"/>
        <v>0</v>
      </c>
      <c r="L489" s="6">
        <f t="shared" si="155"/>
        <v>0</v>
      </c>
      <c r="M489" s="6">
        <f t="shared" si="156"/>
        <v>0</v>
      </c>
      <c r="N489" s="6">
        <f t="shared" si="157"/>
        <v>0</v>
      </c>
      <c r="O489" s="6">
        <f t="shared" si="158"/>
        <v>0</v>
      </c>
      <c r="P489" s="6">
        <f t="shared" si="159"/>
        <v>0</v>
      </c>
      <c r="Q489" s="6">
        <f t="shared" si="160"/>
        <v>0</v>
      </c>
      <c r="R489" s="6">
        <f t="shared" si="161"/>
        <v>0</v>
      </c>
      <c r="S489" s="6">
        <f t="shared" si="162"/>
        <v>0</v>
      </c>
      <c r="T489" s="6">
        <f t="shared" si="163"/>
        <v>0</v>
      </c>
      <c r="U489" s="6">
        <f t="shared" si="164"/>
        <v>0</v>
      </c>
      <c r="V489" s="6">
        <f t="shared" si="165"/>
        <v>0</v>
      </c>
      <c r="W489" s="6">
        <f t="shared" si="166"/>
        <v>0</v>
      </c>
      <c r="X489" s="6">
        <f t="shared" si="167"/>
        <v>0</v>
      </c>
      <c r="Y489" s="6">
        <f t="shared" si="168"/>
        <v>0</v>
      </c>
      <c r="AA489" s="6" t="str">
        <f>IF(最佳化斷筋點!C489="","",最佳化斷筋點!C489)</f>
        <v>下層</v>
      </c>
      <c r="AB489" s="6">
        <f>IF(最佳化斷筋點!D489="","",最佳化斷筋點!D489)</f>
        <v>3</v>
      </c>
      <c r="AC489" s="6">
        <f>IF(最佳化斷筋點!E489="","",最佳化斷筋點!E489)</f>
        <v>3</v>
      </c>
      <c r="AD489" s="6">
        <f>IF(最佳化斷筋點!F489="","",最佳化斷筋點!F489)</f>
        <v>3</v>
      </c>
      <c r="AE489" s="6">
        <f>IF(最佳化斷筋點!G489="","",最佳化斷筋點!G489)</f>
        <v>3</v>
      </c>
      <c r="AF489" s="6">
        <f>IF(最佳化斷筋點!H489="","",最佳化斷筋點!H489)</f>
        <v>3</v>
      </c>
      <c r="AG489" s="6">
        <f>IF(最佳化斷筋點!I489="","",最佳化斷筋點!I489)</f>
        <v>3</v>
      </c>
      <c r="AH489" s="6">
        <f>IF(最佳化斷筋點!J489="","",最佳化斷筋點!J489)</f>
        <v>4</v>
      </c>
      <c r="AI489" s="6">
        <f>IF(最佳化斷筋點!K489="","",最佳化斷筋點!K489)</f>
        <v>4</v>
      </c>
      <c r="AJ489" s="6">
        <f>IF(最佳化斷筋點!L489="","",最佳化斷筋點!L489)</f>
        <v>4</v>
      </c>
      <c r="AK489" s="6">
        <f>IF(最佳化斷筋點!M489="","",最佳化斷筋點!M489)</f>
        <v>4</v>
      </c>
      <c r="AL489" s="6">
        <f>IF(最佳化斷筋點!N489="","",最佳化斷筋點!N489)</f>
        <v>4</v>
      </c>
      <c r="AM489" s="6">
        <f>IF(最佳化斷筋點!O489="","",最佳化斷筋點!O489)</f>
        <v>4</v>
      </c>
      <c r="AN489" s="6">
        <f>IF(最佳化斷筋點!P489="","",最佳化斷筋點!P489)</f>
        <v>4</v>
      </c>
      <c r="AO489" s="6">
        <f>IF(最佳化斷筋點!Q489="","",最佳化斷筋點!Q489)</f>
        <v>4</v>
      </c>
      <c r="AP489" s="6">
        <f>IF(最佳化斷筋點!R489="","",最佳化斷筋點!R489)</f>
        <v>4</v>
      </c>
      <c r="AQ489" s="6">
        <f>IF(最佳化斷筋點!S489="","",最佳化斷筋點!S489)</f>
        <v>3</v>
      </c>
      <c r="AR489" s="6">
        <f>IF(最佳化斷筋點!T489="","",最佳化斷筋點!T489)</f>
        <v>3</v>
      </c>
      <c r="AS489" s="6">
        <f>IF(最佳化斷筋點!U489="","",最佳化斷筋點!U489)</f>
        <v>3</v>
      </c>
      <c r="AT489" s="6">
        <f>IF(最佳化斷筋點!V489="","",最佳化斷筋點!V489)</f>
        <v>3</v>
      </c>
      <c r="AU489" s="6">
        <f>IF(最佳化斷筋點!W489="","",最佳化斷筋點!W489)</f>
        <v>3</v>
      </c>
      <c r="AV489" s="6">
        <f>IF(最佳化斷筋點!X489="","",最佳化斷筋點!X489)</f>
        <v>3</v>
      </c>
      <c r="AX489" s="6" t="s">
        <v>51</v>
      </c>
      <c r="AY489" s="6">
        <v>3</v>
      </c>
      <c r="AZ489" s="6">
        <v>3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3</v>
      </c>
      <c r="BO489" s="6">
        <v>3</v>
      </c>
      <c r="BP489" s="6">
        <v>3</v>
      </c>
      <c r="BQ489" s="6">
        <v>3</v>
      </c>
      <c r="BR489" s="6">
        <v>3</v>
      </c>
      <c r="BS489" s="6">
        <v>3</v>
      </c>
    </row>
    <row r="490" spans="4:71" x14ac:dyDescent="0.25">
      <c r="E490" s="6">
        <f t="shared" si="148"/>
        <v>0</v>
      </c>
      <c r="F490" s="6">
        <f t="shared" si="149"/>
        <v>0</v>
      </c>
      <c r="G490" s="6">
        <f t="shared" si="150"/>
        <v>0</v>
      </c>
      <c r="H490" s="6">
        <f t="shared" si="151"/>
        <v>0</v>
      </c>
      <c r="I490" s="6">
        <f t="shared" si="152"/>
        <v>0</v>
      </c>
      <c r="J490" s="6">
        <f t="shared" si="153"/>
        <v>0</v>
      </c>
      <c r="K490" s="6">
        <f t="shared" si="154"/>
        <v>0</v>
      </c>
      <c r="L490" s="6">
        <f t="shared" si="155"/>
        <v>0</v>
      </c>
      <c r="M490" s="6">
        <f t="shared" si="156"/>
        <v>0</v>
      </c>
      <c r="N490" s="6">
        <f t="shared" si="157"/>
        <v>0</v>
      </c>
      <c r="O490" s="6">
        <f t="shared" si="158"/>
        <v>0</v>
      </c>
      <c r="P490" s="6">
        <f t="shared" si="159"/>
        <v>0</v>
      </c>
      <c r="Q490" s="6">
        <f t="shared" si="160"/>
        <v>0</v>
      </c>
      <c r="R490" s="6">
        <f t="shared" si="161"/>
        <v>0</v>
      </c>
      <c r="S490" s="6">
        <f t="shared" si="162"/>
        <v>0</v>
      </c>
      <c r="T490" s="6">
        <f t="shared" si="163"/>
        <v>0</v>
      </c>
      <c r="U490" s="6">
        <f t="shared" si="164"/>
        <v>0</v>
      </c>
      <c r="V490" s="6">
        <f t="shared" si="165"/>
        <v>0</v>
      </c>
      <c r="W490" s="6">
        <f t="shared" si="166"/>
        <v>0</v>
      </c>
      <c r="X490" s="6">
        <f t="shared" si="167"/>
        <v>0</v>
      </c>
      <c r="Y490" s="6">
        <f t="shared" si="168"/>
        <v>0</v>
      </c>
      <c r="AA490" s="6" t="str">
        <f>IF(最佳化斷筋點!C490="","",最佳化斷筋點!C490)</f>
        <v/>
      </c>
      <c r="AB490" s="6" t="str">
        <f>IF(最佳化斷筋點!D490="","",最佳化斷筋點!D490)</f>
        <v/>
      </c>
      <c r="AC490" s="6" t="str">
        <f>IF(最佳化斷筋點!E490="","",最佳化斷筋點!E490)</f>
        <v/>
      </c>
      <c r="AD490" s="6" t="str">
        <f>IF(最佳化斷筋點!F490="","",最佳化斷筋點!F490)</f>
        <v/>
      </c>
      <c r="AE490" s="6" t="str">
        <f>IF(最佳化斷筋點!G490="","",最佳化斷筋點!G490)</f>
        <v/>
      </c>
      <c r="AF490" s="6" t="str">
        <f>IF(最佳化斷筋點!H490="","",最佳化斷筋點!H490)</f>
        <v/>
      </c>
      <c r="AG490" s="6" t="str">
        <f>IF(最佳化斷筋點!I490="","",最佳化斷筋點!I490)</f>
        <v/>
      </c>
      <c r="AH490" s="6" t="str">
        <f>IF(最佳化斷筋點!J490="","",最佳化斷筋點!J490)</f>
        <v/>
      </c>
      <c r="AI490" s="6" t="str">
        <f>IF(最佳化斷筋點!K490="","",最佳化斷筋點!K490)</f>
        <v/>
      </c>
      <c r="AJ490" s="6" t="str">
        <f>IF(最佳化斷筋點!L490="","",最佳化斷筋點!L490)</f>
        <v/>
      </c>
      <c r="AK490" s="6" t="str">
        <f>IF(最佳化斷筋點!M490="","",最佳化斷筋點!M490)</f>
        <v/>
      </c>
      <c r="AL490" s="6" t="str">
        <f>IF(最佳化斷筋點!N490="","",最佳化斷筋點!N490)</f>
        <v/>
      </c>
      <c r="AM490" s="6" t="str">
        <f>IF(最佳化斷筋點!O490="","",最佳化斷筋點!O490)</f>
        <v/>
      </c>
      <c r="AN490" s="6" t="str">
        <f>IF(最佳化斷筋點!P490="","",最佳化斷筋點!P490)</f>
        <v/>
      </c>
      <c r="AO490" s="6" t="str">
        <f>IF(最佳化斷筋點!Q490="","",最佳化斷筋點!Q490)</f>
        <v/>
      </c>
      <c r="AP490" s="6" t="str">
        <f>IF(最佳化斷筋點!R490="","",最佳化斷筋點!R490)</f>
        <v/>
      </c>
      <c r="AQ490" s="6" t="str">
        <f>IF(最佳化斷筋點!S490="","",最佳化斷筋點!S490)</f>
        <v/>
      </c>
      <c r="AR490" s="6" t="str">
        <f>IF(最佳化斷筋點!T490="","",最佳化斷筋點!T490)</f>
        <v/>
      </c>
      <c r="AS490" s="6" t="str">
        <f>IF(最佳化斷筋點!U490="","",最佳化斷筋點!U490)</f>
        <v/>
      </c>
      <c r="AT490" s="6" t="str">
        <f>IF(最佳化斷筋點!V490="","",最佳化斷筋點!V490)</f>
        <v/>
      </c>
      <c r="AU490" s="6" t="str">
        <f>IF(最佳化斷筋點!W490="","",最佳化斷筋點!W490)</f>
        <v/>
      </c>
      <c r="AV490" s="6" t="str">
        <f>IF(最佳化斷筋點!X490="","",最佳化斷筋點!X490)</f>
        <v/>
      </c>
    </row>
    <row r="491" spans="4:71" x14ac:dyDescent="0.25">
      <c r="D491" s="6" t="s">
        <v>50</v>
      </c>
      <c r="E491" s="6">
        <f t="shared" si="148"/>
        <v>0</v>
      </c>
      <c r="F491" s="6">
        <f t="shared" si="149"/>
        <v>0</v>
      </c>
      <c r="G491" s="6">
        <f t="shared" si="150"/>
        <v>0</v>
      </c>
      <c r="H491" s="6">
        <f t="shared" si="151"/>
        <v>0</v>
      </c>
      <c r="I491" s="6">
        <f t="shared" si="152"/>
        <v>0</v>
      </c>
      <c r="J491" s="6">
        <f t="shared" si="153"/>
        <v>0</v>
      </c>
      <c r="K491" s="6">
        <f t="shared" si="154"/>
        <v>0</v>
      </c>
      <c r="L491" s="6">
        <f t="shared" si="155"/>
        <v>0</v>
      </c>
      <c r="M491" s="6">
        <f t="shared" si="156"/>
        <v>0</v>
      </c>
      <c r="N491" s="6">
        <f t="shared" si="157"/>
        <v>0</v>
      </c>
      <c r="O491" s="6">
        <f t="shared" si="158"/>
        <v>0</v>
      </c>
      <c r="P491" s="6">
        <f t="shared" si="159"/>
        <v>0</v>
      </c>
      <c r="Q491" s="6">
        <f t="shared" si="160"/>
        <v>0</v>
      </c>
      <c r="R491" s="6">
        <f t="shared" si="161"/>
        <v>0</v>
      </c>
      <c r="S491" s="6">
        <f t="shared" si="162"/>
        <v>0</v>
      </c>
      <c r="T491" s="6">
        <f t="shared" si="163"/>
        <v>0</v>
      </c>
      <c r="U491" s="6">
        <f t="shared" si="164"/>
        <v>0</v>
      </c>
      <c r="V491" s="6">
        <f t="shared" si="165"/>
        <v>0</v>
      </c>
      <c r="W491" s="6">
        <f t="shared" si="166"/>
        <v>0</v>
      </c>
      <c r="X491" s="6">
        <f t="shared" si="167"/>
        <v>0</v>
      </c>
      <c r="Y491" s="6">
        <f t="shared" si="168"/>
        <v>0</v>
      </c>
      <c r="AA491" s="6" t="str">
        <f>IF(最佳化斷筋點!C491="","",最佳化斷筋點!C491)</f>
        <v>上層</v>
      </c>
      <c r="AB491" s="6">
        <f>IF(最佳化斷筋點!D491="","",最佳化斷筋點!D491)</f>
        <v>3</v>
      </c>
      <c r="AC491" s="6">
        <f>IF(最佳化斷筋點!E491="","",最佳化斷筋點!E491)</f>
        <v>3</v>
      </c>
      <c r="AD491" s="6">
        <f>IF(最佳化斷筋點!F491="","",最佳化斷筋點!F491)</f>
        <v>3</v>
      </c>
      <c r="AE491" s="6">
        <f>IF(最佳化斷筋點!G491="","",最佳化斷筋點!G491)</f>
        <v>3</v>
      </c>
      <c r="AF491" s="6">
        <f>IF(最佳化斷筋點!H491="","",最佳化斷筋點!H491)</f>
        <v>2</v>
      </c>
      <c r="AG491" s="6">
        <f>IF(最佳化斷筋點!I491="","",最佳化斷筋點!I491)</f>
        <v>2</v>
      </c>
      <c r="AH491" s="6">
        <f>IF(最佳化斷筋點!J491="","",最佳化斷筋點!J491)</f>
        <v>2</v>
      </c>
      <c r="AI491" s="6">
        <f>IF(最佳化斷筋點!K491="","",最佳化斷筋點!K491)</f>
        <v>2</v>
      </c>
      <c r="AJ491" s="6">
        <f>IF(最佳化斷筋點!L491="","",最佳化斷筋點!L491)</f>
        <v>2</v>
      </c>
      <c r="AK491" s="6">
        <f>IF(最佳化斷筋點!M491="","",最佳化斷筋點!M491)</f>
        <v>2</v>
      </c>
      <c r="AL491" s="6">
        <f>IF(最佳化斷筋點!N491="","",最佳化斷筋點!N491)</f>
        <v>2</v>
      </c>
      <c r="AM491" s="6">
        <f>IF(最佳化斷筋點!O491="","",最佳化斷筋點!O491)</f>
        <v>2</v>
      </c>
      <c r="AN491" s="6">
        <f>IF(最佳化斷筋點!P491="","",最佳化斷筋點!P491)</f>
        <v>2</v>
      </c>
      <c r="AO491" s="6">
        <f>IF(最佳化斷筋點!Q491="","",最佳化斷筋點!Q491)</f>
        <v>2</v>
      </c>
      <c r="AP491" s="6">
        <f>IF(最佳化斷筋點!R491="","",最佳化斷筋點!R491)</f>
        <v>2</v>
      </c>
      <c r="AQ491" s="6">
        <f>IF(最佳化斷筋點!S491="","",最佳化斷筋點!S491)</f>
        <v>2</v>
      </c>
      <c r="AR491" s="6">
        <f>IF(最佳化斷筋點!T491="","",最佳化斷筋點!T491)</f>
        <v>2</v>
      </c>
      <c r="AS491" s="6">
        <f>IF(最佳化斷筋點!U491="","",最佳化斷筋點!U491)</f>
        <v>2</v>
      </c>
      <c r="AT491" s="6">
        <f>IF(最佳化斷筋點!V491="","",最佳化斷筋點!V491)</f>
        <v>2</v>
      </c>
      <c r="AU491" s="6">
        <f>IF(最佳化斷筋點!W491="","",最佳化斷筋點!W491)</f>
        <v>2</v>
      </c>
      <c r="AV491" s="6">
        <f>IF(最佳化斷筋點!X491="","",最佳化斷筋點!X491)</f>
        <v>2</v>
      </c>
      <c r="AX491" s="6" t="s">
        <v>50</v>
      </c>
      <c r="AY491" s="6">
        <v>3</v>
      </c>
      <c r="AZ491" s="6">
        <v>3</v>
      </c>
      <c r="BA491" s="6">
        <v>3</v>
      </c>
      <c r="BB491" s="6">
        <v>3</v>
      </c>
      <c r="BC491" s="6">
        <v>2</v>
      </c>
      <c r="BD491" s="6">
        <v>2</v>
      </c>
      <c r="BE491" s="6">
        <v>2</v>
      </c>
      <c r="BF491" s="6">
        <v>2</v>
      </c>
      <c r="BG491" s="6">
        <v>2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</row>
    <row r="492" spans="4:71" x14ac:dyDescent="0.25">
      <c r="E492" s="6">
        <f t="shared" si="148"/>
        <v>0</v>
      </c>
      <c r="F492" s="6">
        <f t="shared" si="149"/>
        <v>0</v>
      </c>
      <c r="G492" s="6">
        <f t="shared" si="150"/>
        <v>0</v>
      </c>
      <c r="H492" s="6">
        <f t="shared" si="151"/>
        <v>0</v>
      </c>
      <c r="I492" s="6">
        <f t="shared" si="152"/>
        <v>0</v>
      </c>
      <c r="J492" s="6">
        <f t="shared" si="153"/>
        <v>0</v>
      </c>
      <c r="K492" s="6">
        <f t="shared" si="154"/>
        <v>0</v>
      </c>
      <c r="L492" s="6">
        <f t="shared" si="155"/>
        <v>0</v>
      </c>
      <c r="M492" s="6">
        <f t="shared" si="156"/>
        <v>0</v>
      </c>
      <c r="N492" s="6">
        <f t="shared" si="157"/>
        <v>0</v>
      </c>
      <c r="O492" s="6">
        <f t="shared" si="158"/>
        <v>0</v>
      </c>
      <c r="P492" s="6">
        <f t="shared" si="159"/>
        <v>0</v>
      </c>
      <c r="Q492" s="6">
        <f t="shared" si="160"/>
        <v>0</v>
      </c>
      <c r="R492" s="6">
        <f t="shared" si="161"/>
        <v>0</v>
      </c>
      <c r="S492" s="6">
        <f t="shared" si="162"/>
        <v>0</v>
      </c>
      <c r="T492" s="6">
        <f t="shared" si="163"/>
        <v>0</v>
      </c>
      <c r="U492" s="6">
        <f t="shared" si="164"/>
        <v>0</v>
      </c>
      <c r="V492" s="6">
        <f t="shared" si="165"/>
        <v>0</v>
      </c>
      <c r="W492" s="6">
        <f t="shared" si="166"/>
        <v>0</v>
      </c>
      <c r="X492" s="6">
        <f t="shared" si="167"/>
        <v>0</v>
      </c>
      <c r="Y492" s="6">
        <f t="shared" si="168"/>
        <v>0</v>
      </c>
      <c r="AA492" s="6" t="str">
        <f>IF(最佳化斷筋點!C492="","",最佳化斷筋點!C492)</f>
        <v/>
      </c>
      <c r="AB492" s="6" t="str">
        <f>IF(最佳化斷筋點!D492="","",最佳化斷筋點!D492)</f>
        <v/>
      </c>
      <c r="AC492" s="6" t="str">
        <f>IF(最佳化斷筋點!E492="","",最佳化斷筋點!E492)</f>
        <v/>
      </c>
      <c r="AD492" s="6" t="str">
        <f>IF(最佳化斷筋點!F492="","",最佳化斷筋點!F492)</f>
        <v/>
      </c>
      <c r="AE492" s="6" t="str">
        <f>IF(最佳化斷筋點!G492="","",最佳化斷筋點!G492)</f>
        <v/>
      </c>
      <c r="AF492" s="6" t="str">
        <f>IF(最佳化斷筋點!H492="","",最佳化斷筋點!H492)</f>
        <v/>
      </c>
      <c r="AG492" s="6" t="str">
        <f>IF(最佳化斷筋點!I492="","",最佳化斷筋點!I492)</f>
        <v/>
      </c>
      <c r="AH492" s="6" t="str">
        <f>IF(最佳化斷筋點!J492="","",最佳化斷筋點!J492)</f>
        <v/>
      </c>
      <c r="AI492" s="6" t="str">
        <f>IF(最佳化斷筋點!K492="","",最佳化斷筋點!K492)</f>
        <v/>
      </c>
      <c r="AJ492" s="6" t="str">
        <f>IF(最佳化斷筋點!L492="","",最佳化斷筋點!L492)</f>
        <v/>
      </c>
      <c r="AK492" s="6" t="str">
        <f>IF(最佳化斷筋點!M492="","",最佳化斷筋點!M492)</f>
        <v/>
      </c>
      <c r="AL492" s="6" t="str">
        <f>IF(最佳化斷筋點!N492="","",最佳化斷筋點!N492)</f>
        <v/>
      </c>
      <c r="AM492" s="6" t="str">
        <f>IF(最佳化斷筋點!O492="","",最佳化斷筋點!O492)</f>
        <v/>
      </c>
      <c r="AN492" s="6" t="str">
        <f>IF(最佳化斷筋點!P492="","",最佳化斷筋點!P492)</f>
        <v/>
      </c>
      <c r="AO492" s="6" t="str">
        <f>IF(最佳化斷筋點!Q492="","",最佳化斷筋點!Q492)</f>
        <v/>
      </c>
      <c r="AP492" s="6" t="str">
        <f>IF(最佳化斷筋點!R492="","",最佳化斷筋點!R492)</f>
        <v/>
      </c>
      <c r="AQ492" s="6" t="str">
        <f>IF(最佳化斷筋點!S492="","",最佳化斷筋點!S492)</f>
        <v/>
      </c>
      <c r="AR492" s="6" t="str">
        <f>IF(最佳化斷筋點!T492="","",最佳化斷筋點!T492)</f>
        <v/>
      </c>
      <c r="AS492" s="6" t="str">
        <f>IF(最佳化斷筋點!U492="","",最佳化斷筋點!U492)</f>
        <v/>
      </c>
      <c r="AT492" s="6" t="str">
        <f>IF(最佳化斷筋點!V492="","",最佳化斷筋點!V492)</f>
        <v/>
      </c>
      <c r="AU492" s="6" t="str">
        <f>IF(最佳化斷筋點!W492="","",最佳化斷筋點!W492)</f>
        <v/>
      </c>
      <c r="AV492" s="6" t="str">
        <f>IF(最佳化斷筋點!X492="","",最佳化斷筋點!X492)</f>
        <v/>
      </c>
    </row>
    <row r="493" spans="4:71" x14ac:dyDescent="0.25">
      <c r="D493" s="6" t="s">
        <v>51</v>
      </c>
      <c r="E493" s="6">
        <f t="shared" si="148"/>
        <v>0</v>
      </c>
      <c r="F493" s="6">
        <f t="shared" si="149"/>
        <v>0</v>
      </c>
      <c r="G493" s="6">
        <f t="shared" si="150"/>
        <v>0</v>
      </c>
      <c r="H493" s="6">
        <f t="shared" si="151"/>
        <v>0</v>
      </c>
      <c r="I493" s="6">
        <f t="shared" si="152"/>
        <v>0</v>
      </c>
      <c r="J493" s="6">
        <f t="shared" si="153"/>
        <v>0</v>
      </c>
      <c r="K493" s="6">
        <f t="shared" si="154"/>
        <v>0</v>
      </c>
      <c r="L493" s="6">
        <f t="shared" si="155"/>
        <v>0</v>
      </c>
      <c r="M493" s="6">
        <f t="shared" si="156"/>
        <v>0</v>
      </c>
      <c r="N493" s="6">
        <f t="shared" si="157"/>
        <v>0</v>
      </c>
      <c r="O493" s="6">
        <f t="shared" si="158"/>
        <v>0</v>
      </c>
      <c r="P493" s="6">
        <f t="shared" si="159"/>
        <v>0</v>
      </c>
      <c r="Q493" s="6">
        <f t="shared" si="160"/>
        <v>0</v>
      </c>
      <c r="R493" s="6">
        <f t="shared" si="161"/>
        <v>0</v>
      </c>
      <c r="S493" s="6">
        <f t="shared" si="162"/>
        <v>0</v>
      </c>
      <c r="T493" s="6">
        <f t="shared" si="163"/>
        <v>0</v>
      </c>
      <c r="U493" s="6">
        <f t="shared" si="164"/>
        <v>0</v>
      </c>
      <c r="V493" s="6">
        <f t="shared" si="165"/>
        <v>0</v>
      </c>
      <c r="W493" s="6">
        <f t="shared" si="166"/>
        <v>0</v>
      </c>
      <c r="X493" s="6">
        <f t="shared" si="167"/>
        <v>0</v>
      </c>
      <c r="Y493" s="6">
        <f t="shared" si="168"/>
        <v>0</v>
      </c>
      <c r="AA493" s="6" t="str">
        <f>IF(最佳化斷筋點!C493="","",最佳化斷筋點!C493)</f>
        <v>下層</v>
      </c>
      <c r="AB493" s="6">
        <f>IF(最佳化斷筋點!D493="","",最佳化斷筋點!D493)</f>
        <v>3</v>
      </c>
      <c r="AC493" s="6">
        <f>IF(最佳化斷筋點!E493="","",最佳化斷筋點!E493)</f>
        <v>3</v>
      </c>
      <c r="AD493" s="6">
        <f>IF(最佳化斷筋點!F493="","",最佳化斷筋點!F493)</f>
        <v>3</v>
      </c>
      <c r="AE493" s="6">
        <f>IF(最佳化斷筋點!G493="","",最佳化斷筋點!G493)</f>
        <v>3</v>
      </c>
      <c r="AF493" s="6">
        <f>IF(最佳化斷筋點!H493="","",最佳化斷筋點!H493)</f>
        <v>3</v>
      </c>
      <c r="AG493" s="6">
        <f>IF(最佳化斷筋點!I493="","",最佳化斷筋點!I493)</f>
        <v>3</v>
      </c>
      <c r="AH493" s="6">
        <f>IF(最佳化斷筋點!J493="","",最佳化斷筋點!J493)</f>
        <v>4</v>
      </c>
      <c r="AI493" s="6">
        <f>IF(最佳化斷筋點!K493="","",最佳化斷筋點!K493)</f>
        <v>4</v>
      </c>
      <c r="AJ493" s="6">
        <f>IF(最佳化斷筋點!L493="","",最佳化斷筋點!L493)</f>
        <v>4</v>
      </c>
      <c r="AK493" s="6">
        <f>IF(最佳化斷筋點!M493="","",最佳化斷筋點!M493)</f>
        <v>4</v>
      </c>
      <c r="AL493" s="6">
        <f>IF(最佳化斷筋點!N493="","",最佳化斷筋點!N493)</f>
        <v>4</v>
      </c>
      <c r="AM493" s="6">
        <f>IF(最佳化斷筋點!O493="","",最佳化斷筋點!O493)</f>
        <v>4</v>
      </c>
      <c r="AN493" s="6">
        <f>IF(最佳化斷筋點!P493="","",最佳化斷筋點!P493)</f>
        <v>4</v>
      </c>
      <c r="AO493" s="6">
        <f>IF(最佳化斷筋點!Q493="","",最佳化斷筋點!Q493)</f>
        <v>4</v>
      </c>
      <c r="AP493" s="6">
        <f>IF(最佳化斷筋點!R493="","",最佳化斷筋點!R493)</f>
        <v>4</v>
      </c>
      <c r="AQ493" s="6">
        <f>IF(最佳化斷筋點!S493="","",最佳化斷筋點!S493)</f>
        <v>3</v>
      </c>
      <c r="AR493" s="6">
        <f>IF(最佳化斷筋點!T493="","",最佳化斷筋點!T493)</f>
        <v>3</v>
      </c>
      <c r="AS493" s="6">
        <f>IF(最佳化斷筋點!U493="","",最佳化斷筋點!U493)</f>
        <v>3</v>
      </c>
      <c r="AT493" s="6">
        <f>IF(最佳化斷筋點!V493="","",最佳化斷筋點!V493)</f>
        <v>3</v>
      </c>
      <c r="AU493" s="6">
        <f>IF(最佳化斷筋點!W493="","",最佳化斷筋點!W493)</f>
        <v>3</v>
      </c>
      <c r="AV493" s="6">
        <f>IF(最佳化斷筋點!X493="","",最佳化斷筋點!X493)</f>
        <v>3</v>
      </c>
      <c r="AX493" s="6" t="s">
        <v>51</v>
      </c>
      <c r="AY493" s="6">
        <v>3</v>
      </c>
      <c r="AZ493" s="6">
        <v>3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3</v>
      </c>
      <c r="BO493" s="6">
        <v>3</v>
      </c>
      <c r="BP493" s="6">
        <v>3</v>
      </c>
      <c r="BQ493" s="6">
        <v>3</v>
      </c>
      <c r="BR493" s="6">
        <v>3</v>
      </c>
      <c r="BS493" s="6">
        <v>3</v>
      </c>
    </row>
    <row r="494" spans="4:71" x14ac:dyDescent="0.25">
      <c r="E494" s="6">
        <f t="shared" si="148"/>
        <v>0</v>
      </c>
      <c r="F494" s="6">
        <f t="shared" si="149"/>
        <v>0</v>
      </c>
      <c r="G494" s="6">
        <f t="shared" si="150"/>
        <v>0</v>
      </c>
      <c r="H494" s="6">
        <f t="shared" si="151"/>
        <v>0</v>
      </c>
      <c r="I494" s="6">
        <f t="shared" si="152"/>
        <v>0</v>
      </c>
      <c r="J494" s="6">
        <f t="shared" si="153"/>
        <v>0</v>
      </c>
      <c r="K494" s="6">
        <f t="shared" si="154"/>
        <v>0</v>
      </c>
      <c r="L494" s="6">
        <f t="shared" si="155"/>
        <v>0</v>
      </c>
      <c r="M494" s="6">
        <f t="shared" si="156"/>
        <v>0</v>
      </c>
      <c r="N494" s="6">
        <f t="shared" si="157"/>
        <v>0</v>
      </c>
      <c r="O494" s="6">
        <f t="shared" si="158"/>
        <v>0</v>
      </c>
      <c r="P494" s="6">
        <f t="shared" si="159"/>
        <v>0</v>
      </c>
      <c r="Q494" s="6">
        <f t="shared" si="160"/>
        <v>0</v>
      </c>
      <c r="R494" s="6">
        <f t="shared" si="161"/>
        <v>0</v>
      </c>
      <c r="S494" s="6">
        <f t="shared" si="162"/>
        <v>0</v>
      </c>
      <c r="T494" s="6">
        <f t="shared" si="163"/>
        <v>0</v>
      </c>
      <c r="U494" s="6">
        <f t="shared" si="164"/>
        <v>0</v>
      </c>
      <c r="V494" s="6">
        <f t="shared" si="165"/>
        <v>0</v>
      </c>
      <c r="W494" s="6">
        <f t="shared" si="166"/>
        <v>0</v>
      </c>
      <c r="X494" s="6">
        <f t="shared" si="167"/>
        <v>0</v>
      </c>
      <c r="Y494" s="6">
        <f t="shared" si="168"/>
        <v>0</v>
      </c>
      <c r="AA494" s="6" t="str">
        <f>IF(最佳化斷筋點!C494="","",最佳化斷筋點!C494)</f>
        <v/>
      </c>
      <c r="AB494" s="6" t="str">
        <f>IF(最佳化斷筋點!D494="","",最佳化斷筋點!D494)</f>
        <v/>
      </c>
      <c r="AC494" s="6" t="str">
        <f>IF(最佳化斷筋點!E494="","",最佳化斷筋點!E494)</f>
        <v/>
      </c>
      <c r="AD494" s="6" t="str">
        <f>IF(最佳化斷筋點!F494="","",最佳化斷筋點!F494)</f>
        <v/>
      </c>
      <c r="AE494" s="6" t="str">
        <f>IF(最佳化斷筋點!G494="","",最佳化斷筋點!G494)</f>
        <v/>
      </c>
      <c r="AF494" s="6" t="str">
        <f>IF(最佳化斷筋點!H494="","",最佳化斷筋點!H494)</f>
        <v/>
      </c>
      <c r="AG494" s="6" t="str">
        <f>IF(最佳化斷筋點!I494="","",最佳化斷筋點!I494)</f>
        <v/>
      </c>
      <c r="AH494" s="6" t="str">
        <f>IF(最佳化斷筋點!J494="","",最佳化斷筋點!J494)</f>
        <v/>
      </c>
      <c r="AI494" s="6" t="str">
        <f>IF(最佳化斷筋點!K494="","",最佳化斷筋點!K494)</f>
        <v/>
      </c>
      <c r="AJ494" s="6" t="str">
        <f>IF(最佳化斷筋點!L494="","",最佳化斷筋點!L494)</f>
        <v/>
      </c>
      <c r="AK494" s="6" t="str">
        <f>IF(最佳化斷筋點!M494="","",最佳化斷筋點!M494)</f>
        <v/>
      </c>
      <c r="AL494" s="6" t="str">
        <f>IF(最佳化斷筋點!N494="","",最佳化斷筋點!N494)</f>
        <v/>
      </c>
      <c r="AM494" s="6" t="str">
        <f>IF(最佳化斷筋點!O494="","",最佳化斷筋點!O494)</f>
        <v/>
      </c>
      <c r="AN494" s="6" t="str">
        <f>IF(最佳化斷筋點!P494="","",最佳化斷筋點!P494)</f>
        <v/>
      </c>
      <c r="AO494" s="6" t="str">
        <f>IF(最佳化斷筋點!Q494="","",最佳化斷筋點!Q494)</f>
        <v/>
      </c>
      <c r="AP494" s="6" t="str">
        <f>IF(最佳化斷筋點!R494="","",最佳化斷筋點!R494)</f>
        <v/>
      </c>
      <c r="AQ494" s="6" t="str">
        <f>IF(最佳化斷筋點!S494="","",最佳化斷筋點!S494)</f>
        <v/>
      </c>
      <c r="AR494" s="6" t="str">
        <f>IF(最佳化斷筋點!T494="","",最佳化斷筋點!T494)</f>
        <v/>
      </c>
      <c r="AS494" s="6" t="str">
        <f>IF(最佳化斷筋點!U494="","",最佳化斷筋點!U494)</f>
        <v/>
      </c>
      <c r="AT494" s="6" t="str">
        <f>IF(最佳化斷筋點!V494="","",最佳化斷筋點!V494)</f>
        <v/>
      </c>
      <c r="AU494" s="6" t="str">
        <f>IF(最佳化斷筋點!W494="","",最佳化斷筋點!W494)</f>
        <v/>
      </c>
      <c r="AV494" s="6" t="str">
        <f>IF(最佳化斷筋點!X494="","",最佳化斷筋點!X494)</f>
        <v/>
      </c>
    </row>
    <row r="495" spans="4:71" x14ac:dyDescent="0.25">
      <c r="D495" s="6" t="s">
        <v>50</v>
      </c>
      <c r="E495" s="6">
        <f t="shared" si="148"/>
        <v>0</v>
      </c>
      <c r="F495" s="6">
        <f t="shared" si="149"/>
        <v>0</v>
      </c>
      <c r="G495" s="6">
        <f t="shared" si="150"/>
        <v>0</v>
      </c>
      <c r="H495" s="6">
        <f t="shared" si="151"/>
        <v>0</v>
      </c>
      <c r="I495" s="6">
        <f t="shared" si="152"/>
        <v>0</v>
      </c>
      <c r="J495" s="6">
        <f t="shared" si="153"/>
        <v>0</v>
      </c>
      <c r="K495" s="6">
        <f t="shared" si="154"/>
        <v>0</v>
      </c>
      <c r="L495" s="6">
        <f t="shared" si="155"/>
        <v>0</v>
      </c>
      <c r="M495" s="6">
        <f t="shared" si="156"/>
        <v>0</v>
      </c>
      <c r="N495" s="6">
        <f t="shared" si="157"/>
        <v>0</v>
      </c>
      <c r="O495" s="6">
        <f t="shared" si="158"/>
        <v>0</v>
      </c>
      <c r="P495" s="6">
        <f t="shared" si="159"/>
        <v>0</v>
      </c>
      <c r="Q495" s="6">
        <f t="shared" si="160"/>
        <v>0</v>
      </c>
      <c r="R495" s="6">
        <f t="shared" si="161"/>
        <v>0</v>
      </c>
      <c r="S495" s="6">
        <f t="shared" si="162"/>
        <v>0</v>
      </c>
      <c r="T495" s="6">
        <f t="shared" si="163"/>
        <v>0</v>
      </c>
      <c r="U495" s="6">
        <f t="shared" si="164"/>
        <v>0</v>
      </c>
      <c r="V495" s="6">
        <f t="shared" si="165"/>
        <v>0</v>
      </c>
      <c r="W495" s="6">
        <f t="shared" si="166"/>
        <v>0</v>
      </c>
      <c r="X495" s="6">
        <f t="shared" si="167"/>
        <v>0</v>
      </c>
      <c r="Y495" s="6">
        <f t="shared" si="168"/>
        <v>0</v>
      </c>
      <c r="AA495" s="6" t="str">
        <f>IF(最佳化斷筋點!C495="","",最佳化斷筋點!C495)</f>
        <v>上層</v>
      </c>
      <c r="AB495" s="6">
        <f>IF(最佳化斷筋點!D495="","",最佳化斷筋點!D495)</f>
        <v>6</v>
      </c>
      <c r="AC495" s="6">
        <f>IF(最佳化斷筋點!E495="","",最佳化斷筋點!E495)</f>
        <v>6</v>
      </c>
      <c r="AD495" s="6">
        <f>IF(最佳化斷筋點!F495="","",最佳化斷筋點!F495)</f>
        <v>5</v>
      </c>
      <c r="AE495" s="6">
        <f>IF(最佳化斷筋點!G495="","",最佳化斷筋點!G495)</f>
        <v>5</v>
      </c>
      <c r="AF495" s="6">
        <f>IF(最佳化斷筋點!H495="","",最佳化斷筋點!H495)</f>
        <v>4</v>
      </c>
      <c r="AG495" s="6">
        <f>IF(最佳化斷筋點!I495="","",最佳化斷筋點!I495)</f>
        <v>4</v>
      </c>
      <c r="AH495" s="6">
        <f>IF(最佳化斷筋點!J495="","",最佳化斷筋點!J495)</f>
        <v>3</v>
      </c>
      <c r="AI495" s="6">
        <f>IF(最佳化斷筋點!K495="","",最佳化斷筋點!K495)</f>
        <v>2</v>
      </c>
      <c r="AJ495" s="6">
        <f>IF(最佳化斷筋點!L495="","",最佳化斷筋點!L495)</f>
        <v>2</v>
      </c>
      <c r="AK495" s="6">
        <f>IF(最佳化斷筋點!M495="","",最佳化斷筋點!M495)</f>
        <v>2</v>
      </c>
      <c r="AL495" s="6">
        <f>IF(最佳化斷筋點!N495="","",最佳化斷筋點!N495)</f>
        <v>2</v>
      </c>
      <c r="AM495" s="6">
        <f>IF(最佳化斷筋點!O495="","",最佳化斷筋點!O495)</f>
        <v>2</v>
      </c>
      <c r="AN495" s="6">
        <f>IF(最佳化斷筋點!P495="","",最佳化斷筋點!P495)</f>
        <v>2</v>
      </c>
      <c r="AO495" s="6">
        <f>IF(最佳化斷筋點!Q495="","",最佳化斷筋點!Q495)</f>
        <v>3</v>
      </c>
      <c r="AP495" s="6">
        <f>IF(最佳化斷筋點!R495="","",最佳化斷筋點!R495)</f>
        <v>4</v>
      </c>
      <c r="AQ495" s="6">
        <f>IF(最佳化斷筋點!S495="","",最佳化斷筋點!S495)</f>
        <v>5</v>
      </c>
      <c r="AR495" s="6">
        <f>IF(最佳化斷筋點!T495="","",最佳化斷筋點!T495)</f>
        <v>6</v>
      </c>
      <c r="AS495" s="6">
        <f>IF(最佳化斷筋點!U495="","",最佳化斷筋點!U495)</f>
        <v>7</v>
      </c>
      <c r="AT495" s="6">
        <f>IF(最佳化斷筋點!V495="","",最佳化斷筋點!V495)</f>
        <v>8</v>
      </c>
      <c r="AU495" s="6">
        <f>IF(最佳化斷筋點!W495="","",最佳化斷筋點!W495)</f>
        <v>9</v>
      </c>
      <c r="AV495" s="6">
        <f>IF(最佳化斷筋點!X495="","",最佳化斷筋點!X495)</f>
        <v>9</v>
      </c>
      <c r="AX495" s="6" t="s">
        <v>50</v>
      </c>
      <c r="AY495" s="6">
        <v>6</v>
      </c>
      <c r="AZ495" s="6">
        <v>6</v>
      </c>
      <c r="BA495" s="6">
        <v>5</v>
      </c>
      <c r="BB495" s="6">
        <v>5</v>
      </c>
      <c r="BC495" s="6">
        <v>4</v>
      </c>
      <c r="BD495" s="6">
        <v>4</v>
      </c>
      <c r="BE495" s="6">
        <v>3</v>
      </c>
      <c r="BF495" s="6">
        <v>2</v>
      </c>
      <c r="BG495" s="6">
        <v>2</v>
      </c>
      <c r="BH495" s="6">
        <v>2</v>
      </c>
      <c r="BI495" s="6">
        <v>2</v>
      </c>
      <c r="BJ495" s="6">
        <v>2</v>
      </c>
      <c r="BK495" s="6">
        <v>2</v>
      </c>
      <c r="BL495" s="6">
        <v>3</v>
      </c>
      <c r="BM495" s="6">
        <v>4</v>
      </c>
      <c r="BN495" s="6">
        <v>5</v>
      </c>
      <c r="BO495" s="6">
        <v>6</v>
      </c>
      <c r="BP495" s="6">
        <v>7</v>
      </c>
      <c r="BQ495" s="6">
        <v>8</v>
      </c>
      <c r="BR495" s="6">
        <v>9</v>
      </c>
      <c r="BS495" s="6">
        <v>9</v>
      </c>
    </row>
    <row r="496" spans="4:71" x14ac:dyDescent="0.25">
      <c r="E496" s="6">
        <f t="shared" si="148"/>
        <v>0</v>
      </c>
      <c r="F496" s="6">
        <f t="shared" si="149"/>
        <v>0</v>
      </c>
      <c r="G496" s="6">
        <f t="shared" si="150"/>
        <v>0</v>
      </c>
      <c r="H496" s="6">
        <f t="shared" si="151"/>
        <v>0</v>
      </c>
      <c r="I496" s="6">
        <f t="shared" si="152"/>
        <v>0</v>
      </c>
      <c r="J496" s="6">
        <f t="shared" si="153"/>
        <v>0</v>
      </c>
      <c r="K496" s="6">
        <f t="shared" si="154"/>
        <v>0</v>
      </c>
      <c r="L496" s="6">
        <f t="shared" si="155"/>
        <v>0</v>
      </c>
      <c r="M496" s="6">
        <f t="shared" si="156"/>
        <v>0</v>
      </c>
      <c r="N496" s="6">
        <f t="shared" si="157"/>
        <v>0</v>
      </c>
      <c r="O496" s="6">
        <f t="shared" si="158"/>
        <v>0</v>
      </c>
      <c r="P496" s="6">
        <f t="shared" si="159"/>
        <v>0</v>
      </c>
      <c r="Q496" s="6">
        <f t="shared" si="160"/>
        <v>0</v>
      </c>
      <c r="R496" s="6">
        <f t="shared" si="161"/>
        <v>0</v>
      </c>
      <c r="S496" s="6">
        <f t="shared" si="162"/>
        <v>0</v>
      </c>
      <c r="T496" s="6">
        <f t="shared" si="163"/>
        <v>0</v>
      </c>
      <c r="U496" s="6">
        <f t="shared" si="164"/>
        <v>0</v>
      </c>
      <c r="V496" s="6">
        <f t="shared" si="165"/>
        <v>0</v>
      </c>
      <c r="W496" s="6">
        <f t="shared" si="166"/>
        <v>0</v>
      </c>
      <c r="X496" s="6">
        <f t="shared" si="167"/>
        <v>0</v>
      </c>
      <c r="Y496" s="6">
        <f t="shared" si="168"/>
        <v>0</v>
      </c>
      <c r="AA496" s="6" t="str">
        <f>IF(最佳化斷筋點!C496="","",最佳化斷筋點!C496)</f>
        <v/>
      </c>
      <c r="AB496" s="6" t="str">
        <f>IF(最佳化斷筋點!D496="","",最佳化斷筋點!D496)</f>
        <v/>
      </c>
      <c r="AC496" s="6" t="str">
        <f>IF(最佳化斷筋點!E496="","",最佳化斷筋點!E496)</f>
        <v/>
      </c>
      <c r="AD496" s="6" t="str">
        <f>IF(最佳化斷筋點!F496="","",最佳化斷筋點!F496)</f>
        <v/>
      </c>
      <c r="AE496" s="6" t="str">
        <f>IF(最佳化斷筋點!G496="","",最佳化斷筋點!G496)</f>
        <v/>
      </c>
      <c r="AF496" s="6" t="str">
        <f>IF(最佳化斷筋點!H496="","",最佳化斷筋點!H496)</f>
        <v/>
      </c>
      <c r="AG496" s="6" t="str">
        <f>IF(最佳化斷筋點!I496="","",最佳化斷筋點!I496)</f>
        <v/>
      </c>
      <c r="AH496" s="6" t="str">
        <f>IF(最佳化斷筋點!J496="","",最佳化斷筋點!J496)</f>
        <v/>
      </c>
      <c r="AI496" s="6" t="str">
        <f>IF(最佳化斷筋點!K496="","",最佳化斷筋點!K496)</f>
        <v/>
      </c>
      <c r="AJ496" s="6" t="str">
        <f>IF(最佳化斷筋點!L496="","",最佳化斷筋點!L496)</f>
        <v/>
      </c>
      <c r="AK496" s="6" t="str">
        <f>IF(最佳化斷筋點!M496="","",最佳化斷筋點!M496)</f>
        <v/>
      </c>
      <c r="AL496" s="6" t="str">
        <f>IF(最佳化斷筋點!N496="","",最佳化斷筋點!N496)</f>
        <v/>
      </c>
      <c r="AM496" s="6" t="str">
        <f>IF(最佳化斷筋點!O496="","",最佳化斷筋點!O496)</f>
        <v/>
      </c>
      <c r="AN496" s="6" t="str">
        <f>IF(最佳化斷筋點!P496="","",最佳化斷筋點!P496)</f>
        <v/>
      </c>
      <c r="AO496" s="6" t="str">
        <f>IF(最佳化斷筋點!Q496="","",最佳化斷筋點!Q496)</f>
        <v/>
      </c>
      <c r="AP496" s="6" t="str">
        <f>IF(最佳化斷筋點!R496="","",最佳化斷筋點!R496)</f>
        <v/>
      </c>
      <c r="AQ496" s="6" t="str">
        <f>IF(最佳化斷筋點!S496="","",最佳化斷筋點!S496)</f>
        <v/>
      </c>
      <c r="AR496" s="6" t="str">
        <f>IF(最佳化斷筋點!T496="","",最佳化斷筋點!T496)</f>
        <v/>
      </c>
      <c r="AS496" s="6" t="str">
        <f>IF(最佳化斷筋點!U496="","",最佳化斷筋點!U496)</f>
        <v/>
      </c>
      <c r="AT496" s="6" t="str">
        <f>IF(最佳化斷筋點!V496="","",最佳化斷筋點!V496)</f>
        <v/>
      </c>
      <c r="AU496" s="6" t="str">
        <f>IF(最佳化斷筋點!W496="","",最佳化斷筋點!W496)</f>
        <v/>
      </c>
      <c r="AV496" s="6" t="str">
        <f>IF(最佳化斷筋點!X496="","",最佳化斷筋點!X496)</f>
        <v/>
      </c>
    </row>
    <row r="497" spans="4:71" x14ac:dyDescent="0.25">
      <c r="D497" s="6" t="s">
        <v>51</v>
      </c>
      <c r="E497" s="6">
        <f t="shared" si="148"/>
        <v>0</v>
      </c>
      <c r="F497" s="6">
        <f t="shared" si="149"/>
        <v>0</v>
      </c>
      <c r="G497" s="6">
        <f t="shared" si="150"/>
        <v>0</v>
      </c>
      <c r="H497" s="6">
        <f t="shared" si="151"/>
        <v>0</v>
      </c>
      <c r="I497" s="6">
        <f t="shared" si="152"/>
        <v>0</v>
      </c>
      <c r="J497" s="6">
        <f t="shared" si="153"/>
        <v>0</v>
      </c>
      <c r="K497" s="6">
        <f t="shared" si="154"/>
        <v>0</v>
      </c>
      <c r="L497" s="6">
        <f t="shared" si="155"/>
        <v>0</v>
      </c>
      <c r="M497" s="6">
        <f t="shared" si="156"/>
        <v>0</v>
      </c>
      <c r="N497" s="6">
        <f t="shared" si="157"/>
        <v>0</v>
      </c>
      <c r="O497" s="6">
        <f t="shared" si="158"/>
        <v>0</v>
      </c>
      <c r="P497" s="6">
        <f t="shared" si="159"/>
        <v>0</v>
      </c>
      <c r="Q497" s="6">
        <f t="shared" si="160"/>
        <v>0</v>
      </c>
      <c r="R497" s="6">
        <f t="shared" si="161"/>
        <v>0</v>
      </c>
      <c r="S497" s="6">
        <f t="shared" si="162"/>
        <v>0</v>
      </c>
      <c r="T497" s="6">
        <f t="shared" si="163"/>
        <v>0</v>
      </c>
      <c r="U497" s="6">
        <f t="shared" si="164"/>
        <v>0</v>
      </c>
      <c r="V497" s="6">
        <f t="shared" si="165"/>
        <v>0</v>
      </c>
      <c r="W497" s="6">
        <f t="shared" si="166"/>
        <v>0</v>
      </c>
      <c r="X497" s="6">
        <f t="shared" si="167"/>
        <v>0</v>
      </c>
      <c r="Y497" s="6">
        <f t="shared" si="168"/>
        <v>0</v>
      </c>
      <c r="AA497" s="6" t="str">
        <f>IF(最佳化斷筋點!C497="","",最佳化斷筋點!C497)</f>
        <v>下層</v>
      </c>
      <c r="AB497" s="6">
        <f>IF(最佳化斷筋點!D497="","",最佳化斷筋點!D497)</f>
        <v>5</v>
      </c>
      <c r="AC497" s="6">
        <f>IF(最佳化斷筋點!E497="","",最佳化斷筋點!E497)</f>
        <v>5</v>
      </c>
      <c r="AD497" s="6">
        <f>IF(最佳化斷筋點!F497="","",最佳化斷筋點!F497)</f>
        <v>4</v>
      </c>
      <c r="AE497" s="6">
        <f>IF(最佳化斷筋點!G497="","",最佳化斷筋點!G497)</f>
        <v>4</v>
      </c>
      <c r="AF497" s="6">
        <f>IF(最佳化斷筋點!H497="","",最佳化斷筋點!H497)</f>
        <v>4</v>
      </c>
      <c r="AG497" s="6">
        <f>IF(最佳化斷筋點!I497="","",最佳化斷筋點!I497)</f>
        <v>5</v>
      </c>
      <c r="AH497" s="6">
        <f>IF(最佳化斷筋點!J497="","",最佳化斷筋點!J497)</f>
        <v>6</v>
      </c>
      <c r="AI497" s="6">
        <f>IF(最佳化斷筋點!K497="","",最佳化斷筋點!K497)</f>
        <v>6</v>
      </c>
      <c r="AJ497" s="6">
        <f>IF(最佳化斷筋點!L497="","",最佳化斷筋點!L497)</f>
        <v>6</v>
      </c>
      <c r="AK497" s="6">
        <f>IF(最佳化斷筋點!M497="","",最佳化斷筋點!M497)</f>
        <v>6</v>
      </c>
      <c r="AL497" s="6">
        <f>IF(最佳化斷筋點!N497="","",最佳化斷筋點!N497)</f>
        <v>6</v>
      </c>
      <c r="AM497" s="6">
        <f>IF(最佳化斷筋點!O497="","",最佳化斷筋點!O497)</f>
        <v>6</v>
      </c>
      <c r="AN497" s="6">
        <f>IF(最佳化斷筋點!P497="","",最佳化斷筋點!P497)</f>
        <v>6</v>
      </c>
      <c r="AO497" s="6">
        <f>IF(最佳化斷筋點!Q497="","",最佳化斷筋點!Q497)</f>
        <v>6</v>
      </c>
      <c r="AP497" s="6">
        <f>IF(最佳化斷筋點!R497="","",最佳化斷筋點!R497)</f>
        <v>6</v>
      </c>
      <c r="AQ497" s="6">
        <f>IF(最佳化斷筋點!S497="","",最佳化斷筋點!S497)</f>
        <v>5</v>
      </c>
      <c r="AR497" s="6">
        <f>IF(最佳化斷筋點!T497="","",最佳化斷筋點!T497)</f>
        <v>4</v>
      </c>
      <c r="AS497" s="6">
        <f>IF(最佳化斷筋點!U497="","",最佳化斷筋點!U497)</f>
        <v>4</v>
      </c>
      <c r="AT497" s="6">
        <f>IF(最佳化斷筋點!V497="","",最佳化斷筋點!V497)</f>
        <v>4</v>
      </c>
      <c r="AU497" s="6">
        <f>IF(最佳化斷筋點!W497="","",最佳化斷筋點!W497)</f>
        <v>5</v>
      </c>
      <c r="AV497" s="6">
        <f>IF(最佳化斷筋點!X497="","",最佳化斷筋點!X497)</f>
        <v>5</v>
      </c>
      <c r="AX497" s="6" t="s">
        <v>51</v>
      </c>
      <c r="AY497" s="6">
        <v>5</v>
      </c>
      <c r="AZ497" s="6">
        <v>5</v>
      </c>
      <c r="BA497" s="6">
        <v>4</v>
      </c>
      <c r="BB497" s="6">
        <v>4</v>
      </c>
      <c r="BC497" s="6">
        <v>4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5</v>
      </c>
      <c r="BO497" s="6">
        <v>4</v>
      </c>
      <c r="BP497" s="6">
        <v>4</v>
      </c>
      <c r="BQ497" s="6">
        <v>4</v>
      </c>
      <c r="BR497" s="6">
        <v>5</v>
      </c>
      <c r="BS497" s="6">
        <v>5</v>
      </c>
    </row>
    <row r="498" spans="4:71" x14ac:dyDescent="0.25">
      <c r="E498" s="6">
        <f t="shared" si="148"/>
        <v>0</v>
      </c>
      <c r="F498" s="6">
        <f t="shared" si="149"/>
        <v>0</v>
      </c>
      <c r="G498" s="6">
        <f t="shared" si="150"/>
        <v>0</v>
      </c>
      <c r="H498" s="6">
        <f t="shared" si="151"/>
        <v>0</v>
      </c>
      <c r="I498" s="6">
        <f t="shared" si="152"/>
        <v>0</v>
      </c>
      <c r="J498" s="6">
        <f t="shared" si="153"/>
        <v>0</v>
      </c>
      <c r="K498" s="6">
        <f t="shared" si="154"/>
        <v>0</v>
      </c>
      <c r="L498" s="6">
        <f t="shared" si="155"/>
        <v>0</v>
      </c>
      <c r="M498" s="6">
        <f t="shared" si="156"/>
        <v>0</v>
      </c>
      <c r="N498" s="6">
        <f t="shared" si="157"/>
        <v>0</v>
      </c>
      <c r="O498" s="6">
        <f t="shared" si="158"/>
        <v>0</v>
      </c>
      <c r="P498" s="6">
        <f t="shared" si="159"/>
        <v>0</v>
      </c>
      <c r="Q498" s="6">
        <f t="shared" si="160"/>
        <v>0</v>
      </c>
      <c r="R498" s="6">
        <f t="shared" si="161"/>
        <v>0</v>
      </c>
      <c r="S498" s="6">
        <f t="shared" si="162"/>
        <v>0</v>
      </c>
      <c r="T498" s="6">
        <f t="shared" si="163"/>
        <v>0</v>
      </c>
      <c r="U498" s="6">
        <f t="shared" si="164"/>
        <v>0</v>
      </c>
      <c r="V498" s="6">
        <f t="shared" si="165"/>
        <v>0</v>
      </c>
      <c r="W498" s="6">
        <f t="shared" si="166"/>
        <v>0</v>
      </c>
      <c r="X498" s="6">
        <f t="shared" si="167"/>
        <v>0</v>
      </c>
      <c r="Y498" s="6">
        <f t="shared" si="168"/>
        <v>0</v>
      </c>
      <c r="AA498" s="6" t="str">
        <f>IF(最佳化斷筋點!C498="","",最佳化斷筋點!C498)</f>
        <v/>
      </c>
      <c r="AB498" s="6" t="str">
        <f>IF(最佳化斷筋點!D498="","",最佳化斷筋點!D498)</f>
        <v/>
      </c>
      <c r="AC498" s="6" t="str">
        <f>IF(最佳化斷筋點!E498="","",最佳化斷筋點!E498)</f>
        <v/>
      </c>
      <c r="AD498" s="6" t="str">
        <f>IF(最佳化斷筋點!F498="","",最佳化斷筋點!F498)</f>
        <v/>
      </c>
      <c r="AE498" s="6" t="str">
        <f>IF(最佳化斷筋點!G498="","",最佳化斷筋點!G498)</f>
        <v/>
      </c>
      <c r="AF498" s="6" t="str">
        <f>IF(最佳化斷筋點!H498="","",最佳化斷筋點!H498)</f>
        <v/>
      </c>
      <c r="AG498" s="6" t="str">
        <f>IF(最佳化斷筋點!I498="","",最佳化斷筋點!I498)</f>
        <v/>
      </c>
      <c r="AH498" s="6" t="str">
        <f>IF(最佳化斷筋點!J498="","",最佳化斷筋點!J498)</f>
        <v/>
      </c>
      <c r="AI498" s="6" t="str">
        <f>IF(最佳化斷筋點!K498="","",最佳化斷筋點!K498)</f>
        <v/>
      </c>
      <c r="AJ498" s="6" t="str">
        <f>IF(最佳化斷筋點!L498="","",最佳化斷筋點!L498)</f>
        <v/>
      </c>
      <c r="AK498" s="6" t="str">
        <f>IF(最佳化斷筋點!M498="","",最佳化斷筋點!M498)</f>
        <v/>
      </c>
      <c r="AL498" s="6" t="str">
        <f>IF(最佳化斷筋點!N498="","",最佳化斷筋點!N498)</f>
        <v/>
      </c>
      <c r="AM498" s="6" t="str">
        <f>IF(最佳化斷筋點!O498="","",最佳化斷筋點!O498)</f>
        <v/>
      </c>
      <c r="AN498" s="6" t="str">
        <f>IF(最佳化斷筋點!P498="","",最佳化斷筋點!P498)</f>
        <v/>
      </c>
      <c r="AO498" s="6" t="str">
        <f>IF(最佳化斷筋點!Q498="","",最佳化斷筋點!Q498)</f>
        <v/>
      </c>
      <c r="AP498" s="6" t="str">
        <f>IF(最佳化斷筋點!R498="","",最佳化斷筋點!R498)</f>
        <v/>
      </c>
      <c r="AQ498" s="6" t="str">
        <f>IF(最佳化斷筋點!S498="","",最佳化斷筋點!S498)</f>
        <v/>
      </c>
      <c r="AR498" s="6" t="str">
        <f>IF(最佳化斷筋點!T498="","",最佳化斷筋點!T498)</f>
        <v/>
      </c>
      <c r="AS498" s="6" t="str">
        <f>IF(最佳化斷筋點!U498="","",最佳化斷筋點!U498)</f>
        <v/>
      </c>
      <c r="AT498" s="6" t="str">
        <f>IF(最佳化斷筋點!V498="","",最佳化斷筋點!V498)</f>
        <v/>
      </c>
      <c r="AU498" s="6" t="str">
        <f>IF(最佳化斷筋點!W498="","",最佳化斷筋點!W498)</f>
        <v/>
      </c>
      <c r="AV498" s="6" t="str">
        <f>IF(最佳化斷筋點!X498="","",最佳化斷筋點!X498)</f>
        <v/>
      </c>
    </row>
    <row r="499" spans="4:71" x14ac:dyDescent="0.25">
      <c r="D499" s="6" t="s">
        <v>50</v>
      </c>
      <c r="E499" s="6">
        <f t="shared" si="148"/>
        <v>0</v>
      </c>
      <c r="F499" s="6">
        <f t="shared" si="149"/>
        <v>0</v>
      </c>
      <c r="G499" s="6">
        <f t="shared" si="150"/>
        <v>0</v>
      </c>
      <c r="H499" s="6">
        <f t="shared" si="151"/>
        <v>0</v>
      </c>
      <c r="I499" s="6">
        <f t="shared" si="152"/>
        <v>0</v>
      </c>
      <c r="J499" s="6">
        <f t="shared" si="153"/>
        <v>0</v>
      </c>
      <c r="K499" s="6">
        <f t="shared" si="154"/>
        <v>0</v>
      </c>
      <c r="L499" s="6">
        <f t="shared" si="155"/>
        <v>0</v>
      </c>
      <c r="M499" s="6">
        <f t="shared" si="156"/>
        <v>0</v>
      </c>
      <c r="N499" s="6">
        <f t="shared" si="157"/>
        <v>0</v>
      </c>
      <c r="O499" s="6">
        <f t="shared" si="158"/>
        <v>0</v>
      </c>
      <c r="P499" s="6">
        <f t="shared" si="159"/>
        <v>0</v>
      </c>
      <c r="Q499" s="6">
        <f t="shared" si="160"/>
        <v>0</v>
      </c>
      <c r="R499" s="6">
        <f t="shared" si="161"/>
        <v>0</v>
      </c>
      <c r="S499" s="6">
        <f t="shared" si="162"/>
        <v>0</v>
      </c>
      <c r="T499" s="6">
        <f t="shared" si="163"/>
        <v>0</v>
      </c>
      <c r="U499" s="6">
        <f t="shared" si="164"/>
        <v>0</v>
      </c>
      <c r="V499" s="6">
        <f t="shared" si="165"/>
        <v>0</v>
      </c>
      <c r="W499" s="6">
        <f t="shared" si="166"/>
        <v>0</v>
      </c>
      <c r="X499" s="6">
        <f t="shared" si="167"/>
        <v>0</v>
      </c>
      <c r="Y499" s="6">
        <f t="shared" si="168"/>
        <v>0</v>
      </c>
      <c r="AA499" s="6" t="str">
        <f>IF(最佳化斷筋點!C499="","",最佳化斷筋點!C499)</f>
        <v>上層</v>
      </c>
      <c r="AB499" s="6">
        <f>IF(最佳化斷筋點!D499="","",最佳化斷筋點!D499)</f>
        <v>6</v>
      </c>
      <c r="AC499" s="6">
        <f>IF(最佳化斷筋點!E499="","",最佳化斷筋點!E499)</f>
        <v>6</v>
      </c>
      <c r="AD499" s="6">
        <f>IF(最佳化斷筋點!F499="","",最佳化斷筋點!F499)</f>
        <v>5</v>
      </c>
      <c r="AE499" s="6">
        <f>IF(最佳化斷筋點!G499="","",最佳化斷筋點!G499)</f>
        <v>5</v>
      </c>
      <c r="AF499" s="6">
        <f>IF(最佳化斷筋點!H499="","",最佳化斷筋點!H499)</f>
        <v>4</v>
      </c>
      <c r="AG499" s="6">
        <f>IF(最佳化斷筋點!I499="","",最佳化斷筋點!I499)</f>
        <v>4</v>
      </c>
      <c r="AH499" s="6">
        <f>IF(最佳化斷筋點!J499="","",最佳化斷筋點!J499)</f>
        <v>3</v>
      </c>
      <c r="AI499" s="6">
        <f>IF(最佳化斷筋點!K499="","",最佳化斷筋點!K499)</f>
        <v>2</v>
      </c>
      <c r="AJ499" s="6">
        <f>IF(最佳化斷筋點!L499="","",最佳化斷筋點!L499)</f>
        <v>2</v>
      </c>
      <c r="AK499" s="6">
        <f>IF(最佳化斷筋點!M499="","",最佳化斷筋點!M499)</f>
        <v>2</v>
      </c>
      <c r="AL499" s="6">
        <f>IF(最佳化斷筋點!N499="","",最佳化斷筋點!N499)</f>
        <v>2</v>
      </c>
      <c r="AM499" s="6">
        <f>IF(最佳化斷筋點!O499="","",最佳化斷筋點!O499)</f>
        <v>2</v>
      </c>
      <c r="AN499" s="6">
        <f>IF(最佳化斷筋點!P499="","",最佳化斷筋點!P499)</f>
        <v>2</v>
      </c>
      <c r="AO499" s="6">
        <f>IF(最佳化斷筋點!Q499="","",最佳化斷筋點!Q499)</f>
        <v>3</v>
      </c>
      <c r="AP499" s="6">
        <f>IF(最佳化斷筋點!R499="","",最佳化斷筋點!R499)</f>
        <v>4</v>
      </c>
      <c r="AQ499" s="6">
        <f>IF(最佳化斷筋點!S499="","",最佳化斷筋點!S499)</f>
        <v>5</v>
      </c>
      <c r="AR499" s="6">
        <f>IF(最佳化斷筋點!T499="","",最佳化斷筋點!T499)</f>
        <v>6</v>
      </c>
      <c r="AS499" s="6">
        <f>IF(最佳化斷筋點!U499="","",最佳化斷筋點!U499)</f>
        <v>7</v>
      </c>
      <c r="AT499" s="6">
        <f>IF(最佳化斷筋點!V499="","",最佳化斷筋點!V499)</f>
        <v>8</v>
      </c>
      <c r="AU499" s="6">
        <f>IF(最佳化斷筋點!W499="","",最佳化斷筋點!W499)</f>
        <v>9</v>
      </c>
      <c r="AV499" s="6">
        <f>IF(最佳化斷筋點!X499="","",最佳化斷筋點!X499)</f>
        <v>9</v>
      </c>
      <c r="AX499" s="6" t="s">
        <v>50</v>
      </c>
      <c r="AY499" s="6">
        <v>6</v>
      </c>
      <c r="AZ499" s="6">
        <v>6</v>
      </c>
      <c r="BA499" s="6">
        <v>5</v>
      </c>
      <c r="BB499" s="6">
        <v>5</v>
      </c>
      <c r="BC499" s="6">
        <v>4</v>
      </c>
      <c r="BD499" s="6">
        <v>4</v>
      </c>
      <c r="BE499" s="6">
        <v>3</v>
      </c>
      <c r="BF499" s="6">
        <v>2</v>
      </c>
      <c r="BG499" s="6">
        <v>2</v>
      </c>
      <c r="BH499" s="6">
        <v>2</v>
      </c>
      <c r="BI499" s="6">
        <v>2</v>
      </c>
      <c r="BJ499" s="6">
        <v>2</v>
      </c>
      <c r="BK499" s="6">
        <v>2</v>
      </c>
      <c r="BL499" s="6">
        <v>3</v>
      </c>
      <c r="BM499" s="6">
        <v>4</v>
      </c>
      <c r="BN499" s="6">
        <v>5</v>
      </c>
      <c r="BO499" s="6">
        <v>6</v>
      </c>
      <c r="BP499" s="6">
        <v>7</v>
      </c>
      <c r="BQ499" s="6">
        <v>8</v>
      </c>
      <c r="BR499" s="6">
        <v>9</v>
      </c>
      <c r="BS499" s="6">
        <v>9</v>
      </c>
    </row>
    <row r="500" spans="4:71" x14ac:dyDescent="0.25">
      <c r="E500" s="6">
        <f t="shared" si="148"/>
        <v>0</v>
      </c>
      <c r="F500" s="6">
        <f t="shared" si="149"/>
        <v>0</v>
      </c>
      <c r="G500" s="6">
        <f t="shared" si="150"/>
        <v>0</v>
      </c>
      <c r="H500" s="6">
        <f t="shared" si="151"/>
        <v>0</v>
      </c>
      <c r="I500" s="6">
        <f t="shared" si="152"/>
        <v>0</v>
      </c>
      <c r="J500" s="6">
        <f t="shared" si="153"/>
        <v>0</v>
      </c>
      <c r="K500" s="6">
        <f t="shared" si="154"/>
        <v>0</v>
      </c>
      <c r="L500" s="6">
        <f t="shared" si="155"/>
        <v>0</v>
      </c>
      <c r="M500" s="6">
        <f t="shared" si="156"/>
        <v>0</v>
      </c>
      <c r="N500" s="6">
        <f t="shared" si="157"/>
        <v>0</v>
      </c>
      <c r="O500" s="6">
        <f t="shared" si="158"/>
        <v>0</v>
      </c>
      <c r="P500" s="6">
        <f t="shared" si="159"/>
        <v>0</v>
      </c>
      <c r="Q500" s="6">
        <f t="shared" si="160"/>
        <v>0</v>
      </c>
      <c r="R500" s="6">
        <f t="shared" si="161"/>
        <v>0</v>
      </c>
      <c r="S500" s="6">
        <f t="shared" si="162"/>
        <v>0</v>
      </c>
      <c r="T500" s="6">
        <f t="shared" si="163"/>
        <v>0</v>
      </c>
      <c r="U500" s="6">
        <f t="shared" si="164"/>
        <v>0</v>
      </c>
      <c r="V500" s="6">
        <f t="shared" si="165"/>
        <v>0</v>
      </c>
      <c r="W500" s="6">
        <f t="shared" si="166"/>
        <v>0</v>
      </c>
      <c r="X500" s="6">
        <f t="shared" si="167"/>
        <v>0</v>
      </c>
      <c r="Y500" s="6">
        <f t="shared" si="168"/>
        <v>0</v>
      </c>
      <c r="AA500" s="6" t="str">
        <f>IF(最佳化斷筋點!C500="","",最佳化斷筋點!C500)</f>
        <v/>
      </c>
      <c r="AB500" s="6" t="str">
        <f>IF(最佳化斷筋點!D500="","",最佳化斷筋點!D500)</f>
        <v/>
      </c>
      <c r="AC500" s="6" t="str">
        <f>IF(最佳化斷筋點!E500="","",最佳化斷筋點!E500)</f>
        <v/>
      </c>
      <c r="AD500" s="6" t="str">
        <f>IF(最佳化斷筋點!F500="","",最佳化斷筋點!F500)</f>
        <v/>
      </c>
      <c r="AE500" s="6" t="str">
        <f>IF(最佳化斷筋點!G500="","",最佳化斷筋點!G500)</f>
        <v/>
      </c>
      <c r="AF500" s="6" t="str">
        <f>IF(最佳化斷筋點!H500="","",最佳化斷筋點!H500)</f>
        <v/>
      </c>
      <c r="AG500" s="6" t="str">
        <f>IF(最佳化斷筋點!I500="","",最佳化斷筋點!I500)</f>
        <v/>
      </c>
      <c r="AH500" s="6" t="str">
        <f>IF(最佳化斷筋點!J500="","",最佳化斷筋點!J500)</f>
        <v/>
      </c>
      <c r="AI500" s="6" t="str">
        <f>IF(最佳化斷筋點!K500="","",最佳化斷筋點!K500)</f>
        <v/>
      </c>
      <c r="AJ500" s="6" t="str">
        <f>IF(最佳化斷筋點!L500="","",最佳化斷筋點!L500)</f>
        <v/>
      </c>
      <c r="AK500" s="6" t="str">
        <f>IF(最佳化斷筋點!M500="","",最佳化斷筋點!M500)</f>
        <v/>
      </c>
      <c r="AL500" s="6" t="str">
        <f>IF(最佳化斷筋點!N500="","",最佳化斷筋點!N500)</f>
        <v/>
      </c>
      <c r="AM500" s="6" t="str">
        <f>IF(最佳化斷筋點!O500="","",最佳化斷筋點!O500)</f>
        <v/>
      </c>
      <c r="AN500" s="6" t="str">
        <f>IF(最佳化斷筋點!P500="","",最佳化斷筋點!P500)</f>
        <v/>
      </c>
      <c r="AO500" s="6" t="str">
        <f>IF(最佳化斷筋點!Q500="","",最佳化斷筋點!Q500)</f>
        <v/>
      </c>
      <c r="AP500" s="6" t="str">
        <f>IF(最佳化斷筋點!R500="","",最佳化斷筋點!R500)</f>
        <v/>
      </c>
      <c r="AQ500" s="6" t="str">
        <f>IF(最佳化斷筋點!S500="","",最佳化斷筋點!S500)</f>
        <v/>
      </c>
      <c r="AR500" s="6" t="str">
        <f>IF(最佳化斷筋點!T500="","",最佳化斷筋點!T500)</f>
        <v/>
      </c>
      <c r="AS500" s="6" t="str">
        <f>IF(最佳化斷筋點!U500="","",最佳化斷筋點!U500)</f>
        <v/>
      </c>
      <c r="AT500" s="6" t="str">
        <f>IF(最佳化斷筋點!V500="","",最佳化斷筋點!V500)</f>
        <v/>
      </c>
      <c r="AU500" s="6" t="str">
        <f>IF(最佳化斷筋點!W500="","",最佳化斷筋點!W500)</f>
        <v/>
      </c>
      <c r="AV500" s="6" t="str">
        <f>IF(最佳化斷筋點!X500="","",最佳化斷筋點!X500)</f>
        <v/>
      </c>
    </row>
    <row r="501" spans="4:71" x14ac:dyDescent="0.25">
      <c r="D501" s="6" t="s">
        <v>51</v>
      </c>
      <c r="E501" s="6">
        <f t="shared" si="148"/>
        <v>0</v>
      </c>
      <c r="F501" s="6">
        <f t="shared" si="149"/>
        <v>0</v>
      </c>
      <c r="G501" s="6">
        <f t="shared" si="150"/>
        <v>0</v>
      </c>
      <c r="H501" s="6">
        <f t="shared" si="151"/>
        <v>0</v>
      </c>
      <c r="I501" s="6">
        <f t="shared" si="152"/>
        <v>0</v>
      </c>
      <c r="J501" s="6">
        <f t="shared" si="153"/>
        <v>0</v>
      </c>
      <c r="K501" s="6">
        <f t="shared" si="154"/>
        <v>0</v>
      </c>
      <c r="L501" s="6">
        <f t="shared" si="155"/>
        <v>0</v>
      </c>
      <c r="M501" s="6">
        <f t="shared" si="156"/>
        <v>0</v>
      </c>
      <c r="N501" s="6">
        <f t="shared" si="157"/>
        <v>0</v>
      </c>
      <c r="O501" s="6">
        <f t="shared" si="158"/>
        <v>0</v>
      </c>
      <c r="P501" s="6">
        <f t="shared" si="159"/>
        <v>0</v>
      </c>
      <c r="Q501" s="6">
        <f t="shared" si="160"/>
        <v>0</v>
      </c>
      <c r="R501" s="6">
        <f t="shared" si="161"/>
        <v>0</v>
      </c>
      <c r="S501" s="6">
        <f t="shared" si="162"/>
        <v>0</v>
      </c>
      <c r="T501" s="6">
        <f t="shared" si="163"/>
        <v>0</v>
      </c>
      <c r="U501" s="6">
        <f t="shared" si="164"/>
        <v>0</v>
      </c>
      <c r="V501" s="6">
        <f t="shared" si="165"/>
        <v>0</v>
      </c>
      <c r="W501" s="6">
        <f t="shared" si="166"/>
        <v>0</v>
      </c>
      <c r="X501" s="6">
        <f t="shared" si="167"/>
        <v>0</v>
      </c>
      <c r="Y501" s="6">
        <f t="shared" si="168"/>
        <v>0</v>
      </c>
      <c r="AA501" s="6" t="str">
        <f>IF(最佳化斷筋點!C501="","",最佳化斷筋點!C501)</f>
        <v>下層</v>
      </c>
      <c r="AB501" s="6">
        <f>IF(最佳化斷筋點!D501="","",最佳化斷筋點!D501)</f>
        <v>5</v>
      </c>
      <c r="AC501" s="6">
        <f>IF(最佳化斷筋點!E501="","",最佳化斷筋點!E501)</f>
        <v>5</v>
      </c>
      <c r="AD501" s="6">
        <f>IF(最佳化斷筋點!F501="","",最佳化斷筋點!F501)</f>
        <v>4</v>
      </c>
      <c r="AE501" s="6">
        <f>IF(最佳化斷筋點!G501="","",最佳化斷筋點!G501)</f>
        <v>4</v>
      </c>
      <c r="AF501" s="6">
        <f>IF(最佳化斷筋點!H501="","",最佳化斷筋點!H501)</f>
        <v>4</v>
      </c>
      <c r="AG501" s="6">
        <f>IF(最佳化斷筋點!I501="","",最佳化斷筋點!I501)</f>
        <v>5</v>
      </c>
      <c r="AH501" s="6">
        <f>IF(最佳化斷筋點!J501="","",最佳化斷筋點!J501)</f>
        <v>6</v>
      </c>
      <c r="AI501" s="6">
        <f>IF(最佳化斷筋點!K501="","",最佳化斷筋點!K501)</f>
        <v>6</v>
      </c>
      <c r="AJ501" s="6">
        <f>IF(最佳化斷筋點!L501="","",最佳化斷筋點!L501)</f>
        <v>6</v>
      </c>
      <c r="AK501" s="6">
        <f>IF(最佳化斷筋點!M501="","",最佳化斷筋點!M501)</f>
        <v>6</v>
      </c>
      <c r="AL501" s="6">
        <f>IF(最佳化斷筋點!N501="","",最佳化斷筋點!N501)</f>
        <v>6</v>
      </c>
      <c r="AM501" s="6">
        <f>IF(最佳化斷筋點!O501="","",最佳化斷筋點!O501)</f>
        <v>6</v>
      </c>
      <c r="AN501" s="6">
        <f>IF(最佳化斷筋點!P501="","",最佳化斷筋點!P501)</f>
        <v>6</v>
      </c>
      <c r="AO501" s="6">
        <f>IF(最佳化斷筋點!Q501="","",最佳化斷筋點!Q501)</f>
        <v>6</v>
      </c>
      <c r="AP501" s="6">
        <f>IF(最佳化斷筋點!R501="","",最佳化斷筋點!R501)</f>
        <v>6</v>
      </c>
      <c r="AQ501" s="6">
        <f>IF(最佳化斷筋點!S501="","",最佳化斷筋點!S501)</f>
        <v>5</v>
      </c>
      <c r="AR501" s="6">
        <f>IF(最佳化斷筋點!T501="","",最佳化斷筋點!T501)</f>
        <v>4</v>
      </c>
      <c r="AS501" s="6">
        <f>IF(最佳化斷筋點!U501="","",最佳化斷筋點!U501)</f>
        <v>4</v>
      </c>
      <c r="AT501" s="6">
        <f>IF(最佳化斷筋點!V501="","",最佳化斷筋點!V501)</f>
        <v>4</v>
      </c>
      <c r="AU501" s="6">
        <f>IF(最佳化斷筋點!W501="","",最佳化斷筋點!W501)</f>
        <v>5</v>
      </c>
      <c r="AV501" s="6">
        <f>IF(最佳化斷筋點!X501="","",最佳化斷筋點!X501)</f>
        <v>5</v>
      </c>
      <c r="AX501" s="6" t="s">
        <v>51</v>
      </c>
      <c r="AY501" s="6">
        <v>5</v>
      </c>
      <c r="AZ501" s="6">
        <v>5</v>
      </c>
      <c r="BA501" s="6">
        <v>4</v>
      </c>
      <c r="BB501" s="6">
        <v>4</v>
      </c>
      <c r="BC501" s="6">
        <v>4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5</v>
      </c>
      <c r="BO501" s="6">
        <v>4</v>
      </c>
      <c r="BP501" s="6">
        <v>4</v>
      </c>
      <c r="BQ501" s="6">
        <v>4</v>
      </c>
      <c r="BR501" s="6">
        <v>5</v>
      </c>
      <c r="BS501" s="6">
        <v>5</v>
      </c>
    </row>
    <row r="502" spans="4:71" x14ac:dyDescent="0.25">
      <c r="E502" s="6">
        <f t="shared" si="148"/>
        <v>0</v>
      </c>
      <c r="F502" s="6">
        <f t="shared" si="149"/>
        <v>0</v>
      </c>
      <c r="G502" s="6">
        <f t="shared" si="150"/>
        <v>0</v>
      </c>
      <c r="H502" s="6">
        <f t="shared" si="151"/>
        <v>0</v>
      </c>
      <c r="I502" s="6">
        <f t="shared" si="152"/>
        <v>0</v>
      </c>
      <c r="J502" s="6">
        <f t="shared" si="153"/>
        <v>0</v>
      </c>
      <c r="K502" s="6">
        <f t="shared" si="154"/>
        <v>0</v>
      </c>
      <c r="L502" s="6">
        <f t="shared" si="155"/>
        <v>0</v>
      </c>
      <c r="M502" s="6">
        <f t="shared" si="156"/>
        <v>0</v>
      </c>
      <c r="N502" s="6">
        <f t="shared" si="157"/>
        <v>0</v>
      </c>
      <c r="O502" s="6">
        <f t="shared" si="158"/>
        <v>0</v>
      </c>
      <c r="P502" s="6">
        <f t="shared" si="159"/>
        <v>0</v>
      </c>
      <c r="Q502" s="6">
        <f t="shared" si="160"/>
        <v>0</v>
      </c>
      <c r="R502" s="6">
        <f t="shared" si="161"/>
        <v>0</v>
      </c>
      <c r="S502" s="6">
        <f t="shared" si="162"/>
        <v>0</v>
      </c>
      <c r="T502" s="6">
        <f t="shared" si="163"/>
        <v>0</v>
      </c>
      <c r="U502" s="6">
        <f t="shared" si="164"/>
        <v>0</v>
      </c>
      <c r="V502" s="6">
        <f t="shared" si="165"/>
        <v>0</v>
      </c>
      <c r="W502" s="6">
        <f t="shared" si="166"/>
        <v>0</v>
      </c>
      <c r="X502" s="6">
        <f t="shared" si="167"/>
        <v>0</v>
      </c>
      <c r="Y502" s="6">
        <f t="shared" si="168"/>
        <v>0</v>
      </c>
      <c r="AA502" s="6" t="str">
        <f>IF(最佳化斷筋點!C502="","",最佳化斷筋點!C502)</f>
        <v/>
      </c>
      <c r="AB502" s="6" t="str">
        <f>IF(最佳化斷筋點!D502="","",最佳化斷筋點!D502)</f>
        <v/>
      </c>
      <c r="AC502" s="6" t="str">
        <f>IF(最佳化斷筋點!E502="","",最佳化斷筋點!E502)</f>
        <v/>
      </c>
      <c r="AD502" s="6" t="str">
        <f>IF(最佳化斷筋點!F502="","",最佳化斷筋點!F502)</f>
        <v/>
      </c>
      <c r="AE502" s="6" t="str">
        <f>IF(最佳化斷筋點!G502="","",最佳化斷筋點!G502)</f>
        <v/>
      </c>
      <c r="AF502" s="6" t="str">
        <f>IF(最佳化斷筋點!H502="","",最佳化斷筋點!H502)</f>
        <v/>
      </c>
      <c r="AG502" s="6" t="str">
        <f>IF(最佳化斷筋點!I502="","",最佳化斷筋點!I502)</f>
        <v/>
      </c>
      <c r="AH502" s="6" t="str">
        <f>IF(最佳化斷筋點!J502="","",最佳化斷筋點!J502)</f>
        <v/>
      </c>
      <c r="AI502" s="6" t="str">
        <f>IF(最佳化斷筋點!K502="","",最佳化斷筋點!K502)</f>
        <v/>
      </c>
      <c r="AJ502" s="6" t="str">
        <f>IF(最佳化斷筋點!L502="","",最佳化斷筋點!L502)</f>
        <v/>
      </c>
      <c r="AK502" s="6" t="str">
        <f>IF(最佳化斷筋點!M502="","",最佳化斷筋點!M502)</f>
        <v/>
      </c>
      <c r="AL502" s="6" t="str">
        <f>IF(最佳化斷筋點!N502="","",最佳化斷筋點!N502)</f>
        <v/>
      </c>
      <c r="AM502" s="6" t="str">
        <f>IF(最佳化斷筋點!O502="","",最佳化斷筋點!O502)</f>
        <v/>
      </c>
      <c r="AN502" s="6" t="str">
        <f>IF(最佳化斷筋點!P502="","",最佳化斷筋點!P502)</f>
        <v/>
      </c>
      <c r="AO502" s="6" t="str">
        <f>IF(最佳化斷筋點!Q502="","",最佳化斷筋點!Q502)</f>
        <v/>
      </c>
      <c r="AP502" s="6" t="str">
        <f>IF(最佳化斷筋點!R502="","",最佳化斷筋點!R502)</f>
        <v/>
      </c>
      <c r="AQ502" s="6" t="str">
        <f>IF(最佳化斷筋點!S502="","",最佳化斷筋點!S502)</f>
        <v/>
      </c>
      <c r="AR502" s="6" t="str">
        <f>IF(最佳化斷筋點!T502="","",最佳化斷筋點!T502)</f>
        <v/>
      </c>
      <c r="AS502" s="6" t="str">
        <f>IF(最佳化斷筋點!U502="","",最佳化斷筋點!U502)</f>
        <v/>
      </c>
      <c r="AT502" s="6" t="str">
        <f>IF(最佳化斷筋點!V502="","",最佳化斷筋點!V502)</f>
        <v/>
      </c>
      <c r="AU502" s="6" t="str">
        <f>IF(最佳化斷筋點!W502="","",最佳化斷筋點!W502)</f>
        <v/>
      </c>
      <c r="AV502" s="6" t="str">
        <f>IF(最佳化斷筋點!X502="","",最佳化斷筋點!X502)</f>
        <v/>
      </c>
    </row>
    <row r="503" spans="4:71" x14ac:dyDescent="0.25">
      <c r="D503" s="6" t="s">
        <v>50</v>
      </c>
      <c r="E503" s="6">
        <f t="shared" si="148"/>
        <v>0</v>
      </c>
      <c r="F503" s="6">
        <f t="shared" si="149"/>
        <v>0</v>
      </c>
      <c r="G503" s="6">
        <f t="shared" si="150"/>
        <v>0</v>
      </c>
      <c r="H503" s="6">
        <f t="shared" si="151"/>
        <v>0</v>
      </c>
      <c r="I503" s="6">
        <f t="shared" si="152"/>
        <v>0</v>
      </c>
      <c r="J503" s="6">
        <f t="shared" si="153"/>
        <v>0</v>
      </c>
      <c r="K503" s="6">
        <f t="shared" si="154"/>
        <v>0</v>
      </c>
      <c r="L503" s="6">
        <f t="shared" si="155"/>
        <v>0</v>
      </c>
      <c r="M503" s="6">
        <f t="shared" si="156"/>
        <v>0</v>
      </c>
      <c r="N503" s="6">
        <f t="shared" si="157"/>
        <v>0</v>
      </c>
      <c r="O503" s="6">
        <f t="shared" si="158"/>
        <v>0</v>
      </c>
      <c r="P503" s="6">
        <f t="shared" si="159"/>
        <v>0</v>
      </c>
      <c r="Q503" s="6">
        <f t="shared" si="160"/>
        <v>0</v>
      </c>
      <c r="R503" s="6">
        <f t="shared" si="161"/>
        <v>0</v>
      </c>
      <c r="S503" s="6">
        <f t="shared" si="162"/>
        <v>0</v>
      </c>
      <c r="T503" s="6">
        <f t="shared" si="163"/>
        <v>0</v>
      </c>
      <c r="U503" s="6">
        <f t="shared" si="164"/>
        <v>0</v>
      </c>
      <c r="V503" s="6">
        <f t="shared" si="165"/>
        <v>0</v>
      </c>
      <c r="W503" s="6">
        <f t="shared" si="166"/>
        <v>0</v>
      </c>
      <c r="X503" s="6">
        <f t="shared" si="167"/>
        <v>0</v>
      </c>
      <c r="Y503" s="6">
        <f t="shared" si="168"/>
        <v>0</v>
      </c>
      <c r="AA503" s="6" t="str">
        <f>IF(最佳化斷筋點!C503="","",最佳化斷筋點!C503)</f>
        <v>上層</v>
      </c>
      <c r="AB503" s="6">
        <f>IF(最佳化斷筋點!D503="","",最佳化斷筋點!D503)</f>
        <v>6</v>
      </c>
      <c r="AC503" s="6">
        <f>IF(最佳化斷筋點!E503="","",最佳化斷筋點!E503)</f>
        <v>6</v>
      </c>
      <c r="AD503" s="6">
        <f>IF(最佳化斷筋點!F503="","",最佳化斷筋點!F503)</f>
        <v>5</v>
      </c>
      <c r="AE503" s="6">
        <f>IF(最佳化斷筋點!G503="","",最佳化斷筋點!G503)</f>
        <v>5</v>
      </c>
      <c r="AF503" s="6">
        <f>IF(最佳化斷筋點!H503="","",最佳化斷筋點!H503)</f>
        <v>4</v>
      </c>
      <c r="AG503" s="6">
        <f>IF(最佳化斷筋點!I503="","",最佳化斷筋點!I503)</f>
        <v>4</v>
      </c>
      <c r="AH503" s="6">
        <f>IF(最佳化斷筋點!J503="","",最佳化斷筋點!J503)</f>
        <v>3</v>
      </c>
      <c r="AI503" s="6">
        <f>IF(最佳化斷筋點!K503="","",最佳化斷筋點!K503)</f>
        <v>2</v>
      </c>
      <c r="AJ503" s="6">
        <f>IF(最佳化斷筋點!L503="","",最佳化斷筋點!L503)</f>
        <v>2</v>
      </c>
      <c r="AK503" s="6">
        <f>IF(最佳化斷筋點!M503="","",最佳化斷筋點!M503)</f>
        <v>2</v>
      </c>
      <c r="AL503" s="6">
        <f>IF(最佳化斷筋點!N503="","",最佳化斷筋點!N503)</f>
        <v>2</v>
      </c>
      <c r="AM503" s="6">
        <f>IF(最佳化斷筋點!O503="","",最佳化斷筋點!O503)</f>
        <v>2</v>
      </c>
      <c r="AN503" s="6">
        <f>IF(最佳化斷筋點!P503="","",最佳化斷筋點!P503)</f>
        <v>2</v>
      </c>
      <c r="AO503" s="6">
        <f>IF(最佳化斷筋點!Q503="","",最佳化斷筋點!Q503)</f>
        <v>3</v>
      </c>
      <c r="AP503" s="6">
        <f>IF(最佳化斷筋點!R503="","",最佳化斷筋點!R503)</f>
        <v>4</v>
      </c>
      <c r="AQ503" s="6">
        <f>IF(最佳化斷筋點!S503="","",最佳化斷筋點!S503)</f>
        <v>5</v>
      </c>
      <c r="AR503" s="6">
        <f>IF(最佳化斷筋點!T503="","",最佳化斷筋點!T503)</f>
        <v>6</v>
      </c>
      <c r="AS503" s="6">
        <f>IF(最佳化斷筋點!U503="","",最佳化斷筋點!U503)</f>
        <v>7</v>
      </c>
      <c r="AT503" s="6">
        <f>IF(最佳化斷筋點!V503="","",最佳化斷筋點!V503)</f>
        <v>8</v>
      </c>
      <c r="AU503" s="6">
        <f>IF(最佳化斷筋點!W503="","",最佳化斷筋點!W503)</f>
        <v>9</v>
      </c>
      <c r="AV503" s="6">
        <f>IF(最佳化斷筋點!X503="","",最佳化斷筋點!X503)</f>
        <v>9</v>
      </c>
      <c r="AX503" s="6" t="s">
        <v>50</v>
      </c>
      <c r="AY503" s="6">
        <v>6</v>
      </c>
      <c r="AZ503" s="6">
        <v>6</v>
      </c>
      <c r="BA503" s="6">
        <v>5</v>
      </c>
      <c r="BB503" s="6">
        <v>5</v>
      </c>
      <c r="BC503" s="6">
        <v>4</v>
      </c>
      <c r="BD503" s="6">
        <v>4</v>
      </c>
      <c r="BE503" s="6">
        <v>3</v>
      </c>
      <c r="BF503" s="6">
        <v>2</v>
      </c>
      <c r="BG503" s="6">
        <v>2</v>
      </c>
      <c r="BH503" s="6">
        <v>2</v>
      </c>
      <c r="BI503" s="6">
        <v>2</v>
      </c>
      <c r="BJ503" s="6">
        <v>2</v>
      </c>
      <c r="BK503" s="6">
        <v>2</v>
      </c>
      <c r="BL503" s="6">
        <v>3</v>
      </c>
      <c r="BM503" s="6">
        <v>4</v>
      </c>
      <c r="BN503" s="6">
        <v>5</v>
      </c>
      <c r="BO503" s="6">
        <v>6</v>
      </c>
      <c r="BP503" s="6">
        <v>7</v>
      </c>
      <c r="BQ503" s="6">
        <v>8</v>
      </c>
      <c r="BR503" s="6">
        <v>9</v>
      </c>
      <c r="BS503" s="6">
        <v>9</v>
      </c>
    </row>
    <row r="504" spans="4:71" x14ac:dyDescent="0.25">
      <c r="E504" s="6">
        <f t="shared" si="148"/>
        <v>0</v>
      </c>
      <c r="F504" s="6">
        <f t="shared" si="149"/>
        <v>0</v>
      </c>
      <c r="G504" s="6">
        <f t="shared" si="150"/>
        <v>0</v>
      </c>
      <c r="H504" s="6">
        <f t="shared" si="151"/>
        <v>0</v>
      </c>
      <c r="I504" s="6">
        <f t="shared" si="152"/>
        <v>0</v>
      </c>
      <c r="J504" s="6">
        <f t="shared" si="153"/>
        <v>0</v>
      </c>
      <c r="K504" s="6">
        <f t="shared" si="154"/>
        <v>0</v>
      </c>
      <c r="L504" s="6">
        <f t="shared" si="155"/>
        <v>0</v>
      </c>
      <c r="M504" s="6">
        <f t="shared" si="156"/>
        <v>0</v>
      </c>
      <c r="N504" s="6">
        <f t="shared" si="157"/>
        <v>0</v>
      </c>
      <c r="O504" s="6">
        <f t="shared" si="158"/>
        <v>0</v>
      </c>
      <c r="P504" s="6">
        <f t="shared" si="159"/>
        <v>0</v>
      </c>
      <c r="Q504" s="6">
        <f t="shared" si="160"/>
        <v>0</v>
      </c>
      <c r="R504" s="6">
        <f t="shared" si="161"/>
        <v>0</v>
      </c>
      <c r="S504" s="6">
        <f t="shared" si="162"/>
        <v>0</v>
      </c>
      <c r="T504" s="6">
        <f t="shared" si="163"/>
        <v>0</v>
      </c>
      <c r="U504" s="6">
        <f t="shared" si="164"/>
        <v>0</v>
      </c>
      <c r="V504" s="6">
        <f t="shared" si="165"/>
        <v>0</v>
      </c>
      <c r="W504" s="6">
        <f t="shared" si="166"/>
        <v>0</v>
      </c>
      <c r="X504" s="6">
        <f t="shared" si="167"/>
        <v>0</v>
      </c>
      <c r="Y504" s="6">
        <f t="shared" si="168"/>
        <v>0</v>
      </c>
      <c r="AA504" s="6" t="str">
        <f>IF(最佳化斷筋點!C504="","",最佳化斷筋點!C504)</f>
        <v/>
      </c>
      <c r="AB504" s="6" t="str">
        <f>IF(最佳化斷筋點!D504="","",最佳化斷筋點!D504)</f>
        <v/>
      </c>
      <c r="AC504" s="6" t="str">
        <f>IF(最佳化斷筋點!E504="","",最佳化斷筋點!E504)</f>
        <v/>
      </c>
      <c r="AD504" s="6" t="str">
        <f>IF(最佳化斷筋點!F504="","",最佳化斷筋點!F504)</f>
        <v/>
      </c>
      <c r="AE504" s="6" t="str">
        <f>IF(最佳化斷筋點!G504="","",最佳化斷筋點!G504)</f>
        <v/>
      </c>
      <c r="AF504" s="6" t="str">
        <f>IF(最佳化斷筋點!H504="","",最佳化斷筋點!H504)</f>
        <v/>
      </c>
      <c r="AG504" s="6" t="str">
        <f>IF(最佳化斷筋點!I504="","",最佳化斷筋點!I504)</f>
        <v/>
      </c>
      <c r="AH504" s="6" t="str">
        <f>IF(最佳化斷筋點!J504="","",最佳化斷筋點!J504)</f>
        <v/>
      </c>
      <c r="AI504" s="6" t="str">
        <f>IF(最佳化斷筋點!K504="","",最佳化斷筋點!K504)</f>
        <v/>
      </c>
      <c r="AJ504" s="6" t="str">
        <f>IF(最佳化斷筋點!L504="","",最佳化斷筋點!L504)</f>
        <v/>
      </c>
      <c r="AK504" s="6" t="str">
        <f>IF(最佳化斷筋點!M504="","",最佳化斷筋點!M504)</f>
        <v/>
      </c>
      <c r="AL504" s="6" t="str">
        <f>IF(最佳化斷筋點!N504="","",最佳化斷筋點!N504)</f>
        <v/>
      </c>
      <c r="AM504" s="6" t="str">
        <f>IF(最佳化斷筋點!O504="","",最佳化斷筋點!O504)</f>
        <v/>
      </c>
      <c r="AN504" s="6" t="str">
        <f>IF(最佳化斷筋點!P504="","",最佳化斷筋點!P504)</f>
        <v/>
      </c>
      <c r="AO504" s="6" t="str">
        <f>IF(最佳化斷筋點!Q504="","",最佳化斷筋點!Q504)</f>
        <v/>
      </c>
      <c r="AP504" s="6" t="str">
        <f>IF(最佳化斷筋點!R504="","",最佳化斷筋點!R504)</f>
        <v/>
      </c>
      <c r="AQ504" s="6" t="str">
        <f>IF(最佳化斷筋點!S504="","",最佳化斷筋點!S504)</f>
        <v/>
      </c>
      <c r="AR504" s="6" t="str">
        <f>IF(最佳化斷筋點!T504="","",最佳化斷筋點!T504)</f>
        <v/>
      </c>
      <c r="AS504" s="6" t="str">
        <f>IF(最佳化斷筋點!U504="","",最佳化斷筋點!U504)</f>
        <v/>
      </c>
      <c r="AT504" s="6" t="str">
        <f>IF(最佳化斷筋點!V504="","",最佳化斷筋點!V504)</f>
        <v/>
      </c>
      <c r="AU504" s="6" t="str">
        <f>IF(最佳化斷筋點!W504="","",最佳化斷筋點!W504)</f>
        <v/>
      </c>
      <c r="AV504" s="6" t="str">
        <f>IF(最佳化斷筋點!X504="","",最佳化斷筋點!X504)</f>
        <v/>
      </c>
    </row>
    <row r="505" spans="4:71" x14ac:dyDescent="0.25">
      <c r="D505" s="6" t="s">
        <v>51</v>
      </c>
      <c r="E505" s="6">
        <f t="shared" si="148"/>
        <v>0</v>
      </c>
      <c r="F505" s="6">
        <f t="shared" si="149"/>
        <v>0</v>
      </c>
      <c r="G505" s="6">
        <f t="shared" si="150"/>
        <v>0</v>
      </c>
      <c r="H505" s="6">
        <f t="shared" si="151"/>
        <v>0</v>
      </c>
      <c r="I505" s="6">
        <f t="shared" si="152"/>
        <v>0</v>
      </c>
      <c r="J505" s="6">
        <f t="shared" si="153"/>
        <v>0</v>
      </c>
      <c r="K505" s="6">
        <f t="shared" si="154"/>
        <v>0</v>
      </c>
      <c r="L505" s="6">
        <f t="shared" si="155"/>
        <v>0</v>
      </c>
      <c r="M505" s="6">
        <f t="shared" si="156"/>
        <v>0</v>
      </c>
      <c r="N505" s="6">
        <f t="shared" si="157"/>
        <v>0</v>
      </c>
      <c r="O505" s="6">
        <f t="shared" si="158"/>
        <v>0</v>
      </c>
      <c r="P505" s="6">
        <f t="shared" si="159"/>
        <v>0</v>
      </c>
      <c r="Q505" s="6">
        <f t="shared" si="160"/>
        <v>0</v>
      </c>
      <c r="R505" s="6">
        <f t="shared" si="161"/>
        <v>0</v>
      </c>
      <c r="S505" s="6">
        <f t="shared" si="162"/>
        <v>0</v>
      </c>
      <c r="T505" s="6">
        <f t="shared" si="163"/>
        <v>0</v>
      </c>
      <c r="U505" s="6">
        <f t="shared" si="164"/>
        <v>0</v>
      </c>
      <c r="V505" s="6">
        <f t="shared" si="165"/>
        <v>0</v>
      </c>
      <c r="W505" s="6">
        <f t="shared" si="166"/>
        <v>0</v>
      </c>
      <c r="X505" s="6">
        <f t="shared" si="167"/>
        <v>0</v>
      </c>
      <c r="Y505" s="6">
        <f t="shared" si="168"/>
        <v>0</v>
      </c>
      <c r="AA505" s="6" t="str">
        <f>IF(最佳化斷筋點!C505="","",最佳化斷筋點!C505)</f>
        <v>下層</v>
      </c>
      <c r="AB505" s="6">
        <f>IF(最佳化斷筋點!D505="","",最佳化斷筋點!D505)</f>
        <v>5</v>
      </c>
      <c r="AC505" s="6">
        <f>IF(最佳化斷筋點!E505="","",最佳化斷筋點!E505)</f>
        <v>5</v>
      </c>
      <c r="AD505" s="6">
        <f>IF(最佳化斷筋點!F505="","",最佳化斷筋點!F505)</f>
        <v>4</v>
      </c>
      <c r="AE505" s="6">
        <f>IF(最佳化斷筋點!G505="","",最佳化斷筋點!G505)</f>
        <v>4</v>
      </c>
      <c r="AF505" s="6">
        <f>IF(最佳化斷筋點!H505="","",最佳化斷筋點!H505)</f>
        <v>4</v>
      </c>
      <c r="AG505" s="6">
        <f>IF(最佳化斷筋點!I505="","",最佳化斷筋點!I505)</f>
        <v>5</v>
      </c>
      <c r="AH505" s="6">
        <f>IF(最佳化斷筋點!J505="","",最佳化斷筋點!J505)</f>
        <v>6</v>
      </c>
      <c r="AI505" s="6">
        <f>IF(最佳化斷筋點!K505="","",最佳化斷筋點!K505)</f>
        <v>6</v>
      </c>
      <c r="AJ505" s="6">
        <f>IF(最佳化斷筋點!L505="","",最佳化斷筋點!L505)</f>
        <v>6</v>
      </c>
      <c r="AK505" s="6">
        <f>IF(最佳化斷筋點!M505="","",最佳化斷筋點!M505)</f>
        <v>6</v>
      </c>
      <c r="AL505" s="6">
        <f>IF(最佳化斷筋點!N505="","",最佳化斷筋點!N505)</f>
        <v>6</v>
      </c>
      <c r="AM505" s="6">
        <f>IF(最佳化斷筋點!O505="","",最佳化斷筋點!O505)</f>
        <v>6</v>
      </c>
      <c r="AN505" s="6">
        <f>IF(最佳化斷筋點!P505="","",最佳化斷筋點!P505)</f>
        <v>6</v>
      </c>
      <c r="AO505" s="6">
        <f>IF(最佳化斷筋點!Q505="","",最佳化斷筋點!Q505)</f>
        <v>6</v>
      </c>
      <c r="AP505" s="6">
        <f>IF(最佳化斷筋點!R505="","",最佳化斷筋點!R505)</f>
        <v>6</v>
      </c>
      <c r="AQ505" s="6">
        <f>IF(最佳化斷筋點!S505="","",最佳化斷筋點!S505)</f>
        <v>5</v>
      </c>
      <c r="AR505" s="6">
        <f>IF(最佳化斷筋點!T505="","",最佳化斷筋點!T505)</f>
        <v>4</v>
      </c>
      <c r="AS505" s="6">
        <f>IF(最佳化斷筋點!U505="","",最佳化斷筋點!U505)</f>
        <v>4</v>
      </c>
      <c r="AT505" s="6">
        <f>IF(最佳化斷筋點!V505="","",最佳化斷筋點!V505)</f>
        <v>4</v>
      </c>
      <c r="AU505" s="6">
        <f>IF(最佳化斷筋點!W505="","",最佳化斷筋點!W505)</f>
        <v>5</v>
      </c>
      <c r="AV505" s="6">
        <f>IF(最佳化斷筋點!X505="","",最佳化斷筋點!X505)</f>
        <v>5</v>
      </c>
      <c r="AX505" s="6" t="s">
        <v>51</v>
      </c>
      <c r="AY505" s="6">
        <v>5</v>
      </c>
      <c r="AZ505" s="6">
        <v>5</v>
      </c>
      <c r="BA505" s="6">
        <v>4</v>
      </c>
      <c r="BB505" s="6">
        <v>4</v>
      </c>
      <c r="BC505" s="6">
        <v>4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5</v>
      </c>
      <c r="BO505" s="6">
        <v>4</v>
      </c>
      <c r="BP505" s="6">
        <v>4</v>
      </c>
      <c r="BQ505" s="6">
        <v>4</v>
      </c>
      <c r="BR505" s="6">
        <v>5</v>
      </c>
      <c r="BS505" s="6">
        <v>5</v>
      </c>
    </row>
    <row r="506" spans="4:71" x14ac:dyDescent="0.25">
      <c r="E506" s="6">
        <f t="shared" si="148"/>
        <v>0</v>
      </c>
      <c r="F506" s="6">
        <f t="shared" si="149"/>
        <v>0</v>
      </c>
      <c r="G506" s="6">
        <f t="shared" si="150"/>
        <v>0</v>
      </c>
      <c r="H506" s="6">
        <f t="shared" si="151"/>
        <v>0</v>
      </c>
      <c r="I506" s="6">
        <f t="shared" si="152"/>
        <v>0</v>
      </c>
      <c r="J506" s="6">
        <f t="shared" si="153"/>
        <v>0</v>
      </c>
      <c r="K506" s="6">
        <f t="shared" si="154"/>
        <v>0</v>
      </c>
      <c r="L506" s="6">
        <f t="shared" si="155"/>
        <v>0</v>
      </c>
      <c r="M506" s="6">
        <f t="shared" si="156"/>
        <v>0</v>
      </c>
      <c r="N506" s="6">
        <f t="shared" si="157"/>
        <v>0</v>
      </c>
      <c r="O506" s="6">
        <f t="shared" si="158"/>
        <v>0</v>
      </c>
      <c r="P506" s="6">
        <f t="shared" si="159"/>
        <v>0</v>
      </c>
      <c r="Q506" s="6">
        <f t="shared" si="160"/>
        <v>0</v>
      </c>
      <c r="R506" s="6">
        <f t="shared" si="161"/>
        <v>0</v>
      </c>
      <c r="S506" s="6">
        <f t="shared" si="162"/>
        <v>0</v>
      </c>
      <c r="T506" s="6">
        <f t="shared" si="163"/>
        <v>0</v>
      </c>
      <c r="U506" s="6">
        <f t="shared" si="164"/>
        <v>0</v>
      </c>
      <c r="V506" s="6">
        <f t="shared" si="165"/>
        <v>0</v>
      </c>
      <c r="W506" s="6">
        <f t="shared" si="166"/>
        <v>0</v>
      </c>
      <c r="X506" s="6">
        <f t="shared" si="167"/>
        <v>0</v>
      </c>
      <c r="Y506" s="6">
        <f t="shared" si="168"/>
        <v>0</v>
      </c>
      <c r="AA506" s="6" t="str">
        <f>IF(最佳化斷筋點!C506="","",最佳化斷筋點!C506)</f>
        <v/>
      </c>
      <c r="AB506" s="6" t="str">
        <f>IF(最佳化斷筋點!D506="","",最佳化斷筋點!D506)</f>
        <v/>
      </c>
      <c r="AC506" s="6" t="str">
        <f>IF(最佳化斷筋點!E506="","",最佳化斷筋點!E506)</f>
        <v/>
      </c>
      <c r="AD506" s="6" t="str">
        <f>IF(最佳化斷筋點!F506="","",最佳化斷筋點!F506)</f>
        <v/>
      </c>
      <c r="AE506" s="6" t="str">
        <f>IF(最佳化斷筋點!G506="","",最佳化斷筋點!G506)</f>
        <v/>
      </c>
      <c r="AF506" s="6" t="str">
        <f>IF(最佳化斷筋點!H506="","",最佳化斷筋點!H506)</f>
        <v/>
      </c>
      <c r="AG506" s="6" t="str">
        <f>IF(最佳化斷筋點!I506="","",最佳化斷筋點!I506)</f>
        <v/>
      </c>
      <c r="AH506" s="6" t="str">
        <f>IF(最佳化斷筋點!J506="","",最佳化斷筋點!J506)</f>
        <v/>
      </c>
      <c r="AI506" s="6" t="str">
        <f>IF(最佳化斷筋點!K506="","",最佳化斷筋點!K506)</f>
        <v/>
      </c>
      <c r="AJ506" s="6" t="str">
        <f>IF(最佳化斷筋點!L506="","",最佳化斷筋點!L506)</f>
        <v/>
      </c>
      <c r="AK506" s="6" t="str">
        <f>IF(最佳化斷筋點!M506="","",最佳化斷筋點!M506)</f>
        <v/>
      </c>
      <c r="AL506" s="6" t="str">
        <f>IF(最佳化斷筋點!N506="","",最佳化斷筋點!N506)</f>
        <v/>
      </c>
      <c r="AM506" s="6" t="str">
        <f>IF(最佳化斷筋點!O506="","",最佳化斷筋點!O506)</f>
        <v/>
      </c>
      <c r="AN506" s="6" t="str">
        <f>IF(最佳化斷筋點!P506="","",最佳化斷筋點!P506)</f>
        <v/>
      </c>
      <c r="AO506" s="6" t="str">
        <f>IF(最佳化斷筋點!Q506="","",最佳化斷筋點!Q506)</f>
        <v/>
      </c>
      <c r="AP506" s="6" t="str">
        <f>IF(最佳化斷筋點!R506="","",最佳化斷筋點!R506)</f>
        <v/>
      </c>
      <c r="AQ506" s="6" t="str">
        <f>IF(最佳化斷筋點!S506="","",最佳化斷筋點!S506)</f>
        <v/>
      </c>
      <c r="AR506" s="6" t="str">
        <f>IF(最佳化斷筋點!T506="","",最佳化斷筋點!T506)</f>
        <v/>
      </c>
      <c r="AS506" s="6" t="str">
        <f>IF(最佳化斷筋點!U506="","",最佳化斷筋點!U506)</f>
        <v/>
      </c>
      <c r="AT506" s="6" t="str">
        <f>IF(最佳化斷筋點!V506="","",最佳化斷筋點!V506)</f>
        <v/>
      </c>
      <c r="AU506" s="6" t="str">
        <f>IF(最佳化斷筋點!W506="","",最佳化斷筋點!W506)</f>
        <v/>
      </c>
      <c r="AV506" s="6" t="str">
        <f>IF(最佳化斷筋點!X506="","",最佳化斷筋點!X506)</f>
        <v/>
      </c>
    </row>
    <row r="507" spans="4:71" x14ac:dyDescent="0.25">
      <c r="D507" s="6" t="s">
        <v>50</v>
      </c>
      <c r="E507" s="6">
        <f t="shared" si="148"/>
        <v>0</v>
      </c>
      <c r="F507" s="6">
        <f t="shared" si="149"/>
        <v>0</v>
      </c>
      <c r="G507" s="6">
        <f t="shared" si="150"/>
        <v>0</v>
      </c>
      <c r="H507" s="6">
        <f t="shared" si="151"/>
        <v>0</v>
      </c>
      <c r="I507" s="6">
        <f t="shared" si="152"/>
        <v>0</v>
      </c>
      <c r="J507" s="6">
        <f t="shared" si="153"/>
        <v>0</v>
      </c>
      <c r="K507" s="6">
        <f t="shared" si="154"/>
        <v>0</v>
      </c>
      <c r="L507" s="6">
        <f t="shared" si="155"/>
        <v>0</v>
      </c>
      <c r="M507" s="6">
        <f t="shared" si="156"/>
        <v>0</v>
      </c>
      <c r="N507" s="6">
        <f t="shared" si="157"/>
        <v>0</v>
      </c>
      <c r="O507" s="6">
        <f t="shared" si="158"/>
        <v>0</v>
      </c>
      <c r="P507" s="6">
        <f t="shared" si="159"/>
        <v>0</v>
      </c>
      <c r="Q507" s="6">
        <f t="shared" si="160"/>
        <v>0</v>
      </c>
      <c r="R507" s="6">
        <f t="shared" si="161"/>
        <v>0</v>
      </c>
      <c r="S507" s="6">
        <f t="shared" si="162"/>
        <v>0</v>
      </c>
      <c r="T507" s="6">
        <f t="shared" si="163"/>
        <v>0</v>
      </c>
      <c r="U507" s="6">
        <f t="shared" si="164"/>
        <v>0</v>
      </c>
      <c r="V507" s="6">
        <f t="shared" si="165"/>
        <v>0</v>
      </c>
      <c r="W507" s="6">
        <f t="shared" si="166"/>
        <v>0</v>
      </c>
      <c r="X507" s="6">
        <f t="shared" si="167"/>
        <v>0</v>
      </c>
      <c r="Y507" s="6">
        <f t="shared" si="168"/>
        <v>0</v>
      </c>
      <c r="AA507" s="6" t="str">
        <f>IF(最佳化斷筋點!C507="","",最佳化斷筋點!C507)</f>
        <v>上層</v>
      </c>
      <c r="AB507" s="6">
        <f>IF(最佳化斷筋點!D507="","",最佳化斷筋點!D507)</f>
        <v>6</v>
      </c>
      <c r="AC507" s="6">
        <f>IF(最佳化斷筋點!E507="","",最佳化斷筋點!E507)</f>
        <v>6</v>
      </c>
      <c r="AD507" s="6">
        <f>IF(最佳化斷筋點!F507="","",最佳化斷筋點!F507)</f>
        <v>5</v>
      </c>
      <c r="AE507" s="6">
        <f>IF(最佳化斷筋點!G507="","",最佳化斷筋點!G507)</f>
        <v>5</v>
      </c>
      <c r="AF507" s="6">
        <f>IF(最佳化斷筋點!H507="","",最佳化斷筋點!H507)</f>
        <v>4</v>
      </c>
      <c r="AG507" s="6">
        <f>IF(最佳化斷筋點!I507="","",最佳化斷筋點!I507)</f>
        <v>4</v>
      </c>
      <c r="AH507" s="6">
        <f>IF(最佳化斷筋點!J507="","",最佳化斷筋點!J507)</f>
        <v>3</v>
      </c>
      <c r="AI507" s="6">
        <f>IF(最佳化斷筋點!K507="","",最佳化斷筋點!K507)</f>
        <v>2</v>
      </c>
      <c r="AJ507" s="6">
        <f>IF(最佳化斷筋點!L507="","",最佳化斷筋點!L507)</f>
        <v>2</v>
      </c>
      <c r="AK507" s="6">
        <f>IF(最佳化斷筋點!M507="","",最佳化斷筋點!M507)</f>
        <v>2</v>
      </c>
      <c r="AL507" s="6">
        <f>IF(最佳化斷筋點!N507="","",最佳化斷筋點!N507)</f>
        <v>2</v>
      </c>
      <c r="AM507" s="6">
        <f>IF(最佳化斷筋點!O507="","",最佳化斷筋點!O507)</f>
        <v>2</v>
      </c>
      <c r="AN507" s="6">
        <f>IF(最佳化斷筋點!P507="","",最佳化斷筋點!P507)</f>
        <v>2</v>
      </c>
      <c r="AO507" s="6">
        <f>IF(最佳化斷筋點!Q507="","",最佳化斷筋點!Q507)</f>
        <v>3</v>
      </c>
      <c r="AP507" s="6">
        <f>IF(最佳化斷筋點!R507="","",最佳化斷筋點!R507)</f>
        <v>4</v>
      </c>
      <c r="AQ507" s="6">
        <f>IF(最佳化斷筋點!S507="","",最佳化斷筋點!S507)</f>
        <v>5</v>
      </c>
      <c r="AR507" s="6">
        <f>IF(最佳化斷筋點!T507="","",最佳化斷筋點!T507)</f>
        <v>6</v>
      </c>
      <c r="AS507" s="6">
        <f>IF(最佳化斷筋點!U507="","",最佳化斷筋點!U507)</f>
        <v>7</v>
      </c>
      <c r="AT507" s="6">
        <f>IF(最佳化斷筋點!V507="","",最佳化斷筋點!V507)</f>
        <v>8</v>
      </c>
      <c r="AU507" s="6">
        <f>IF(最佳化斷筋點!W507="","",最佳化斷筋點!W507)</f>
        <v>9</v>
      </c>
      <c r="AV507" s="6">
        <f>IF(最佳化斷筋點!X507="","",最佳化斷筋點!X507)</f>
        <v>9</v>
      </c>
      <c r="AX507" s="6" t="s">
        <v>50</v>
      </c>
      <c r="AY507" s="6">
        <v>6</v>
      </c>
      <c r="AZ507" s="6">
        <v>6</v>
      </c>
      <c r="BA507" s="6">
        <v>5</v>
      </c>
      <c r="BB507" s="6">
        <v>5</v>
      </c>
      <c r="BC507" s="6">
        <v>4</v>
      </c>
      <c r="BD507" s="6">
        <v>4</v>
      </c>
      <c r="BE507" s="6">
        <v>3</v>
      </c>
      <c r="BF507" s="6">
        <v>2</v>
      </c>
      <c r="BG507" s="6">
        <v>2</v>
      </c>
      <c r="BH507" s="6">
        <v>2</v>
      </c>
      <c r="BI507" s="6">
        <v>2</v>
      </c>
      <c r="BJ507" s="6">
        <v>2</v>
      </c>
      <c r="BK507" s="6">
        <v>2</v>
      </c>
      <c r="BL507" s="6">
        <v>3</v>
      </c>
      <c r="BM507" s="6">
        <v>4</v>
      </c>
      <c r="BN507" s="6">
        <v>5</v>
      </c>
      <c r="BO507" s="6">
        <v>6</v>
      </c>
      <c r="BP507" s="6">
        <v>7</v>
      </c>
      <c r="BQ507" s="6">
        <v>8</v>
      </c>
      <c r="BR507" s="6">
        <v>9</v>
      </c>
      <c r="BS507" s="6">
        <v>9</v>
      </c>
    </row>
    <row r="508" spans="4:71" x14ac:dyDescent="0.25">
      <c r="E508" s="6">
        <f t="shared" si="148"/>
        <v>0</v>
      </c>
      <c r="F508" s="6">
        <f t="shared" si="149"/>
        <v>0</v>
      </c>
      <c r="G508" s="6">
        <f t="shared" si="150"/>
        <v>0</v>
      </c>
      <c r="H508" s="6">
        <f t="shared" si="151"/>
        <v>0</v>
      </c>
      <c r="I508" s="6">
        <f t="shared" si="152"/>
        <v>0</v>
      </c>
      <c r="J508" s="6">
        <f t="shared" si="153"/>
        <v>0</v>
      </c>
      <c r="K508" s="6">
        <f t="shared" si="154"/>
        <v>0</v>
      </c>
      <c r="L508" s="6">
        <f t="shared" si="155"/>
        <v>0</v>
      </c>
      <c r="M508" s="6">
        <f t="shared" si="156"/>
        <v>0</v>
      </c>
      <c r="N508" s="6">
        <f t="shared" si="157"/>
        <v>0</v>
      </c>
      <c r="O508" s="6">
        <f t="shared" si="158"/>
        <v>0</v>
      </c>
      <c r="P508" s="6">
        <f t="shared" si="159"/>
        <v>0</v>
      </c>
      <c r="Q508" s="6">
        <f t="shared" si="160"/>
        <v>0</v>
      </c>
      <c r="R508" s="6">
        <f t="shared" si="161"/>
        <v>0</v>
      </c>
      <c r="S508" s="6">
        <f t="shared" si="162"/>
        <v>0</v>
      </c>
      <c r="T508" s="6">
        <f t="shared" si="163"/>
        <v>0</v>
      </c>
      <c r="U508" s="6">
        <f t="shared" si="164"/>
        <v>0</v>
      </c>
      <c r="V508" s="6">
        <f t="shared" si="165"/>
        <v>0</v>
      </c>
      <c r="W508" s="6">
        <f t="shared" si="166"/>
        <v>0</v>
      </c>
      <c r="X508" s="6">
        <f t="shared" si="167"/>
        <v>0</v>
      </c>
      <c r="Y508" s="6">
        <f t="shared" si="168"/>
        <v>0</v>
      </c>
      <c r="AA508" s="6" t="str">
        <f>IF(最佳化斷筋點!C508="","",最佳化斷筋點!C508)</f>
        <v/>
      </c>
      <c r="AB508" s="6" t="str">
        <f>IF(最佳化斷筋點!D508="","",最佳化斷筋點!D508)</f>
        <v/>
      </c>
      <c r="AC508" s="6" t="str">
        <f>IF(最佳化斷筋點!E508="","",最佳化斷筋點!E508)</f>
        <v/>
      </c>
      <c r="AD508" s="6" t="str">
        <f>IF(最佳化斷筋點!F508="","",最佳化斷筋點!F508)</f>
        <v/>
      </c>
      <c r="AE508" s="6" t="str">
        <f>IF(最佳化斷筋點!G508="","",最佳化斷筋點!G508)</f>
        <v/>
      </c>
      <c r="AF508" s="6" t="str">
        <f>IF(最佳化斷筋點!H508="","",最佳化斷筋點!H508)</f>
        <v/>
      </c>
      <c r="AG508" s="6" t="str">
        <f>IF(最佳化斷筋點!I508="","",最佳化斷筋點!I508)</f>
        <v/>
      </c>
      <c r="AH508" s="6" t="str">
        <f>IF(最佳化斷筋點!J508="","",最佳化斷筋點!J508)</f>
        <v/>
      </c>
      <c r="AI508" s="6" t="str">
        <f>IF(最佳化斷筋點!K508="","",最佳化斷筋點!K508)</f>
        <v/>
      </c>
      <c r="AJ508" s="6" t="str">
        <f>IF(最佳化斷筋點!L508="","",最佳化斷筋點!L508)</f>
        <v/>
      </c>
      <c r="AK508" s="6" t="str">
        <f>IF(最佳化斷筋點!M508="","",最佳化斷筋點!M508)</f>
        <v/>
      </c>
      <c r="AL508" s="6" t="str">
        <f>IF(最佳化斷筋點!N508="","",最佳化斷筋點!N508)</f>
        <v/>
      </c>
      <c r="AM508" s="6" t="str">
        <f>IF(最佳化斷筋點!O508="","",最佳化斷筋點!O508)</f>
        <v/>
      </c>
      <c r="AN508" s="6" t="str">
        <f>IF(最佳化斷筋點!P508="","",最佳化斷筋點!P508)</f>
        <v/>
      </c>
      <c r="AO508" s="6" t="str">
        <f>IF(最佳化斷筋點!Q508="","",最佳化斷筋點!Q508)</f>
        <v/>
      </c>
      <c r="AP508" s="6" t="str">
        <f>IF(最佳化斷筋點!R508="","",最佳化斷筋點!R508)</f>
        <v/>
      </c>
      <c r="AQ508" s="6" t="str">
        <f>IF(最佳化斷筋點!S508="","",最佳化斷筋點!S508)</f>
        <v/>
      </c>
      <c r="AR508" s="6" t="str">
        <f>IF(最佳化斷筋點!T508="","",最佳化斷筋點!T508)</f>
        <v/>
      </c>
      <c r="AS508" s="6" t="str">
        <f>IF(最佳化斷筋點!U508="","",最佳化斷筋點!U508)</f>
        <v/>
      </c>
      <c r="AT508" s="6" t="str">
        <f>IF(最佳化斷筋點!V508="","",最佳化斷筋點!V508)</f>
        <v/>
      </c>
      <c r="AU508" s="6" t="str">
        <f>IF(最佳化斷筋點!W508="","",最佳化斷筋點!W508)</f>
        <v/>
      </c>
      <c r="AV508" s="6" t="str">
        <f>IF(最佳化斷筋點!X508="","",最佳化斷筋點!X508)</f>
        <v/>
      </c>
    </row>
    <row r="509" spans="4:71" x14ac:dyDescent="0.25">
      <c r="D509" s="6" t="s">
        <v>51</v>
      </c>
      <c r="E509" s="6">
        <f t="shared" si="148"/>
        <v>0</v>
      </c>
      <c r="F509" s="6">
        <f t="shared" si="149"/>
        <v>0</v>
      </c>
      <c r="G509" s="6">
        <f t="shared" si="150"/>
        <v>0</v>
      </c>
      <c r="H509" s="6">
        <f t="shared" si="151"/>
        <v>0</v>
      </c>
      <c r="I509" s="6">
        <f t="shared" si="152"/>
        <v>0</v>
      </c>
      <c r="J509" s="6">
        <f t="shared" si="153"/>
        <v>0</v>
      </c>
      <c r="K509" s="6">
        <f t="shared" si="154"/>
        <v>0</v>
      </c>
      <c r="L509" s="6">
        <f t="shared" si="155"/>
        <v>0</v>
      </c>
      <c r="M509" s="6">
        <f t="shared" si="156"/>
        <v>0</v>
      </c>
      <c r="N509" s="6">
        <f t="shared" si="157"/>
        <v>0</v>
      </c>
      <c r="O509" s="6">
        <f t="shared" si="158"/>
        <v>0</v>
      </c>
      <c r="P509" s="6">
        <f t="shared" si="159"/>
        <v>0</v>
      </c>
      <c r="Q509" s="6">
        <f t="shared" si="160"/>
        <v>0</v>
      </c>
      <c r="R509" s="6">
        <f t="shared" si="161"/>
        <v>0</v>
      </c>
      <c r="S509" s="6">
        <f t="shared" si="162"/>
        <v>0</v>
      </c>
      <c r="T509" s="6">
        <f t="shared" si="163"/>
        <v>0</v>
      </c>
      <c r="U509" s="6">
        <f t="shared" si="164"/>
        <v>0</v>
      </c>
      <c r="V509" s="6">
        <f t="shared" si="165"/>
        <v>0</v>
      </c>
      <c r="W509" s="6">
        <f t="shared" si="166"/>
        <v>0</v>
      </c>
      <c r="X509" s="6">
        <f t="shared" si="167"/>
        <v>0</v>
      </c>
      <c r="Y509" s="6">
        <f t="shared" si="168"/>
        <v>0</v>
      </c>
      <c r="AA509" s="6" t="str">
        <f>IF(最佳化斷筋點!C509="","",最佳化斷筋點!C509)</f>
        <v>下層</v>
      </c>
      <c r="AB509" s="6">
        <f>IF(最佳化斷筋點!D509="","",最佳化斷筋點!D509)</f>
        <v>5</v>
      </c>
      <c r="AC509" s="6">
        <f>IF(最佳化斷筋點!E509="","",最佳化斷筋點!E509)</f>
        <v>5</v>
      </c>
      <c r="AD509" s="6">
        <f>IF(最佳化斷筋點!F509="","",最佳化斷筋點!F509)</f>
        <v>4</v>
      </c>
      <c r="AE509" s="6">
        <f>IF(最佳化斷筋點!G509="","",最佳化斷筋點!G509)</f>
        <v>4</v>
      </c>
      <c r="AF509" s="6">
        <f>IF(最佳化斷筋點!H509="","",最佳化斷筋點!H509)</f>
        <v>4</v>
      </c>
      <c r="AG509" s="6">
        <f>IF(最佳化斷筋點!I509="","",最佳化斷筋點!I509)</f>
        <v>5</v>
      </c>
      <c r="AH509" s="6">
        <f>IF(最佳化斷筋點!J509="","",最佳化斷筋點!J509)</f>
        <v>6</v>
      </c>
      <c r="AI509" s="6">
        <f>IF(最佳化斷筋點!K509="","",最佳化斷筋點!K509)</f>
        <v>6</v>
      </c>
      <c r="AJ509" s="6">
        <f>IF(最佳化斷筋點!L509="","",最佳化斷筋點!L509)</f>
        <v>6</v>
      </c>
      <c r="AK509" s="6">
        <f>IF(最佳化斷筋點!M509="","",最佳化斷筋點!M509)</f>
        <v>6</v>
      </c>
      <c r="AL509" s="6">
        <f>IF(最佳化斷筋點!N509="","",最佳化斷筋點!N509)</f>
        <v>6</v>
      </c>
      <c r="AM509" s="6">
        <f>IF(最佳化斷筋點!O509="","",最佳化斷筋點!O509)</f>
        <v>6</v>
      </c>
      <c r="AN509" s="6">
        <f>IF(最佳化斷筋點!P509="","",最佳化斷筋點!P509)</f>
        <v>6</v>
      </c>
      <c r="AO509" s="6">
        <f>IF(最佳化斷筋點!Q509="","",最佳化斷筋點!Q509)</f>
        <v>6</v>
      </c>
      <c r="AP509" s="6">
        <f>IF(最佳化斷筋點!R509="","",最佳化斷筋點!R509)</f>
        <v>6</v>
      </c>
      <c r="AQ509" s="6">
        <f>IF(最佳化斷筋點!S509="","",最佳化斷筋點!S509)</f>
        <v>5</v>
      </c>
      <c r="AR509" s="6">
        <f>IF(最佳化斷筋點!T509="","",最佳化斷筋點!T509)</f>
        <v>4</v>
      </c>
      <c r="AS509" s="6">
        <f>IF(最佳化斷筋點!U509="","",最佳化斷筋點!U509)</f>
        <v>4</v>
      </c>
      <c r="AT509" s="6">
        <f>IF(最佳化斷筋點!V509="","",最佳化斷筋點!V509)</f>
        <v>4</v>
      </c>
      <c r="AU509" s="6">
        <f>IF(最佳化斷筋點!W509="","",最佳化斷筋點!W509)</f>
        <v>5</v>
      </c>
      <c r="AV509" s="6">
        <f>IF(最佳化斷筋點!X509="","",最佳化斷筋點!X509)</f>
        <v>5</v>
      </c>
      <c r="AX509" s="6" t="s">
        <v>51</v>
      </c>
      <c r="AY509" s="6">
        <v>5</v>
      </c>
      <c r="AZ509" s="6">
        <v>5</v>
      </c>
      <c r="BA509" s="6">
        <v>4</v>
      </c>
      <c r="BB509" s="6">
        <v>4</v>
      </c>
      <c r="BC509" s="6">
        <v>4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5</v>
      </c>
      <c r="BO509" s="6">
        <v>4</v>
      </c>
      <c r="BP509" s="6">
        <v>4</v>
      </c>
      <c r="BQ509" s="6">
        <v>4</v>
      </c>
      <c r="BR509" s="6">
        <v>5</v>
      </c>
      <c r="BS509" s="6">
        <v>5</v>
      </c>
    </row>
    <row r="510" spans="4:71" x14ac:dyDescent="0.25">
      <c r="E510" s="6">
        <f t="shared" si="148"/>
        <v>0</v>
      </c>
      <c r="F510" s="6">
        <f t="shared" si="149"/>
        <v>0</v>
      </c>
      <c r="G510" s="6">
        <f t="shared" si="150"/>
        <v>0</v>
      </c>
      <c r="H510" s="6">
        <f t="shared" si="151"/>
        <v>0</v>
      </c>
      <c r="I510" s="6">
        <f t="shared" si="152"/>
        <v>0</v>
      </c>
      <c r="J510" s="6">
        <f t="shared" si="153"/>
        <v>0</v>
      </c>
      <c r="K510" s="6">
        <f t="shared" si="154"/>
        <v>0</v>
      </c>
      <c r="L510" s="6">
        <f t="shared" si="155"/>
        <v>0</v>
      </c>
      <c r="M510" s="6">
        <f t="shared" si="156"/>
        <v>0</v>
      </c>
      <c r="N510" s="6">
        <f t="shared" si="157"/>
        <v>0</v>
      </c>
      <c r="O510" s="6">
        <f t="shared" si="158"/>
        <v>0</v>
      </c>
      <c r="P510" s="6">
        <f t="shared" si="159"/>
        <v>0</v>
      </c>
      <c r="Q510" s="6">
        <f t="shared" si="160"/>
        <v>0</v>
      </c>
      <c r="R510" s="6">
        <f t="shared" si="161"/>
        <v>0</v>
      </c>
      <c r="S510" s="6">
        <f t="shared" si="162"/>
        <v>0</v>
      </c>
      <c r="T510" s="6">
        <f t="shared" si="163"/>
        <v>0</v>
      </c>
      <c r="U510" s="6">
        <f t="shared" si="164"/>
        <v>0</v>
      </c>
      <c r="V510" s="6">
        <f t="shared" si="165"/>
        <v>0</v>
      </c>
      <c r="W510" s="6">
        <f t="shared" si="166"/>
        <v>0</v>
      </c>
      <c r="X510" s="6">
        <f t="shared" si="167"/>
        <v>0</v>
      </c>
      <c r="Y510" s="6">
        <f t="shared" si="168"/>
        <v>0</v>
      </c>
      <c r="AA510" s="6" t="str">
        <f>IF(最佳化斷筋點!C510="","",最佳化斷筋點!C510)</f>
        <v/>
      </c>
      <c r="AB510" s="6" t="str">
        <f>IF(最佳化斷筋點!D510="","",最佳化斷筋點!D510)</f>
        <v/>
      </c>
      <c r="AC510" s="6" t="str">
        <f>IF(最佳化斷筋點!E510="","",最佳化斷筋點!E510)</f>
        <v/>
      </c>
      <c r="AD510" s="6" t="str">
        <f>IF(最佳化斷筋點!F510="","",最佳化斷筋點!F510)</f>
        <v/>
      </c>
      <c r="AE510" s="6" t="str">
        <f>IF(最佳化斷筋點!G510="","",最佳化斷筋點!G510)</f>
        <v/>
      </c>
      <c r="AF510" s="6" t="str">
        <f>IF(最佳化斷筋點!H510="","",最佳化斷筋點!H510)</f>
        <v/>
      </c>
      <c r="AG510" s="6" t="str">
        <f>IF(最佳化斷筋點!I510="","",最佳化斷筋點!I510)</f>
        <v/>
      </c>
      <c r="AH510" s="6" t="str">
        <f>IF(最佳化斷筋點!J510="","",最佳化斷筋點!J510)</f>
        <v/>
      </c>
      <c r="AI510" s="6" t="str">
        <f>IF(最佳化斷筋點!K510="","",最佳化斷筋點!K510)</f>
        <v/>
      </c>
      <c r="AJ510" s="6" t="str">
        <f>IF(最佳化斷筋點!L510="","",最佳化斷筋點!L510)</f>
        <v/>
      </c>
      <c r="AK510" s="6" t="str">
        <f>IF(最佳化斷筋點!M510="","",最佳化斷筋點!M510)</f>
        <v/>
      </c>
      <c r="AL510" s="6" t="str">
        <f>IF(最佳化斷筋點!N510="","",最佳化斷筋點!N510)</f>
        <v/>
      </c>
      <c r="AM510" s="6" t="str">
        <f>IF(最佳化斷筋點!O510="","",最佳化斷筋點!O510)</f>
        <v/>
      </c>
      <c r="AN510" s="6" t="str">
        <f>IF(最佳化斷筋點!P510="","",最佳化斷筋點!P510)</f>
        <v/>
      </c>
      <c r="AO510" s="6" t="str">
        <f>IF(最佳化斷筋點!Q510="","",最佳化斷筋點!Q510)</f>
        <v/>
      </c>
      <c r="AP510" s="6" t="str">
        <f>IF(最佳化斷筋點!R510="","",最佳化斷筋點!R510)</f>
        <v/>
      </c>
      <c r="AQ510" s="6" t="str">
        <f>IF(最佳化斷筋點!S510="","",最佳化斷筋點!S510)</f>
        <v/>
      </c>
      <c r="AR510" s="6" t="str">
        <f>IF(最佳化斷筋點!T510="","",最佳化斷筋點!T510)</f>
        <v/>
      </c>
      <c r="AS510" s="6" t="str">
        <f>IF(最佳化斷筋點!U510="","",最佳化斷筋點!U510)</f>
        <v/>
      </c>
      <c r="AT510" s="6" t="str">
        <f>IF(最佳化斷筋點!V510="","",最佳化斷筋點!V510)</f>
        <v/>
      </c>
      <c r="AU510" s="6" t="str">
        <f>IF(最佳化斷筋點!W510="","",最佳化斷筋點!W510)</f>
        <v/>
      </c>
      <c r="AV510" s="6" t="str">
        <f>IF(最佳化斷筋點!X510="","",最佳化斷筋點!X510)</f>
        <v/>
      </c>
    </row>
    <row r="511" spans="4:71" x14ac:dyDescent="0.25">
      <c r="D511" s="6" t="s">
        <v>50</v>
      </c>
      <c r="E511" s="6">
        <f t="shared" si="148"/>
        <v>0</v>
      </c>
      <c r="F511" s="6">
        <f t="shared" si="149"/>
        <v>0</v>
      </c>
      <c r="G511" s="6">
        <f t="shared" si="150"/>
        <v>0</v>
      </c>
      <c r="H511" s="6">
        <f t="shared" si="151"/>
        <v>0</v>
      </c>
      <c r="I511" s="6">
        <f t="shared" si="152"/>
        <v>0</v>
      </c>
      <c r="J511" s="6">
        <f t="shared" si="153"/>
        <v>0</v>
      </c>
      <c r="K511" s="6">
        <f t="shared" si="154"/>
        <v>0</v>
      </c>
      <c r="L511" s="6">
        <f t="shared" si="155"/>
        <v>0</v>
      </c>
      <c r="M511" s="6">
        <f t="shared" si="156"/>
        <v>0</v>
      </c>
      <c r="N511" s="6">
        <f t="shared" si="157"/>
        <v>0</v>
      </c>
      <c r="O511" s="6">
        <f t="shared" si="158"/>
        <v>0</v>
      </c>
      <c r="P511" s="6">
        <f t="shared" si="159"/>
        <v>0</v>
      </c>
      <c r="Q511" s="6">
        <f t="shared" si="160"/>
        <v>0</v>
      </c>
      <c r="R511" s="6">
        <f t="shared" si="161"/>
        <v>0</v>
      </c>
      <c r="S511" s="6">
        <f t="shared" si="162"/>
        <v>0</v>
      </c>
      <c r="T511" s="6">
        <f t="shared" si="163"/>
        <v>0</v>
      </c>
      <c r="U511" s="6">
        <f t="shared" si="164"/>
        <v>0</v>
      </c>
      <c r="V511" s="6">
        <f t="shared" si="165"/>
        <v>0</v>
      </c>
      <c r="W511" s="6">
        <f t="shared" si="166"/>
        <v>0</v>
      </c>
      <c r="X511" s="6">
        <f t="shared" si="167"/>
        <v>0</v>
      </c>
      <c r="Y511" s="6">
        <f t="shared" si="168"/>
        <v>0</v>
      </c>
      <c r="AA511" s="6" t="str">
        <f>IF(最佳化斷筋點!C511="","",最佳化斷筋點!C511)</f>
        <v>上層</v>
      </c>
      <c r="AB511" s="6">
        <f>IF(最佳化斷筋點!D511="","",最佳化斷筋點!D511)</f>
        <v>6</v>
      </c>
      <c r="AC511" s="6">
        <f>IF(最佳化斷筋點!E511="","",最佳化斷筋點!E511)</f>
        <v>6</v>
      </c>
      <c r="AD511" s="6">
        <f>IF(最佳化斷筋點!F511="","",最佳化斷筋點!F511)</f>
        <v>5</v>
      </c>
      <c r="AE511" s="6">
        <f>IF(最佳化斷筋點!G511="","",最佳化斷筋點!G511)</f>
        <v>5</v>
      </c>
      <c r="AF511" s="6">
        <f>IF(最佳化斷筋點!H511="","",最佳化斷筋點!H511)</f>
        <v>4</v>
      </c>
      <c r="AG511" s="6">
        <f>IF(最佳化斷筋點!I511="","",最佳化斷筋點!I511)</f>
        <v>4</v>
      </c>
      <c r="AH511" s="6">
        <f>IF(最佳化斷筋點!J511="","",最佳化斷筋點!J511)</f>
        <v>3</v>
      </c>
      <c r="AI511" s="6">
        <f>IF(最佳化斷筋點!K511="","",最佳化斷筋點!K511)</f>
        <v>2</v>
      </c>
      <c r="AJ511" s="6">
        <f>IF(最佳化斷筋點!L511="","",最佳化斷筋點!L511)</f>
        <v>2</v>
      </c>
      <c r="AK511" s="6">
        <f>IF(最佳化斷筋點!M511="","",最佳化斷筋點!M511)</f>
        <v>2</v>
      </c>
      <c r="AL511" s="6">
        <f>IF(最佳化斷筋點!N511="","",最佳化斷筋點!N511)</f>
        <v>2</v>
      </c>
      <c r="AM511" s="6">
        <f>IF(最佳化斷筋點!O511="","",最佳化斷筋點!O511)</f>
        <v>2</v>
      </c>
      <c r="AN511" s="6">
        <f>IF(最佳化斷筋點!P511="","",最佳化斷筋點!P511)</f>
        <v>2</v>
      </c>
      <c r="AO511" s="6">
        <f>IF(最佳化斷筋點!Q511="","",最佳化斷筋點!Q511)</f>
        <v>3</v>
      </c>
      <c r="AP511" s="6">
        <f>IF(最佳化斷筋點!R511="","",最佳化斷筋點!R511)</f>
        <v>4</v>
      </c>
      <c r="AQ511" s="6">
        <f>IF(最佳化斷筋點!S511="","",最佳化斷筋點!S511)</f>
        <v>5</v>
      </c>
      <c r="AR511" s="6">
        <f>IF(最佳化斷筋點!T511="","",最佳化斷筋點!T511)</f>
        <v>6</v>
      </c>
      <c r="AS511" s="6">
        <f>IF(最佳化斷筋點!U511="","",最佳化斷筋點!U511)</f>
        <v>7</v>
      </c>
      <c r="AT511" s="6">
        <f>IF(最佳化斷筋點!V511="","",最佳化斷筋點!V511)</f>
        <v>8</v>
      </c>
      <c r="AU511" s="6">
        <f>IF(最佳化斷筋點!W511="","",最佳化斷筋點!W511)</f>
        <v>9</v>
      </c>
      <c r="AV511" s="6">
        <f>IF(最佳化斷筋點!X511="","",最佳化斷筋點!X511)</f>
        <v>9</v>
      </c>
      <c r="AX511" s="6" t="s">
        <v>50</v>
      </c>
      <c r="AY511" s="6">
        <v>6</v>
      </c>
      <c r="AZ511" s="6">
        <v>6</v>
      </c>
      <c r="BA511" s="6">
        <v>5</v>
      </c>
      <c r="BB511" s="6">
        <v>5</v>
      </c>
      <c r="BC511" s="6">
        <v>4</v>
      </c>
      <c r="BD511" s="6">
        <v>4</v>
      </c>
      <c r="BE511" s="6">
        <v>3</v>
      </c>
      <c r="BF511" s="6">
        <v>2</v>
      </c>
      <c r="BG511" s="6">
        <v>2</v>
      </c>
      <c r="BH511" s="6">
        <v>2</v>
      </c>
      <c r="BI511" s="6">
        <v>2</v>
      </c>
      <c r="BJ511" s="6">
        <v>2</v>
      </c>
      <c r="BK511" s="6">
        <v>2</v>
      </c>
      <c r="BL511" s="6">
        <v>3</v>
      </c>
      <c r="BM511" s="6">
        <v>4</v>
      </c>
      <c r="BN511" s="6">
        <v>5</v>
      </c>
      <c r="BO511" s="6">
        <v>6</v>
      </c>
      <c r="BP511" s="6">
        <v>7</v>
      </c>
      <c r="BQ511" s="6">
        <v>8</v>
      </c>
      <c r="BR511" s="6">
        <v>9</v>
      </c>
      <c r="BS511" s="6">
        <v>9</v>
      </c>
    </row>
    <row r="512" spans="4:71" x14ac:dyDescent="0.25">
      <c r="E512" s="6">
        <f t="shared" si="148"/>
        <v>0</v>
      </c>
      <c r="F512" s="6">
        <f t="shared" si="149"/>
        <v>0</v>
      </c>
      <c r="G512" s="6">
        <f t="shared" si="150"/>
        <v>0</v>
      </c>
      <c r="H512" s="6">
        <f t="shared" si="151"/>
        <v>0</v>
      </c>
      <c r="I512" s="6">
        <f t="shared" si="152"/>
        <v>0</v>
      </c>
      <c r="J512" s="6">
        <f t="shared" si="153"/>
        <v>0</v>
      </c>
      <c r="K512" s="6">
        <f t="shared" si="154"/>
        <v>0</v>
      </c>
      <c r="L512" s="6">
        <f t="shared" si="155"/>
        <v>0</v>
      </c>
      <c r="M512" s="6">
        <f t="shared" si="156"/>
        <v>0</v>
      </c>
      <c r="N512" s="6">
        <f t="shared" si="157"/>
        <v>0</v>
      </c>
      <c r="O512" s="6">
        <f t="shared" si="158"/>
        <v>0</v>
      </c>
      <c r="P512" s="6">
        <f t="shared" si="159"/>
        <v>0</v>
      </c>
      <c r="Q512" s="6">
        <f t="shared" si="160"/>
        <v>0</v>
      </c>
      <c r="R512" s="6">
        <f t="shared" si="161"/>
        <v>0</v>
      </c>
      <c r="S512" s="6">
        <f t="shared" si="162"/>
        <v>0</v>
      </c>
      <c r="T512" s="6">
        <f t="shared" si="163"/>
        <v>0</v>
      </c>
      <c r="U512" s="6">
        <f t="shared" si="164"/>
        <v>0</v>
      </c>
      <c r="V512" s="6">
        <f t="shared" si="165"/>
        <v>0</v>
      </c>
      <c r="W512" s="6">
        <f t="shared" si="166"/>
        <v>0</v>
      </c>
      <c r="X512" s="6">
        <f t="shared" si="167"/>
        <v>0</v>
      </c>
      <c r="Y512" s="6">
        <f t="shared" si="168"/>
        <v>0</v>
      </c>
      <c r="AA512" s="6" t="str">
        <f>IF(最佳化斷筋點!C512="","",最佳化斷筋點!C512)</f>
        <v/>
      </c>
      <c r="AB512" s="6" t="str">
        <f>IF(最佳化斷筋點!D512="","",最佳化斷筋點!D512)</f>
        <v/>
      </c>
      <c r="AC512" s="6" t="str">
        <f>IF(最佳化斷筋點!E512="","",最佳化斷筋點!E512)</f>
        <v/>
      </c>
      <c r="AD512" s="6" t="str">
        <f>IF(最佳化斷筋點!F512="","",最佳化斷筋點!F512)</f>
        <v/>
      </c>
      <c r="AE512" s="6" t="str">
        <f>IF(最佳化斷筋點!G512="","",最佳化斷筋點!G512)</f>
        <v/>
      </c>
      <c r="AF512" s="6" t="str">
        <f>IF(最佳化斷筋點!H512="","",最佳化斷筋點!H512)</f>
        <v/>
      </c>
      <c r="AG512" s="6" t="str">
        <f>IF(最佳化斷筋點!I512="","",最佳化斷筋點!I512)</f>
        <v/>
      </c>
      <c r="AH512" s="6" t="str">
        <f>IF(最佳化斷筋點!J512="","",最佳化斷筋點!J512)</f>
        <v/>
      </c>
      <c r="AI512" s="6" t="str">
        <f>IF(最佳化斷筋點!K512="","",最佳化斷筋點!K512)</f>
        <v/>
      </c>
      <c r="AJ512" s="6" t="str">
        <f>IF(最佳化斷筋點!L512="","",最佳化斷筋點!L512)</f>
        <v/>
      </c>
      <c r="AK512" s="6" t="str">
        <f>IF(最佳化斷筋點!M512="","",最佳化斷筋點!M512)</f>
        <v/>
      </c>
      <c r="AL512" s="6" t="str">
        <f>IF(最佳化斷筋點!N512="","",最佳化斷筋點!N512)</f>
        <v/>
      </c>
      <c r="AM512" s="6" t="str">
        <f>IF(最佳化斷筋點!O512="","",最佳化斷筋點!O512)</f>
        <v/>
      </c>
      <c r="AN512" s="6" t="str">
        <f>IF(最佳化斷筋點!P512="","",最佳化斷筋點!P512)</f>
        <v/>
      </c>
      <c r="AO512" s="6" t="str">
        <f>IF(最佳化斷筋點!Q512="","",最佳化斷筋點!Q512)</f>
        <v/>
      </c>
      <c r="AP512" s="6" t="str">
        <f>IF(最佳化斷筋點!R512="","",最佳化斷筋點!R512)</f>
        <v/>
      </c>
      <c r="AQ512" s="6" t="str">
        <f>IF(最佳化斷筋點!S512="","",最佳化斷筋點!S512)</f>
        <v/>
      </c>
      <c r="AR512" s="6" t="str">
        <f>IF(最佳化斷筋點!T512="","",最佳化斷筋點!T512)</f>
        <v/>
      </c>
      <c r="AS512" s="6" t="str">
        <f>IF(最佳化斷筋點!U512="","",最佳化斷筋點!U512)</f>
        <v/>
      </c>
      <c r="AT512" s="6" t="str">
        <f>IF(最佳化斷筋點!V512="","",最佳化斷筋點!V512)</f>
        <v/>
      </c>
      <c r="AU512" s="6" t="str">
        <f>IF(最佳化斷筋點!W512="","",最佳化斷筋點!W512)</f>
        <v/>
      </c>
      <c r="AV512" s="6" t="str">
        <f>IF(最佳化斷筋點!X512="","",最佳化斷筋點!X512)</f>
        <v/>
      </c>
    </row>
    <row r="513" spans="4:71" x14ac:dyDescent="0.25">
      <c r="D513" s="6" t="s">
        <v>51</v>
      </c>
      <c r="E513" s="6">
        <f t="shared" si="148"/>
        <v>0</v>
      </c>
      <c r="F513" s="6">
        <f t="shared" si="149"/>
        <v>0</v>
      </c>
      <c r="G513" s="6">
        <f t="shared" si="150"/>
        <v>0</v>
      </c>
      <c r="H513" s="6">
        <f t="shared" si="151"/>
        <v>0</v>
      </c>
      <c r="I513" s="6">
        <f t="shared" si="152"/>
        <v>0</v>
      </c>
      <c r="J513" s="6">
        <f t="shared" si="153"/>
        <v>0</v>
      </c>
      <c r="K513" s="6">
        <f t="shared" si="154"/>
        <v>0</v>
      </c>
      <c r="L513" s="6">
        <f t="shared" si="155"/>
        <v>0</v>
      </c>
      <c r="M513" s="6">
        <f t="shared" si="156"/>
        <v>0</v>
      </c>
      <c r="N513" s="6">
        <f t="shared" si="157"/>
        <v>0</v>
      </c>
      <c r="O513" s="6">
        <f t="shared" si="158"/>
        <v>0</v>
      </c>
      <c r="P513" s="6">
        <f t="shared" si="159"/>
        <v>0</v>
      </c>
      <c r="Q513" s="6">
        <f t="shared" si="160"/>
        <v>0</v>
      </c>
      <c r="R513" s="6">
        <f t="shared" si="161"/>
        <v>0</v>
      </c>
      <c r="S513" s="6">
        <f t="shared" si="162"/>
        <v>0</v>
      </c>
      <c r="T513" s="6">
        <f t="shared" si="163"/>
        <v>0</v>
      </c>
      <c r="U513" s="6">
        <f t="shared" si="164"/>
        <v>0</v>
      </c>
      <c r="V513" s="6">
        <f t="shared" si="165"/>
        <v>0</v>
      </c>
      <c r="W513" s="6">
        <f t="shared" si="166"/>
        <v>0</v>
      </c>
      <c r="X513" s="6">
        <f t="shared" si="167"/>
        <v>0</v>
      </c>
      <c r="Y513" s="6">
        <f t="shared" si="168"/>
        <v>0</v>
      </c>
      <c r="AA513" s="6" t="str">
        <f>IF(最佳化斷筋點!C513="","",最佳化斷筋點!C513)</f>
        <v>下層</v>
      </c>
      <c r="AB513" s="6">
        <f>IF(最佳化斷筋點!D513="","",最佳化斷筋點!D513)</f>
        <v>5</v>
      </c>
      <c r="AC513" s="6">
        <f>IF(最佳化斷筋點!E513="","",最佳化斷筋點!E513)</f>
        <v>5</v>
      </c>
      <c r="AD513" s="6">
        <f>IF(最佳化斷筋點!F513="","",最佳化斷筋點!F513)</f>
        <v>4</v>
      </c>
      <c r="AE513" s="6">
        <f>IF(最佳化斷筋點!G513="","",最佳化斷筋點!G513)</f>
        <v>4</v>
      </c>
      <c r="AF513" s="6">
        <f>IF(最佳化斷筋點!H513="","",最佳化斷筋點!H513)</f>
        <v>4</v>
      </c>
      <c r="AG513" s="6">
        <f>IF(最佳化斷筋點!I513="","",最佳化斷筋點!I513)</f>
        <v>5</v>
      </c>
      <c r="AH513" s="6">
        <f>IF(最佳化斷筋點!J513="","",最佳化斷筋點!J513)</f>
        <v>6</v>
      </c>
      <c r="AI513" s="6">
        <f>IF(最佳化斷筋點!K513="","",最佳化斷筋點!K513)</f>
        <v>6</v>
      </c>
      <c r="AJ513" s="6">
        <f>IF(最佳化斷筋點!L513="","",最佳化斷筋點!L513)</f>
        <v>6</v>
      </c>
      <c r="AK513" s="6">
        <f>IF(最佳化斷筋點!M513="","",最佳化斷筋點!M513)</f>
        <v>6</v>
      </c>
      <c r="AL513" s="6">
        <f>IF(最佳化斷筋點!N513="","",最佳化斷筋點!N513)</f>
        <v>6</v>
      </c>
      <c r="AM513" s="6">
        <f>IF(最佳化斷筋點!O513="","",最佳化斷筋點!O513)</f>
        <v>6</v>
      </c>
      <c r="AN513" s="6">
        <f>IF(最佳化斷筋點!P513="","",最佳化斷筋點!P513)</f>
        <v>6</v>
      </c>
      <c r="AO513" s="6">
        <f>IF(最佳化斷筋點!Q513="","",最佳化斷筋點!Q513)</f>
        <v>6</v>
      </c>
      <c r="AP513" s="6">
        <f>IF(最佳化斷筋點!R513="","",最佳化斷筋點!R513)</f>
        <v>6</v>
      </c>
      <c r="AQ513" s="6">
        <f>IF(最佳化斷筋點!S513="","",最佳化斷筋點!S513)</f>
        <v>5</v>
      </c>
      <c r="AR513" s="6">
        <f>IF(最佳化斷筋點!T513="","",最佳化斷筋點!T513)</f>
        <v>4</v>
      </c>
      <c r="AS513" s="6">
        <f>IF(最佳化斷筋點!U513="","",最佳化斷筋點!U513)</f>
        <v>4</v>
      </c>
      <c r="AT513" s="6">
        <f>IF(最佳化斷筋點!V513="","",最佳化斷筋點!V513)</f>
        <v>4</v>
      </c>
      <c r="AU513" s="6">
        <f>IF(最佳化斷筋點!W513="","",最佳化斷筋點!W513)</f>
        <v>5</v>
      </c>
      <c r="AV513" s="6">
        <f>IF(最佳化斷筋點!X513="","",最佳化斷筋點!X513)</f>
        <v>5</v>
      </c>
      <c r="AX513" s="6" t="s">
        <v>51</v>
      </c>
      <c r="AY513" s="6">
        <v>5</v>
      </c>
      <c r="AZ513" s="6">
        <v>5</v>
      </c>
      <c r="BA513" s="6">
        <v>4</v>
      </c>
      <c r="BB513" s="6">
        <v>4</v>
      </c>
      <c r="BC513" s="6">
        <v>4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5</v>
      </c>
      <c r="BO513" s="6">
        <v>4</v>
      </c>
      <c r="BP513" s="6">
        <v>4</v>
      </c>
      <c r="BQ513" s="6">
        <v>4</v>
      </c>
      <c r="BR513" s="6">
        <v>5</v>
      </c>
      <c r="BS513" s="6">
        <v>5</v>
      </c>
    </row>
    <row r="514" spans="4:71" x14ac:dyDescent="0.25">
      <c r="E514" s="6">
        <f t="shared" si="148"/>
        <v>0</v>
      </c>
      <c r="F514" s="6">
        <f t="shared" si="149"/>
        <v>0</v>
      </c>
      <c r="G514" s="6">
        <f t="shared" si="150"/>
        <v>0</v>
      </c>
      <c r="H514" s="6">
        <f t="shared" si="151"/>
        <v>0</v>
      </c>
      <c r="I514" s="6">
        <f t="shared" si="152"/>
        <v>0</v>
      </c>
      <c r="J514" s="6">
        <f t="shared" si="153"/>
        <v>0</v>
      </c>
      <c r="K514" s="6">
        <f t="shared" si="154"/>
        <v>0</v>
      </c>
      <c r="L514" s="6">
        <f t="shared" si="155"/>
        <v>0</v>
      </c>
      <c r="M514" s="6">
        <f t="shared" si="156"/>
        <v>0</v>
      </c>
      <c r="N514" s="6">
        <f t="shared" si="157"/>
        <v>0</v>
      </c>
      <c r="O514" s="6">
        <f t="shared" si="158"/>
        <v>0</v>
      </c>
      <c r="P514" s="6">
        <f t="shared" si="159"/>
        <v>0</v>
      </c>
      <c r="Q514" s="6">
        <f t="shared" si="160"/>
        <v>0</v>
      </c>
      <c r="R514" s="6">
        <f t="shared" si="161"/>
        <v>0</v>
      </c>
      <c r="S514" s="6">
        <f t="shared" si="162"/>
        <v>0</v>
      </c>
      <c r="T514" s="6">
        <f t="shared" si="163"/>
        <v>0</v>
      </c>
      <c r="U514" s="6">
        <f t="shared" si="164"/>
        <v>0</v>
      </c>
      <c r="V514" s="6">
        <f t="shared" si="165"/>
        <v>0</v>
      </c>
      <c r="W514" s="6">
        <f t="shared" si="166"/>
        <v>0</v>
      </c>
      <c r="X514" s="6">
        <f t="shared" si="167"/>
        <v>0</v>
      </c>
      <c r="Y514" s="6">
        <f t="shared" si="168"/>
        <v>0</v>
      </c>
      <c r="AA514" s="6" t="str">
        <f>IF(最佳化斷筋點!C514="","",最佳化斷筋點!C514)</f>
        <v/>
      </c>
      <c r="AB514" s="6" t="str">
        <f>IF(最佳化斷筋點!D514="","",最佳化斷筋點!D514)</f>
        <v/>
      </c>
      <c r="AC514" s="6" t="str">
        <f>IF(最佳化斷筋點!E514="","",最佳化斷筋點!E514)</f>
        <v/>
      </c>
      <c r="AD514" s="6" t="str">
        <f>IF(最佳化斷筋點!F514="","",最佳化斷筋點!F514)</f>
        <v/>
      </c>
      <c r="AE514" s="6" t="str">
        <f>IF(最佳化斷筋點!G514="","",最佳化斷筋點!G514)</f>
        <v/>
      </c>
      <c r="AF514" s="6" t="str">
        <f>IF(最佳化斷筋點!H514="","",最佳化斷筋點!H514)</f>
        <v/>
      </c>
      <c r="AG514" s="6" t="str">
        <f>IF(最佳化斷筋點!I514="","",最佳化斷筋點!I514)</f>
        <v/>
      </c>
      <c r="AH514" s="6" t="str">
        <f>IF(最佳化斷筋點!J514="","",最佳化斷筋點!J514)</f>
        <v/>
      </c>
      <c r="AI514" s="6" t="str">
        <f>IF(最佳化斷筋點!K514="","",最佳化斷筋點!K514)</f>
        <v/>
      </c>
      <c r="AJ514" s="6" t="str">
        <f>IF(最佳化斷筋點!L514="","",最佳化斷筋點!L514)</f>
        <v/>
      </c>
      <c r="AK514" s="6" t="str">
        <f>IF(最佳化斷筋點!M514="","",最佳化斷筋點!M514)</f>
        <v/>
      </c>
      <c r="AL514" s="6" t="str">
        <f>IF(最佳化斷筋點!N514="","",最佳化斷筋點!N514)</f>
        <v/>
      </c>
      <c r="AM514" s="6" t="str">
        <f>IF(最佳化斷筋點!O514="","",最佳化斷筋點!O514)</f>
        <v/>
      </c>
      <c r="AN514" s="6" t="str">
        <f>IF(最佳化斷筋點!P514="","",最佳化斷筋點!P514)</f>
        <v/>
      </c>
      <c r="AO514" s="6" t="str">
        <f>IF(最佳化斷筋點!Q514="","",最佳化斷筋點!Q514)</f>
        <v/>
      </c>
      <c r="AP514" s="6" t="str">
        <f>IF(最佳化斷筋點!R514="","",最佳化斷筋點!R514)</f>
        <v/>
      </c>
      <c r="AQ514" s="6" t="str">
        <f>IF(最佳化斷筋點!S514="","",最佳化斷筋點!S514)</f>
        <v/>
      </c>
      <c r="AR514" s="6" t="str">
        <f>IF(最佳化斷筋點!T514="","",最佳化斷筋點!T514)</f>
        <v/>
      </c>
      <c r="AS514" s="6" t="str">
        <f>IF(最佳化斷筋點!U514="","",最佳化斷筋點!U514)</f>
        <v/>
      </c>
      <c r="AT514" s="6" t="str">
        <f>IF(最佳化斷筋點!V514="","",最佳化斷筋點!V514)</f>
        <v/>
      </c>
      <c r="AU514" s="6" t="str">
        <f>IF(最佳化斷筋點!W514="","",最佳化斷筋點!W514)</f>
        <v/>
      </c>
      <c r="AV514" s="6" t="str">
        <f>IF(最佳化斷筋點!X514="","",最佳化斷筋點!X514)</f>
        <v/>
      </c>
    </row>
    <row r="515" spans="4:71" x14ac:dyDescent="0.25">
      <c r="D515" s="6" t="s">
        <v>50</v>
      </c>
      <c r="E515" s="6">
        <f t="shared" si="148"/>
        <v>0</v>
      </c>
      <c r="F515" s="6">
        <f t="shared" si="149"/>
        <v>0</v>
      </c>
      <c r="G515" s="6">
        <f t="shared" si="150"/>
        <v>0</v>
      </c>
      <c r="H515" s="6">
        <f t="shared" si="151"/>
        <v>0</v>
      </c>
      <c r="I515" s="6">
        <f t="shared" si="152"/>
        <v>0</v>
      </c>
      <c r="J515" s="6">
        <f t="shared" si="153"/>
        <v>0</v>
      </c>
      <c r="K515" s="6">
        <f t="shared" si="154"/>
        <v>0</v>
      </c>
      <c r="L515" s="6">
        <f t="shared" si="155"/>
        <v>0</v>
      </c>
      <c r="M515" s="6">
        <f t="shared" si="156"/>
        <v>0</v>
      </c>
      <c r="N515" s="6">
        <f t="shared" si="157"/>
        <v>0</v>
      </c>
      <c r="O515" s="6">
        <f t="shared" si="158"/>
        <v>0</v>
      </c>
      <c r="P515" s="6">
        <f t="shared" si="159"/>
        <v>0</v>
      </c>
      <c r="Q515" s="6">
        <f t="shared" si="160"/>
        <v>0</v>
      </c>
      <c r="R515" s="6">
        <f t="shared" si="161"/>
        <v>0</v>
      </c>
      <c r="S515" s="6">
        <f t="shared" si="162"/>
        <v>0</v>
      </c>
      <c r="T515" s="6">
        <f t="shared" si="163"/>
        <v>0</v>
      </c>
      <c r="U515" s="6">
        <f t="shared" si="164"/>
        <v>0</v>
      </c>
      <c r="V515" s="6">
        <f t="shared" si="165"/>
        <v>0</v>
      </c>
      <c r="W515" s="6">
        <f t="shared" si="166"/>
        <v>0</v>
      </c>
      <c r="X515" s="6">
        <f t="shared" si="167"/>
        <v>0</v>
      </c>
      <c r="Y515" s="6">
        <f t="shared" si="168"/>
        <v>0</v>
      </c>
      <c r="AA515" s="6" t="str">
        <f>IF(最佳化斷筋點!C515="","",最佳化斷筋點!C515)</f>
        <v>上層</v>
      </c>
      <c r="AB515" s="6">
        <f>IF(最佳化斷筋點!D515="","",最佳化斷筋點!D515)</f>
        <v>6</v>
      </c>
      <c r="AC515" s="6">
        <f>IF(最佳化斷筋點!E515="","",最佳化斷筋點!E515)</f>
        <v>6</v>
      </c>
      <c r="AD515" s="6">
        <f>IF(最佳化斷筋點!F515="","",最佳化斷筋點!F515)</f>
        <v>5</v>
      </c>
      <c r="AE515" s="6">
        <f>IF(最佳化斷筋點!G515="","",最佳化斷筋點!G515)</f>
        <v>5</v>
      </c>
      <c r="AF515" s="6">
        <f>IF(最佳化斷筋點!H515="","",最佳化斷筋點!H515)</f>
        <v>4</v>
      </c>
      <c r="AG515" s="6">
        <f>IF(最佳化斷筋點!I515="","",最佳化斷筋點!I515)</f>
        <v>4</v>
      </c>
      <c r="AH515" s="6">
        <f>IF(最佳化斷筋點!J515="","",最佳化斷筋點!J515)</f>
        <v>3</v>
      </c>
      <c r="AI515" s="6">
        <f>IF(最佳化斷筋點!K515="","",最佳化斷筋點!K515)</f>
        <v>2</v>
      </c>
      <c r="AJ515" s="6">
        <f>IF(最佳化斷筋點!L515="","",最佳化斷筋點!L515)</f>
        <v>2</v>
      </c>
      <c r="AK515" s="6">
        <f>IF(最佳化斷筋點!M515="","",最佳化斷筋點!M515)</f>
        <v>2</v>
      </c>
      <c r="AL515" s="6">
        <f>IF(最佳化斷筋點!N515="","",最佳化斷筋點!N515)</f>
        <v>2</v>
      </c>
      <c r="AM515" s="6">
        <f>IF(最佳化斷筋點!O515="","",最佳化斷筋點!O515)</f>
        <v>2</v>
      </c>
      <c r="AN515" s="6">
        <f>IF(最佳化斷筋點!P515="","",最佳化斷筋點!P515)</f>
        <v>2</v>
      </c>
      <c r="AO515" s="6">
        <f>IF(最佳化斷筋點!Q515="","",最佳化斷筋點!Q515)</f>
        <v>3</v>
      </c>
      <c r="AP515" s="6">
        <f>IF(最佳化斷筋點!R515="","",最佳化斷筋點!R515)</f>
        <v>4</v>
      </c>
      <c r="AQ515" s="6">
        <f>IF(最佳化斷筋點!S515="","",最佳化斷筋點!S515)</f>
        <v>5</v>
      </c>
      <c r="AR515" s="6">
        <f>IF(最佳化斷筋點!T515="","",最佳化斷筋點!T515)</f>
        <v>6</v>
      </c>
      <c r="AS515" s="6">
        <f>IF(最佳化斷筋點!U515="","",最佳化斷筋點!U515)</f>
        <v>7</v>
      </c>
      <c r="AT515" s="6">
        <f>IF(最佳化斷筋點!V515="","",最佳化斷筋點!V515)</f>
        <v>8</v>
      </c>
      <c r="AU515" s="6">
        <f>IF(最佳化斷筋點!W515="","",最佳化斷筋點!W515)</f>
        <v>9</v>
      </c>
      <c r="AV515" s="6">
        <f>IF(最佳化斷筋點!X515="","",最佳化斷筋點!X515)</f>
        <v>9</v>
      </c>
      <c r="AX515" s="6" t="s">
        <v>50</v>
      </c>
      <c r="AY515" s="6">
        <v>6</v>
      </c>
      <c r="AZ515" s="6">
        <v>6</v>
      </c>
      <c r="BA515" s="6">
        <v>5</v>
      </c>
      <c r="BB515" s="6">
        <v>5</v>
      </c>
      <c r="BC515" s="6">
        <v>4</v>
      </c>
      <c r="BD515" s="6">
        <v>4</v>
      </c>
      <c r="BE515" s="6">
        <v>3</v>
      </c>
      <c r="BF515" s="6">
        <v>2</v>
      </c>
      <c r="BG515" s="6">
        <v>2</v>
      </c>
      <c r="BH515" s="6">
        <v>2</v>
      </c>
      <c r="BI515" s="6">
        <v>2</v>
      </c>
      <c r="BJ515" s="6">
        <v>2</v>
      </c>
      <c r="BK515" s="6">
        <v>2</v>
      </c>
      <c r="BL515" s="6">
        <v>3</v>
      </c>
      <c r="BM515" s="6">
        <v>4</v>
      </c>
      <c r="BN515" s="6">
        <v>5</v>
      </c>
      <c r="BO515" s="6">
        <v>6</v>
      </c>
      <c r="BP515" s="6">
        <v>7</v>
      </c>
      <c r="BQ515" s="6">
        <v>8</v>
      </c>
      <c r="BR515" s="6">
        <v>9</v>
      </c>
      <c r="BS515" s="6">
        <v>9</v>
      </c>
    </row>
    <row r="516" spans="4:71" x14ac:dyDescent="0.25">
      <c r="E516" s="6">
        <f t="shared" ref="E516:E579" si="169">IF(AB516=AY516,0,1)</f>
        <v>0</v>
      </c>
      <c r="F516" s="6">
        <f t="shared" ref="F516:F579" si="170">IF(AC516=AZ516,0,1)</f>
        <v>0</v>
      </c>
      <c r="G516" s="6">
        <f t="shared" ref="G516:G579" si="171">IF(AD516=BA516,0,1)</f>
        <v>0</v>
      </c>
      <c r="H516" s="6">
        <f t="shared" ref="H516:H579" si="172">IF(AE516=BB516,0,1)</f>
        <v>0</v>
      </c>
      <c r="I516" s="6">
        <f t="shared" ref="I516:I579" si="173">IF(AF516=BC516,0,1)</f>
        <v>0</v>
      </c>
      <c r="J516" s="6">
        <f t="shared" ref="J516:J579" si="174">IF(AG516=BD516,0,1)</f>
        <v>0</v>
      </c>
      <c r="K516" s="6">
        <f t="shared" ref="K516:K579" si="175">IF(AH516=BE516,0,1)</f>
        <v>0</v>
      </c>
      <c r="L516" s="6">
        <f t="shared" ref="L516:L579" si="176">IF(AI516=BF516,0,1)</f>
        <v>0</v>
      </c>
      <c r="M516" s="6">
        <f t="shared" ref="M516:M579" si="177">IF(AJ516=BG516,0,1)</f>
        <v>0</v>
      </c>
      <c r="N516" s="6">
        <f t="shared" ref="N516:N579" si="178">IF(AK516=BH516,0,1)</f>
        <v>0</v>
      </c>
      <c r="O516" s="6">
        <f t="shared" ref="O516:O579" si="179">IF(AL516=BI516,0,1)</f>
        <v>0</v>
      </c>
      <c r="P516" s="6">
        <f t="shared" ref="P516:P579" si="180">IF(AM516=BJ516,0,1)</f>
        <v>0</v>
      </c>
      <c r="Q516" s="6">
        <f t="shared" ref="Q516:Q579" si="181">IF(AN516=BK516,0,1)</f>
        <v>0</v>
      </c>
      <c r="R516" s="6">
        <f t="shared" ref="R516:R579" si="182">IF(AO516=BL516,0,1)</f>
        <v>0</v>
      </c>
      <c r="S516" s="6">
        <f t="shared" ref="S516:S579" si="183">IF(AP516=BM516,0,1)</f>
        <v>0</v>
      </c>
      <c r="T516" s="6">
        <f t="shared" ref="T516:T579" si="184">IF(AQ516=BN516,0,1)</f>
        <v>0</v>
      </c>
      <c r="U516" s="6">
        <f t="shared" ref="U516:U579" si="185">IF(AR516=BO516,0,1)</f>
        <v>0</v>
      </c>
      <c r="V516" s="6">
        <f t="shared" ref="V516:V579" si="186">IF(AS516=BP516,0,1)</f>
        <v>0</v>
      </c>
      <c r="W516" s="6">
        <f t="shared" ref="W516:W579" si="187">IF(AT516=BQ516,0,1)</f>
        <v>0</v>
      </c>
      <c r="X516" s="6">
        <f t="shared" ref="X516:X579" si="188">IF(AU516=BR516,0,1)</f>
        <v>0</v>
      </c>
      <c r="Y516" s="6">
        <f t="shared" ref="Y516:Y579" si="189">IF(AV516=BS516,0,1)</f>
        <v>0</v>
      </c>
      <c r="AA516" s="6" t="str">
        <f>IF(最佳化斷筋點!C516="","",最佳化斷筋點!C516)</f>
        <v/>
      </c>
      <c r="AB516" s="6" t="str">
        <f>IF(最佳化斷筋點!D516="","",最佳化斷筋點!D516)</f>
        <v/>
      </c>
      <c r="AC516" s="6" t="str">
        <f>IF(最佳化斷筋點!E516="","",最佳化斷筋點!E516)</f>
        <v/>
      </c>
      <c r="AD516" s="6" t="str">
        <f>IF(最佳化斷筋點!F516="","",最佳化斷筋點!F516)</f>
        <v/>
      </c>
      <c r="AE516" s="6" t="str">
        <f>IF(最佳化斷筋點!G516="","",最佳化斷筋點!G516)</f>
        <v/>
      </c>
      <c r="AF516" s="6" t="str">
        <f>IF(最佳化斷筋點!H516="","",最佳化斷筋點!H516)</f>
        <v/>
      </c>
      <c r="AG516" s="6" t="str">
        <f>IF(最佳化斷筋點!I516="","",最佳化斷筋點!I516)</f>
        <v/>
      </c>
      <c r="AH516" s="6" t="str">
        <f>IF(最佳化斷筋點!J516="","",最佳化斷筋點!J516)</f>
        <v/>
      </c>
      <c r="AI516" s="6" t="str">
        <f>IF(最佳化斷筋點!K516="","",最佳化斷筋點!K516)</f>
        <v/>
      </c>
      <c r="AJ516" s="6" t="str">
        <f>IF(最佳化斷筋點!L516="","",最佳化斷筋點!L516)</f>
        <v/>
      </c>
      <c r="AK516" s="6" t="str">
        <f>IF(最佳化斷筋點!M516="","",最佳化斷筋點!M516)</f>
        <v/>
      </c>
      <c r="AL516" s="6" t="str">
        <f>IF(最佳化斷筋點!N516="","",最佳化斷筋點!N516)</f>
        <v/>
      </c>
      <c r="AM516" s="6" t="str">
        <f>IF(最佳化斷筋點!O516="","",最佳化斷筋點!O516)</f>
        <v/>
      </c>
      <c r="AN516" s="6" t="str">
        <f>IF(最佳化斷筋點!P516="","",最佳化斷筋點!P516)</f>
        <v/>
      </c>
      <c r="AO516" s="6" t="str">
        <f>IF(最佳化斷筋點!Q516="","",最佳化斷筋點!Q516)</f>
        <v/>
      </c>
      <c r="AP516" s="6" t="str">
        <f>IF(最佳化斷筋點!R516="","",最佳化斷筋點!R516)</f>
        <v/>
      </c>
      <c r="AQ516" s="6" t="str">
        <f>IF(最佳化斷筋點!S516="","",最佳化斷筋點!S516)</f>
        <v/>
      </c>
      <c r="AR516" s="6" t="str">
        <f>IF(最佳化斷筋點!T516="","",最佳化斷筋點!T516)</f>
        <v/>
      </c>
      <c r="AS516" s="6" t="str">
        <f>IF(最佳化斷筋點!U516="","",最佳化斷筋點!U516)</f>
        <v/>
      </c>
      <c r="AT516" s="6" t="str">
        <f>IF(最佳化斷筋點!V516="","",最佳化斷筋點!V516)</f>
        <v/>
      </c>
      <c r="AU516" s="6" t="str">
        <f>IF(最佳化斷筋點!W516="","",最佳化斷筋點!W516)</f>
        <v/>
      </c>
      <c r="AV516" s="6" t="str">
        <f>IF(最佳化斷筋點!X516="","",最佳化斷筋點!X516)</f>
        <v/>
      </c>
    </row>
    <row r="517" spans="4:71" x14ac:dyDescent="0.25">
      <c r="D517" s="6" t="s">
        <v>51</v>
      </c>
      <c r="E517" s="6">
        <f t="shared" si="169"/>
        <v>0</v>
      </c>
      <c r="F517" s="6">
        <f t="shared" si="170"/>
        <v>0</v>
      </c>
      <c r="G517" s="6">
        <f t="shared" si="171"/>
        <v>0</v>
      </c>
      <c r="H517" s="6">
        <f t="shared" si="172"/>
        <v>0</v>
      </c>
      <c r="I517" s="6">
        <f t="shared" si="173"/>
        <v>0</v>
      </c>
      <c r="J517" s="6">
        <f t="shared" si="174"/>
        <v>0</v>
      </c>
      <c r="K517" s="6">
        <f t="shared" si="175"/>
        <v>0</v>
      </c>
      <c r="L517" s="6">
        <f t="shared" si="176"/>
        <v>0</v>
      </c>
      <c r="M517" s="6">
        <f t="shared" si="177"/>
        <v>0</v>
      </c>
      <c r="N517" s="6">
        <f t="shared" si="178"/>
        <v>0</v>
      </c>
      <c r="O517" s="6">
        <f t="shared" si="179"/>
        <v>0</v>
      </c>
      <c r="P517" s="6">
        <f t="shared" si="180"/>
        <v>0</v>
      </c>
      <c r="Q517" s="6">
        <f t="shared" si="181"/>
        <v>0</v>
      </c>
      <c r="R517" s="6">
        <f t="shared" si="182"/>
        <v>0</v>
      </c>
      <c r="S517" s="6">
        <f t="shared" si="183"/>
        <v>0</v>
      </c>
      <c r="T517" s="6">
        <f t="shared" si="184"/>
        <v>0</v>
      </c>
      <c r="U517" s="6">
        <f t="shared" si="185"/>
        <v>0</v>
      </c>
      <c r="V517" s="6">
        <f t="shared" si="186"/>
        <v>0</v>
      </c>
      <c r="W517" s="6">
        <f t="shared" si="187"/>
        <v>0</v>
      </c>
      <c r="X517" s="6">
        <f t="shared" si="188"/>
        <v>0</v>
      </c>
      <c r="Y517" s="6">
        <f t="shared" si="189"/>
        <v>0</v>
      </c>
      <c r="AA517" s="6" t="str">
        <f>IF(最佳化斷筋點!C517="","",最佳化斷筋點!C517)</f>
        <v>下層</v>
      </c>
      <c r="AB517" s="6">
        <f>IF(最佳化斷筋點!D517="","",最佳化斷筋點!D517)</f>
        <v>5</v>
      </c>
      <c r="AC517" s="6">
        <f>IF(最佳化斷筋點!E517="","",最佳化斷筋點!E517)</f>
        <v>5</v>
      </c>
      <c r="AD517" s="6">
        <f>IF(最佳化斷筋點!F517="","",最佳化斷筋點!F517)</f>
        <v>4</v>
      </c>
      <c r="AE517" s="6">
        <f>IF(最佳化斷筋點!G517="","",最佳化斷筋點!G517)</f>
        <v>4</v>
      </c>
      <c r="AF517" s="6">
        <f>IF(最佳化斷筋點!H517="","",最佳化斷筋點!H517)</f>
        <v>4</v>
      </c>
      <c r="AG517" s="6">
        <f>IF(最佳化斷筋點!I517="","",最佳化斷筋點!I517)</f>
        <v>5</v>
      </c>
      <c r="AH517" s="6">
        <f>IF(最佳化斷筋點!J517="","",最佳化斷筋點!J517)</f>
        <v>6</v>
      </c>
      <c r="AI517" s="6">
        <f>IF(最佳化斷筋點!K517="","",最佳化斷筋點!K517)</f>
        <v>6</v>
      </c>
      <c r="AJ517" s="6">
        <f>IF(最佳化斷筋點!L517="","",最佳化斷筋點!L517)</f>
        <v>6</v>
      </c>
      <c r="AK517" s="6">
        <f>IF(最佳化斷筋點!M517="","",最佳化斷筋點!M517)</f>
        <v>6</v>
      </c>
      <c r="AL517" s="6">
        <f>IF(最佳化斷筋點!N517="","",最佳化斷筋點!N517)</f>
        <v>6</v>
      </c>
      <c r="AM517" s="6">
        <f>IF(最佳化斷筋點!O517="","",最佳化斷筋點!O517)</f>
        <v>6</v>
      </c>
      <c r="AN517" s="6">
        <f>IF(最佳化斷筋點!P517="","",最佳化斷筋點!P517)</f>
        <v>6</v>
      </c>
      <c r="AO517" s="6">
        <f>IF(最佳化斷筋點!Q517="","",最佳化斷筋點!Q517)</f>
        <v>6</v>
      </c>
      <c r="AP517" s="6">
        <f>IF(最佳化斷筋點!R517="","",最佳化斷筋點!R517)</f>
        <v>6</v>
      </c>
      <c r="AQ517" s="6">
        <f>IF(最佳化斷筋點!S517="","",最佳化斷筋點!S517)</f>
        <v>5</v>
      </c>
      <c r="AR517" s="6">
        <f>IF(最佳化斷筋點!T517="","",最佳化斷筋點!T517)</f>
        <v>4</v>
      </c>
      <c r="AS517" s="6">
        <f>IF(最佳化斷筋點!U517="","",最佳化斷筋點!U517)</f>
        <v>4</v>
      </c>
      <c r="AT517" s="6">
        <f>IF(最佳化斷筋點!V517="","",最佳化斷筋點!V517)</f>
        <v>4</v>
      </c>
      <c r="AU517" s="6">
        <f>IF(最佳化斷筋點!W517="","",最佳化斷筋點!W517)</f>
        <v>5</v>
      </c>
      <c r="AV517" s="6">
        <f>IF(最佳化斷筋點!X517="","",最佳化斷筋點!X517)</f>
        <v>5</v>
      </c>
      <c r="AX517" s="6" t="s">
        <v>51</v>
      </c>
      <c r="AY517" s="6">
        <v>5</v>
      </c>
      <c r="AZ517" s="6">
        <v>5</v>
      </c>
      <c r="BA517" s="6">
        <v>4</v>
      </c>
      <c r="BB517" s="6">
        <v>4</v>
      </c>
      <c r="BC517" s="6">
        <v>4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5</v>
      </c>
      <c r="BO517" s="6">
        <v>4</v>
      </c>
      <c r="BP517" s="6">
        <v>4</v>
      </c>
      <c r="BQ517" s="6">
        <v>4</v>
      </c>
      <c r="BR517" s="6">
        <v>5</v>
      </c>
      <c r="BS517" s="6">
        <v>5</v>
      </c>
    </row>
    <row r="518" spans="4:71" x14ac:dyDescent="0.25">
      <c r="E518" s="6">
        <f t="shared" si="169"/>
        <v>0</v>
      </c>
      <c r="F518" s="6">
        <f t="shared" si="170"/>
        <v>0</v>
      </c>
      <c r="G518" s="6">
        <f t="shared" si="171"/>
        <v>0</v>
      </c>
      <c r="H518" s="6">
        <f t="shared" si="172"/>
        <v>0</v>
      </c>
      <c r="I518" s="6">
        <f t="shared" si="173"/>
        <v>0</v>
      </c>
      <c r="J518" s="6">
        <f t="shared" si="174"/>
        <v>0</v>
      </c>
      <c r="K518" s="6">
        <f t="shared" si="175"/>
        <v>0</v>
      </c>
      <c r="L518" s="6">
        <f t="shared" si="176"/>
        <v>0</v>
      </c>
      <c r="M518" s="6">
        <f t="shared" si="177"/>
        <v>0</v>
      </c>
      <c r="N518" s="6">
        <f t="shared" si="178"/>
        <v>0</v>
      </c>
      <c r="O518" s="6">
        <f t="shared" si="179"/>
        <v>0</v>
      </c>
      <c r="P518" s="6">
        <f t="shared" si="180"/>
        <v>0</v>
      </c>
      <c r="Q518" s="6">
        <f t="shared" si="181"/>
        <v>0</v>
      </c>
      <c r="R518" s="6">
        <f t="shared" si="182"/>
        <v>0</v>
      </c>
      <c r="S518" s="6">
        <f t="shared" si="183"/>
        <v>0</v>
      </c>
      <c r="T518" s="6">
        <f t="shared" si="184"/>
        <v>0</v>
      </c>
      <c r="U518" s="6">
        <f t="shared" si="185"/>
        <v>0</v>
      </c>
      <c r="V518" s="6">
        <f t="shared" si="186"/>
        <v>0</v>
      </c>
      <c r="W518" s="6">
        <f t="shared" si="187"/>
        <v>0</v>
      </c>
      <c r="X518" s="6">
        <f t="shared" si="188"/>
        <v>0</v>
      </c>
      <c r="Y518" s="6">
        <f t="shared" si="189"/>
        <v>0</v>
      </c>
      <c r="AA518" s="6" t="str">
        <f>IF(最佳化斷筋點!C518="","",最佳化斷筋點!C518)</f>
        <v/>
      </c>
      <c r="AB518" s="6" t="str">
        <f>IF(最佳化斷筋點!D518="","",最佳化斷筋點!D518)</f>
        <v/>
      </c>
      <c r="AC518" s="6" t="str">
        <f>IF(最佳化斷筋點!E518="","",最佳化斷筋點!E518)</f>
        <v/>
      </c>
      <c r="AD518" s="6" t="str">
        <f>IF(最佳化斷筋點!F518="","",最佳化斷筋點!F518)</f>
        <v/>
      </c>
      <c r="AE518" s="6" t="str">
        <f>IF(最佳化斷筋點!G518="","",最佳化斷筋點!G518)</f>
        <v/>
      </c>
      <c r="AF518" s="6" t="str">
        <f>IF(最佳化斷筋點!H518="","",最佳化斷筋點!H518)</f>
        <v/>
      </c>
      <c r="AG518" s="6" t="str">
        <f>IF(最佳化斷筋點!I518="","",最佳化斷筋點!I518)</f>
        <v/>
      </c>
      <c r="AH518" s="6" t="str">
        <f>IF(最佳化斷筋點!J518="","",最佳化斷筋點!J518)</f>
        <v/>
      </c>
      <c r="AI518" s="6" t="str">
        <f>IF(最佳化斷筋點!K518="","",最佳化斷筋點!K518)</f>
        <v/>
      </c>
      <c r="AJ518" s="6" t="str">
        <f>IF(最佳化斷筋點!L518="","",最佳化斷筋點!L518)</f>
        <v/>
      </c>
      <c r="AK518" s="6" t="str">
        <f>IF(最佳化斷筋點!M518="","",最佳化斷筋點!M518)</f>
        <v/>
      </c>
      <c r="AL518" s="6" t="str">
        <f>IF(最佳化斷筋點!N518="","",最佳化斷筋點!N518)</f>
        <v/>
      </c>
      <c r="AM518" s="6" t="str">
        <f>IF(最佳化斷筋點!O518="","",最佳化斷筋點!O518)</f>
        <v/>
      </c>
      <c r="AN518" s="6" t="str">
        <f>IF(最佳化斷筋點!P518="","",最佳化斷筋點!P518)</f>
        <v/>
      </c>
      <c r="AO518" s="6" t="str">
        <f>IF(最佳化斷筋點!Q518="","",最佳化斷筋點!Q518)</f>
        <v/>
      </c>
      <c r="AP518" s="6" t="str">
        <f>IF(最佳化斷筋點!R518="","",最佳化斷筋點!R518)</f>
        <v/>
      </c>
      <c r="AQ518" s="6" t="str">
        <f>IF(最佳化斷筋點!S518="","",最佳化斷筋點!S518)</f>
        <v/>
      </c>
      <c r="AR518" s="6" t="str">
        <f>IF(最佳化斷筋點!T518="","",最佳化斷筋點!T518)</f>
        <v/>
      </c>
      <c r="AS518" s="6" t="str">
        <f>IF(最佳化斷筋點!U518="","",最佳化斷筋點!U518)</f>
        <v/>
      </c>
      <c r="AT518" s="6" t="str">
        <f>IF(最佳化斷筋點!V518="","",最佳化斷筋點!V518)</f>
        <v/>
      </c>
      <c r="AU518" s="6" t="str">
        <f>IF(最佳化斷筋點!W518="","",最佳化斷筋點!W518)</f>
        <v/>
      </c>
      <c r="AV518" s="6" t="str">
        <f>IF(最佳化斷筋點!X518="","",最佳化斷筋點!X518)</f>
        <v/>
      </c>
    </row>
    <row r="519" spans="4:71" x14ac:dyDescent="0.25">
      <c r="D519" s="6" t="s">
        <v>50</v>
      </c>
      <c r="E519" s="6">
        <f t="shared" si="169"/>
        <v>0</v>
      </c>
      <c r="F519" s="6">
        <f t="shared" si="170"/>
        <v>0</v>
      </c>
      <c r="G519" s="6">
        <f t="shared" si="171"/>
        <v>0</v>
      </c>
      <c r="H519" s="6">
        <f t="shared" si="172"/>
        <v>0</v>
      </c>
      <c r="I519" s="6">
        <f t="shared" si="173"/>
        <v>0</v>
      </c>
      <c r="J519" s="6">
        <f t="shared" si="174"/>
        <v>0</v>
      </c>
      <c r="K519" s="6">
        <f t="shared" si="175"/>
        <v>0</v>
      </c>
      <c r="L519" s="6">
        <f t="shared" si="176"/>
        <v>0</v>
      </c>
      <c r="M519" s="6">
        <f t="shared" si="177"/>
        <v>0</v>
      </c>
      <c r="N519" s="6">
        <f t="shared" si="178"/>
        <v>0</v>
      </c>
      <c r="O519" s="6">
        <f t="shared" si="179"/>
        <v>0</v>
      </c>
      <c r="P519" s="6">
        <f t="shared" si="180"/>
        <v>0</v>
      </c>
      <c r="Q519" s="6">
        <f t="shared" si="181"/>
        <v>0</v>
      </c>
      <c r="R519" s="6">
        <f t="shared" si="182"/>
        <v>0</v>
      </c>
      <c r="S519" s="6">
        <f t="shared" si="183"/>
        <v>0</v>
      </c>
      <c r="T519" s="6">
        <f t="shared" si="184"/>
        <v>0</v>
      </c>
      <c r="U519" s="6">
        <f t="shared" si="185"/>
        <v>0</v>
      </c>
      <c r="V519" s="6">
        <f t="shared" si="186"/>
        <v>0</v>
      </c>
      <c r="W519" s="6">
        <f t="shared" si="187"/>
        <v>0</v>
      </c>
      <c r="X519" s="6">
        <f t="shared" si="188"/>
        <v>0</v>
      </c>
      <c r="Y519" s="6">
        <f t="shared" si="189"/>
        <v>0</v>
      </c>
      <c r="AA519" s="6" t="str">
        <f>IF(最佳化斷筋點!C519="","",最佳化斷筋點!C519)</f>
        <v>上層</v>
      </c>
      <c r="AB519" s="6">
        <f>IF(最佳化斷筋點!D519="","",最佳化斷筋點!D519)</f>
        <v>2</v>
      </c>
      <c r="AC519" s="6">
        <f>IF(最佳化斷筋點!E519="","",最佳化斷筋點!E519)</f>
        <v>2</v>
      </c>
      <c r="AD519" s="6">
        <f>IF(最佳化斷筋點!F519="","",最佳化斷筋點!F519)</f>
        <v>2</v>
      </c>
      <c r="AE519" s="6">
        <f>IF(最佳化斷筋點!G519="","",最佳化斷筋點!G519)</f>
        <v>2</v>
      </c>
      <c r="AF519" s="6">
        <f>IF(最佳化斷筋點!H519="","",最佳化斷筋點!H519)</f>
        <v>2</v>
      </c>
      <c r="AG519" s="6">
        <f>IF(最佳化斷筋點!I519="","",最佳化斷筋點!I519)</f>
        <v>2</v>
      </c>
      <c r="AH519" s="6">
        <f>IF(最佳化斷筋點!J519="","",最佳化斷筋點!J519)</f>
        <v>2</v>
      </c>
      <c r="AI519" s="6">
        <f>IF(最佳化斷筋點!K519="","",最佳化斷筋點!K519)</f>
        <v>2</v>
      </c>
      <c r="AJ519" s="6">
        <f>IF(最佳化斷筋點!L519="","",最佳化斷筋點!L519)</f>
        <v>2</v>
      </c>
      <c r="AK519" s="6">
        <f>IF(最佳化斷筋點!M519="","",最佳化斷筋點!M519)</f>
        <v>2</v>
      </c>
      <c r="AL519" s="6">
        <f>IF(最佳化斷筋點!N519="","",最佳化斷筋點!N519)</f>
        <v>2</v>
      </c>
      <c r="AM519" s="6">
        <f>IF(最佳化斷筋點!O519="","",最佳化斷筋點!O519)</f>
        <v>2</v>
      </c>
      <c r="AN519" s="6">
        <f>IF(最佳化斷筋點!P519="","",最佳化斷筋點!P519)</f>
        <v>2</v>
      </c>
      <c r="AO519" s="6">
        <f>IF(最佳化斷筋點!Q519="","",最佳化斷筋點!Q519)</f>
        <v>2</v>
      </c>
      <c r="AP519" s="6">
        <f>IF(最佳化斷筋點!R519="","",最佳化斷筋點!R519)</f>
        <v>2</v>
      </c>
      <c r="AQ519" s="6">
        <f>IF(最佳化斷筋點!S519="","",最佳化斷筋點!S519)</f>
        <v>3</v>
      </c>
      <c r="AR519" s="6">
        <f>IF(最佳化斷筋點!T519="","",最佳化斷筋點!T519)</f>
        <v>3</v>
      </c>
      <c r="AS519" s="6">
        <f>IF(最佳化斷筋點!U519="","",最佳化斷筋點!U519)</f>
        <v>4</v>
      </c>
      <c r="AT519" s="6">
        <f>IF(最佳化斷筋點!V519="","",最佳化斷筋點!V519)</f>
        <v>4</v>
      </c>
      <c r="AU519" s="6">
        <f>IF(最佳化斷筋點!W519="","",最佳化斷筋點!W519)</f>
        <v>5</v>
      </c>
      <c r="AV519" s="6">
        <f>IF(最佳化斷筋點!X519="","",最佳化斷筋點!X519)</f>
        <v>5</v>
      </c>
      <c r="AX519" s="6" t="s">
        <v>50</v>
      </c>
      <c r="AY519" s="6">
        <v>2</v>
      </c>
      <c r="AZ519" s="6">
        <v>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</row>
    <row r="520" spans="4:71" x14ac:dyDescent="0.25">
      <c r="E520" s="6">
        <f t="shared" si="169"/>
        <v>0</v>
      </c>
      <c r="F520" s="6">
        <f t="shared" si="170"/>
        <v>0</v>
      </c>
      <c r="G520" s="6">
        <f t="shared" si="171"/>
        <v>0</v>
      </c>
      <c r="H520" s="6">
        <f t="shared" si="172"/>
        <v>0</v>
      </c>
      <c r="I520" s="6">
        <f t="shared" si="173"/>
        <v>0</v>
      </c>
      <c r="J520" s="6">
        <f t="shared" si="174"/>
        <v>0</v>
      </c>
      <c r="K520" s="6">
        <f t="shared" si="175"/>
        <v>0</v>
      </c>
      <c r="L520" s="6">
        <f t="shared" si="176"/>
        <v>0</v>
      </c>
      <c r="M520" s="6">
        <f t="shared" si="177"/>
        <v>0</v>
      </c>
      <c r="N520" s="6">
        <f t="shared" si="178"/>
        <v>0</v>
      </c>
      <c r="O520" s="6">
        <f t="shared" si="179"/>
        <v>0</v>
      </c>
      <c r="P520" s="6">
        <f t="shared" si="180"/>
        <v>0</v>
      </c>
      <c r="Q520" s="6">
        <f t="shared" si="181"/>
        <v>0</v>
      </c>
      <c r="R520" s="6">
        <f t="shared" si="182"/>
        <v>0</v>
      </c>
      <c r="S520" s="6">
        <f t="shared" si="183"/>
        <v>0</v>
      </c>
      <c r="T520" s="6">
        <f t="shared" si="184"/>
        <v>0</v>
      </c>
      <c r="U520" s="6">
        <f t="shared" si="185"/>
        <v>0</v>
      </c>
      <c r="V520" s="6">
        <f t="shared" si="186"/>
        <v>0</v>
      </c>
      <c r="W520" s="6">
        <f t="shared" si="187"/>
        <v>0</v>
      </c>
      <c r="X520" s="6">
        <f t="shared" si="188"/>
        <v>0</v>
      </c>
      <c r="Y520" s="6">
        <f t="shared" si="189"/>
        <v>0</v>
      </c>
      <c r="AA520" s="6" t="str">
        <f>IF(最佳化斷筋點!C520="","",最佳化斷筋點!C520)</f>
        <v/>
      </c>
      <c r="AB520" s="6" t="str">
        <f>IF(最佳化斷筋點!D520="","",最佳化斷筋點!D520)</f>
        <v/>
      </c>
      <c r="AC520" s="6" t="str">
        <f>IF(最佳化斷筋點!E520="","",最佳化斷筋點!E520)</f>
        <v/>
      </c>
      <c r="AD520" s="6" t="str">
        <f>IF(最佳化斷筋點!F520="","",最佳化斷筋點!F520)</f>
        <v/>
      </c>
      <c r="AE520" s="6" t="str">
        <f>IF(最佳化斷筋點!G520="","",最佳化斷筋點!G520)</f>
        <v/>
      </c>
      <c r="AF520" s="6" t="str">
        <f>IF(最佳化斷筋點!H520="","",最佳化斷筋點!H520)</f>
        <v/>
      </c>
      <c r="AG520" s="6" t="str">
        <f>IF(最佳化斷筋點!I520="","",最佳化斷筋點!I520)</f>
        <v/>
      </c>
      <c r="AH520" s="6" t="str">
        <f>IF(最佳化斷筋點!J520="","",最佳化斷筋點!J520)</f>
        <v/>
      </c>
      <c r="AI520" s="6" t="str">
        <f>IF(最佳化斷筋點!K520="","",最佳化斷筋點!K520)</f>
        <v/>
      </c>
      <c r="AJ520" s="6" t="str">
        <f>IF(最佳化斷筋點!L520="","",最佳化斷筋點!L520)</f>
        <v/>
      </c>
      <c r="AK520" s="6" t="str">
        <f>IF(最佳化斷筋點!M520="","",最佳化斷筋點!M520)</f>
        <v/>
      </c>
      <c r="AL520" s="6" t="str">
        <f>IF(最佳化斷筋點!N520="","",最佳化斷筋點!N520)</f>
        <v/>
      </c>
      <c r="AM520" s="6" t="str">
        <f>IF(最佳化斷筋點!O520="","",最佳化斷筋點!O520)</f>
        <v/>
      </c>
      <c r="AN520" s="6" t="str">
        <f>IF(最佳化斷筋點!P520="","",最佳化斷筋點!P520)</f>
        <v/>
      </c>
      <c r="AO520" s="6" t="str">
        <f>IF(最佳化斷筋點!Q520="","",最佳化斷筋點!Q520)</f>
        <v/>
      </c>
      <c r="AP520" s="6" t="str">
        <f>IF(最佳化斷筋點!R520="","",最佳化斷筋點!R520)</f>
        <v/>
      </c>
      <c r="AQ520" s="6" t="str">
        <f>IF(最佳化斷筋點!S520="","",最佳化斷筋點!S520)</f>
        <v/>
      </c>
      <c r="AR520" s="6" t="str">
        <f>IF(最佳化斷筋點!T520="","",最佳化斷筋點!T520)</f>
        <v/>
      </c>
      <c r="AS520" s="6" t="str">
        <f>IF(最佳化斷筋點!U520="","",最佳化斷筋點!U520)</f>
        <v/>
      </c>
      <c r="AT520" s="6" t="str">
        <f>IF(最佳化斷筋點!V520="","",最佳化斷筋點!V520)</f>
        <v/>
      </c>
      <c r="AU520" s="6" t="str">
        <f>IF(最佳化斷筋點!W520="","",最佳化斷筋點!W520)</f>
        <v/>
      </c>
      <c r="AV520" s="6" t="str">
        <f>IF(最佳化斷筋點!X520="","",最佳化斷筋點!X520)</f>
        <v/>
      </c>
    </row>
    <row r="521" spans="4:71" x14ac:dyDescent="0.25">
      <c r="D521" s="6" t="s">
        <v>51</v>
      </c>
      <c r="E521" s="6">
        <f t="shared" si="169"/>
        <v>0</v>
      </c>
      <c r="F521" s="6">
        <f t="shared" si="170"/>
        <v>0</v>
      </c>
      <c r="G521" s="6">
        <f t="shared" si="171"/>
        <v>0</v>
      </c>
      <c r="H521" s="6">
        <f t="shared" si="172"/>
        <v>0</v>
      </c>
      <c r="I521" s="6">
        <f t="shared" si="173"/>
        <v>0</v>
      </c>
      <c r="J521" s="6">
        <f t="shared" si="174"/>
        <v>0</v>
      </c>
      <c r="K521" s="6">
        <f t="shared" si="175"/>
        <v>0</v>
      </c>
      <c r="L521" s="6">
        <f t="shared" si="176"/>
        <v>0</v>
      </c>
      <c r="M521" s="6">
        <f t="shared" si="177"/>
        <v>0</v>
      </c>
      <c r="N521" s="6">
        <f t="shared" si="178"/>
        <v>0</v>
      </c>
      <c r="O521" s="6">
        <f t="shared" si="179"/>
        <v>0</v>
      </c>
      <c r="P521" s="6">
        <f t="shared" si="180"/>
        <v>0</v>
      </c>
      <c r="Q521" s="6">
        <f t="shared" si="181"/>
        <v>0</v>
      </c>
      <c r="R521" s="6">
        <f t="shared" si="182"/>
        <v>0</v>
      </c>
      <c r="S521" s="6">
        <f t="shared" si="183"/>
        <v>0</v>
      </c>
      <c r="T521" s="6">
        <f t="shared" si="184"/>
        <v>0</v>
      </c>
      <c r="U521" s="6">
        <f t="shared" si="185"/>
        <v>0</v>
      </c>
      <c r="V521" s="6">
        <f t="shared" si="186"/>
        <v>0</v>
      </c>
      <c r="W521" s="6">
        <f t="shared" si="187"/>
        <v>0</v>
      </c>
      <c r="X521" s="6">
        <f t="shared" si="188"/>
        <v>0</v>
      </c>
      <c r="Y521" s="6">
        <f t="shared" si="189"/>
        <v>0</v>
      </c>
      <c r="AA521" s="6" t="str">
        <f>IF(最佳化斷筋點!C521="","",最佳化斷筋點!C521)</f>
        <v>下層</v>
      </c>
      <c r="AB521" s="6">
        <f>IF(最佳化斷筋點!D521="","",最佳化斷筋點!D521)</f>
        <v>4</v>
      </c>
      <c r="AC521" s="6">
        <f>IF(最佳化斷筋點!E521="","",最佳化斷筋點!E521)</f>
        <v>4</v>
      </c>
      <c r="AD521" s="6">
        <f>IF(最佳化斷筋點!F521="","",最佳化斷筋點!F521)</f>
        <v>4</v>
      </c>
      <c r="AE521" s="6">
        <f>IF(最佳化斷筋點!G521="","",最佳化斷筋點!G521)</f>
        <v>3</v>
      </c>
      <c r="AF521" s="6">
        <f>IF(最佳化斷筋點!H521="","",最佳化斷筋點!H521)</f>
        <v>4</v>
      </c>
      <c r="AG521" s="6">
        <f>IF(最佳化斷筋點!I521="","",最佳化斷筋點!I521)</f>
        <v>4</v>
      </c>
      <c r="AH521" s="6">
        <f>IF(最佳化斷筋點!J521="","",最佳化斷筋點!J521)</f>
        <v>5</v>
      </c>
      <c r="AI521" s="6">
        <f>IF(最佳化斷筋點!K521="","",最佳化斷筋點!K521)</f>
        <v>5</v>
      </c>
      <c r="AJ521" s="6">
        <f>IF(最佳化斷筋點!L521="","",最佳化斷筋點!L521)</f>
        <v>5</v>
      </c>
      <c r="AK521" s="6">
        <f>IF(最佳化斷筋點!M521="","",最佳化斷筋點!M521)</f>
        <v>5</v>
      </c>
      <c r="AL521" s="6">
        <f>IF(最佳化斷筋點!N521="","",最佳化斷筋點!N521)</f>
        <v>5</v>
      </c>
      <c r="AM521" s="6">
        <f>IF(最佳化斷筋點!O521="","",最佳化斷筋點!O521)</f>
        <v>5</v>
      </c>
      <c r="AN521" s="6">
        <f>IF(最佳化斷筋點!P521="","",最佳化斷筋點!P521)</f>
        <v>5</v>
      </c>
      <c r="AO521" s="6">
        <f>IF(最佳化斷筋點!Q521="","",最佳化斷筋點!Q521)</f>
        <v>5</v>
      </c>
      <c r="AP521" s="6">
        <f>IF(最佳化斷筋點!R521="","",最佳化斷筋點!R521)</f>
        <v>5</v>
      </c>
      <c r="AQ521" s="6">
        <f>IF(最佳化斷筋點!S521="","",最佳化斷筋點!S521)</f>
        <v>4</v>
      </c>
      <c r="AR521" s="6">
        <f>IF(最佳化斷筋點!T521="","",最佳化斷筋點!T521)</f>
        <v>4</v>
      </c>
      <c r="AS521" s="6">
        <f>IF(最佳化斷筋點!U521="","",最佳化斷筋點!U521)</f>
        <v>3</v>
      </c>
      <c r="AT521" s="6">
        <f>IF(最佳化斷筋點!V521="","",最佳化斷筋點!V521)</f>
        <v>3</v>
      </c>
      <c r="AU521" s="6">
        <f>IF(最佳化斷筋點!W521="","",最佳化斷筋點!W521)</f>
        <v>3</v>
      </c>
      <c r="AV521" s="6">
        <f>IF(最佳化斷筋點!X521="","",最佳化斷筋點!X521)</f>
        <v>3</v>
      </c>
      <c r="AX521" s="6" t="s">
        <v>51</v>
      </c>
      <c r="AY521" s="6">
        <v>4</v>
      </c>
      <c r="AZ521" s="6">
        <v>4</v>
      </c>
      <c r="BA521" s="6">
        <v>4</v>
      </c>
      <c r="BB521" s="6">
        <v>3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4</v>
      </c>
      <c r="BO521" s="6">
        <v>4</v>
      </c>
      <c r="BP521" s="6">
        <v>3</v>
      </c>
      <c r="BQ521" s="6">
        <v>3</v>
      </c>
      <c r="BR521" s="6">
        <v>3</v>
      </c>
      <c r="BS521" s="6">
        <v>3</v>
      </c>
    </row>
    <row r="522" spans="4:71" x14ac:dyDescent="0.25">
      <c r="E522" s="6">
        <f t="shared" si="169"/>
        <v>0</v>
      </c>
      <c r="F522" s="6">
        <f t="shared" si="170"/>
        <v>0</v>
      </c>
      <c r="G522" s="6">
        <f t="shared" si="171"/>
        <v>0</v>
      </c>
      <c r="H522" s="6">
        <f t="shared" si="172"/>
        <v>0</v>
      </c>
      <c r="I522" s="6">
        <f t="shared" si="173"/>
        <v>0</v>
      </c>
      <c r="J522" s="6">
        <f t="shared" si="174"/>
        <v>0</v>
      </c>
      <c r="K522" s="6">
        <f t="shared" si="175"/>
        <v>0</v>
      </c>
      <c r="L522" s="6">
        <f t="shared" si="176"/>
        <v>0</v>
      </c>
      <c r="M522" s="6">
        <f t="shared" si="177"/>
        <v>0</v>
      </c>
      <c r="N522" s="6">
        <f t="shared" si="178"/>
        <v>0</v>
      </c>
      <c r="O522" s="6">
        <f t="shared" si="179"/>
        <v>0</v>
      </c>
      <c r="P522" s="6">
        <f t="shared" si="180"/>
        <v>0</v>
      </c>
      <c r="Q522" s="6">
        <f t="shared" si="181"/>
        <v>0</v>
      </c>
      <c r="R522" s="6">
        <f t="shared" si="182"/>
        <v>0</v>
      </c>
      <c r="S522" s="6">
        <f t="shared" si="183"/>
        <v>0</v>
      </c>
      <c r="T522" s="6">
        <f t="shared" si="184"/>
        <v>0</v>
      </c>
      <c r="U522" s="6">
        <f t="shared" si="185"/>
        <v>0</v>
      </c>
      <c r="V522" s="6">
        <f t="shared" si="186"/>
        <v>0</v>
      </c>
      <c r="W522" s="6">
        <f t="shared" si="187"/>
        <v>0</v>
      </c>
      <c r="X522" s="6">
        <f t="shared" si="188"/>
        <v>0</v>
      </c>
      <c r="Y522" s="6">
        <f t="shared" si="189"/>
        <v>0</v>
      </c>
      <c r="AA522" s="6" t="str">
        <f>IF(最佳化斷筋點!C522="","",最佳化斷筋點!C522)</f>
        <v/>
      </c>
      <c r="AB522" s="6" t="str">
        <f>IF(最佳化斷筋點!D522="","",最佳化斷筋點!D522)</f>
        <v/>
      </c>
      <c r="AC522" s="6" t="str">
        <f>IF(最佳化斷筋點!E522="","",最佳化斷筋點!E522)</f>
        <v/>
      </c>
      <c r="AD522" s="6" t="str">
        <f>IF(最佳化斷筋點!F522="","",最佳化斷筋點!F522)</f>
        <v/>
      </c>
      <c r="AE522" s="6" t="str">
        <f>IF(最佳化斷筋點!G522="","",最佳化斷筋點!G522)</f>
        <v/>
      </c>
      <c r="AF522" s="6" t="str">
        <f>IF(最佳化斷筋點!H522="","",最佳化斷筋點!H522)</f>
        <v/>
      </c>
      <c r="AG522" s="6" t="str">
        <f>IF(最佳化斷筋點!I522="","",最佳化斷筋點!I522)</f>
        <v/>
      </c>
      <c r="AH522" s="6" t="str">
        <f>IF(最佳化斷筋點!J522="","",最佳化斷筋點!J522)</f>
        <v/>
      </c>
      <c r="AI522" s="6" t="str">
        <f>IF(最佳化斷筋點!K522="","",最佳化斷筋點!K522)</f>
        <v/>
      </c>
      <c r="AJ522" s="6" t="str">
        <f>IF(最佳化斷筋點!L522="","",最佳化斷筋點!L522)</f>
        <v/>
      </c>
      <c r="AK522" s="6" t="str">
        <f>IF(最佳化斷筋點!M522="","",最佳化斷筋點!M522)</f>
        <v/>
      </c>
      <c r="AL522" s="6" t="str">
        <f>IF(最佳化斷筋點!N522="","",最佳化斷筋點!N522)</f>
        <v/>
      </c>
      <c r="AM522" s="6" t="str">
        <f>IF(最佳化斷筋點!O522="","",最佳化斷筋點!O522)</f>
        <v/>
      </c>
      <c r="AN522" s="6" t="str">
        <f>IF(最佳化斷筋點!P522="","",最佳化斷筋點!P522)</f>
        <v/>
      </c>
      <c r="AO522" s="6" t="str">
        <f>IF(最佳化斷筋點!Q522="","",最佳化斷筋點!Q522)</f>
        <v/>
      </c>
      <c r="AP522" s="6" t="str">
        <f>IF(最佳化斷筋點!R522="","",最佳化斷筋點!R522)</f>
        <v/>
      </c>
      <c r="AQ522" s="6" t="str">
        <f>IF(最佳化斷筋點!S522="","",最佳化斷筋點!S522)</f>
        <v/>
      </c>
      <c r="AR522" s="6" t="str">
        <f>IF(最佳化斷筋點!T522="","",最佳化斷筋點!T522)</f>
        <v/>
      </c>
      <c r="AS522" s="6" t="str">
        <f>IF(最佳化斷筋點!U522="","",最佳化斷筋點!U522)</f>
        <v/>
      </c>
      <c r="AT522" s="6" t="str">
        <f>IF(最佳化斷筋點!V522="","",最佳化斷筋點!V522)</f>
        <v/>
      </c>
      <c r="AU522" s="6" t="str">
        <f>IF(最佳化斷筋點!W522="","",最佳化斷筋點!W522)</f>
        <v/>
      </c>
      <c r="AV522" s="6" t="str">
        <f>IF(最佳化斷筋點!X522="","",最佳化斷筋點!X522)</f>
        <v/>
      </c>
    </row>
    <row r="523" spans="4:71" x14ac:dyDescent="0.25">
      <c r="D523" s="6" t="s">
        <v>50</v>
      </c>
      <c r="E523" s="6">
        <f t="shared" si="169"/>
        <v>0</v>
      </c>
      <c r="F523" s="6">
        <f t="shared" si="170"/>
        <v>0</v>
      </c>
      <c r="G523" s="6">
        <f t="shared" si="171"/>
        <v>0</v>
      </c>
      <c r="H523" s="6">
        <f t="shared" si="172"/>
        <v>0</v>
      </c>
      <c r="I523" s="6">
        <f t="shared" si="173"/>
        <v>0</v>
      </c>
      <c r="J523" s="6">
        <f t="shared" si="174"/>
        <v>0</v>
      </c>
      <c r="K523" s="6">
        <f t="shared" si="175"/>
        <v>0</v>
      </c>
      <c r="L523" s="6">
        <f t="shared" si="176"/>
        <v>0</v>
      </c>
      <c r="M523" s="6">
        <f t="shared" si="177"/>
        <v>0</v>
      </c>
      <c r="N523" s="6">
        <f t="shared" si="178"/>
        <v>0</v>
      </c>
      <c r="O523" s="6">
        <f t="shared" si="179"/>
        <v>0</v>
      </c>
      <c r="P523" s="6">
        <f t="shared" si="180"/>
        <v>0</v>
      </c>
      <c r="Q523" s="6">
        <f t="shared" si="181"/>
        <v>0</v>
      </c>
      <c r="R523" s="6">
        <f t="shared" si="182"/>
        <v>0</v>
      </c>
      <c r="S523" s="6">
        <f t="shared" si="183"/>
        <v>0</v>
      </c>
      <c r="T523" s="6">
        <f t="shared" si="184"/>
        <v>0</v>
      </c>
      <c r="U523" s="6">
        <f t="shared" si="185"/>
        <v>0</v>
      </c>
      <c r="V523" s="6">
        <f t="shared" si="186"/>
        <v>0</v>
      </c>
      <c r="W523" s="6">
        <f t="shared" si="187"/>
        <v>0</v>
      </c>
      <c r="X523" s="6">
        <f t="shared" si="188"/>
        <v>0</v>
      </c>
      <c r="Y523" s="6">
        <f t="shared" si="189"/>
        <v>0</v>
      </c>
      <c r="AA523" s="6" t="str">
        <f>IF(最佳化斷筋點!C523="","",最佳化斷筋點!C523)</f>
        <v>上層</v>
      </c>
      <c r="AB523" s="6">
        <f>IF(最佳化斷筋點!D523="","",最佳化斷筋點!D523)</f>
        <v>5</v>
      </c>
      <c r="AC523" s="6">
        <f>IF(最佳化斷筋點!E523="","",最佳化斷筋點!E523)</f>
        <v>5</v>
      </c>
      <c r="AD523" s="6">
        <f>IF(最佳化斷筋點!F523="","",最佳化斷筋點!F523)</f>
        <v>4</v>
      </c>
      <c r="AE523" s="6">
        <f>IF(最佳化斷筋點!G523="","",最佳化斷筋點!G523)</f>
        <v>4</v>
      </c>
      <c r="AF523" s="6">
        <f>IF(最佳化斷筋點!H523="","",最佳化斷筋點!H523)</f>
        <v>4</v>
      </c>
      <c r="AG523" s="6">
        <f>IF(最佳化斷筋點!I523="","",最佳化斷筋點!I523)</f>
        <v>3</v>
      </c>
      <c r="AH523" s="6">
        <f>IF(最佳化斷筋點!J523="","",最佳化斷筋點!J523)</f>
        <v>3</v>
      </c>
      <c r="AI523" s="6">
        <f>IF(最佳化斷筋點!K523="","",最佳化斷筋點!K523)</f>
        <v>2</v>
      </c>
      <c r="AJ523" s="6">
        <f>IF(最佳化斷筋點!L523="","",最佳化斷筋點!L523)</f>
        <v>2</v>
      </c>
      <c r="AK523" s="6">
        <f>IF(最佳化斷筋點!M523="","",最佳化斷筋點!M523)</f>
        <v>2</v>
      </c>
      <c r="AL523" s="6">
        <f>IF(最佳化斷筋點!N523="","",最佳化斷筋點!N523)</f>
        <v>2</v>
      </c>
      <c r="AM523" s="6">
        <f>IF(最佳化斷筋點!O523="","",最佳化斷筋點!O523)</f>
        <v>2</v>
      </c>
      <c r="AN523" s="6">
        <f>IF(最佳化斷筋點!P523="","",最佳化斷筋點!P523)</f>
        <v>2</v>
      </c>
      <c r="AO523" s="6">
        <f>IF(最佳化斷筋點!Q523="","",最佳化斷筋點!Q523)</f>
        <v>2</v>
      </c>
      <c r="AP523" s="6">
        <f>IF(最佳化斷筋點!R523="","",最佳化斷筋點!R523)</f>
        <v>2</v>
      </c>
      <c r="AQ523" s="6">
        <f>IF(最佳化斷筋點!S523="","",最佳化斷筋點!S523)</f>
        <v>3</v>
      </c>
      <c r="AR523" s="6">
        <f>IF(最佳化斷筋點!T523="","",最佳化斷筋點!T523)</f>
        <v>3</v>
      </c>
      <c r="AS523" s="6">
        <f>IF(最佳化斷筋點!U523="","",最佳化斷筋點!U523)</f>
        <v>4</v>
      </c>
      <c r="AT523" s="6">
        <f>IF(最佳化斷筋點!V523="","",最佳化斷筋點!V523)</f>
        <v>4</v>
      </c>
      <c r="AU523" s="6">
        <f>IF(最佳化斷筋點!W523="","",最佳化斷筋點!W523)</f>
        <v>5</v>
      </c>
      <c r="AV523" s="6">
        <f>IF(最佳化斷筋點!X523="","",最佳化斷筋點!X523)</f>
        <v>5</v>
      </c>
      <c r="AX523" s="6" t="s">
        <v>50</v>
      </c>
      <c r="AY523" s="6">
        <v>5</v>
      </c>
      <c r="AZ523" s="6">
        <v>5</v>
      </c>
      <c r="BA523" s="6">
        <v>4</v>
      </c>
      <c r="BB523" s="6">
        <v>4</v>
      </c>
      <c r="BC523" s="6">
        <v>4</v>
      </c>
      <c r="BD523" s="6">
        <v>3</v>
      </c>
      <c r="BE523" s="6">
        <v>3</v>
      </c>
      <c r="BF523" s="6">
        <v>2</v>
      </c>
      <c r="BG523" s="6">
        <v>2</v>
      </c>
      <c r="BH523" s="6">
        <v>2</v>
      </c>
      <c r="BI523" s="6">
        <v>2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</row>
    <row r="524" spans="4:71" x14ac:dyDescent="0.25">
      <c r="E524" s="6">
        <f t="shared" si="169"/>
        <v>0</v>
      </c>
      <c r="F524" s="6">
        <f t="shared" si="170"/>
        <v>0</v>
      </c>
      <c r="G524" s="6">
        <f t="shared" si="171"/>
        <v>0</v>
      </c>
      <c r="H524" s="6">
        <f t="shared" si="172"/>
        <v>0</v>
      </c>
      <c r="I524" s="6">
        <f t="shared" si="173"/>
        <v>0</v>
      </c>
      <c r="J524" s="6">
        <f t="shared" si="174"/>
        <v>0</v>
      </c>
      <c r="K524" s="6">
        <f t="shared" si="175"/>
        <v>0</v>
      </c>
      <c r="L524" s="6">
        <f t="shared" si="176"/>
        <v>0</v>
      </c>
      <c r="M524" s="6">
        <f t="shared" si="177"/>
        <v>0</v>
      </c>
      <c r="N524" s="6">
        <f t="shared" si="178"/>
        <v>0</v>
      </c>
      <c r="O524" s="6">
        <f t="shared" si="179"/>
        <v>0</v>
      </c>
      <c r="P524" s="6">
        <f t="shared" si="180"/>
        <v>0</v>
      </c>
      <c r="Q524" s="6">
        <f t="shared" si="181"/>
        <v>0</v>
      </c>
      <c r="R524" s="6">
        <f t="shared" si="182"/>
        <v>0</v>
      </c>
      <c r="S524" s="6">
        <f t="shared" si="183"/>
        <v>0</v>
      </c>
      <c r="T524" s="6">
        <f t="shared" si="184"/>
        <v>0</v>
      </c>
      <c r="U524" s="6">
        <f t="shared" si="185"/>
        <v>0</v>
      </c>
      <c r="V524" s="6">
        <f t="shared" si="186"/>
        <v>0</v>
      </c>
      <c r="W524" s="6">
        <f t="shared" si="187"/>
        <v>0</v>
      </c>
      <c r="X524" s="6">
        <f t="shared" si="188"/>
        <v>0</v>
      </c>
      <c r="Y524" s="6">
        <f t="shared" si="189"/>
        <v>0</v>
      </c>
      <c r="AA524" s="6" t="str">
        <f>IF(最佳化斷筋點!C524="","",最佳化斷筋點!C524)</f>
        <v/>
      </c>
      <c r="AB524" s="6" t="str">
        <f>IF(最佳化斷筋點!D524="","",最佳化斷筋點!D524)</f>
        <v/>
      </c>
      <c r="AC524" s="6" t="str">
        <f>IF(最佳化斷筋點!E524="","",最佳化斷筋點!E524)</f>
        <v/>
      </c>
      <c r="AD524" s="6" t="str">
        <f>IF(最佳化斷筋點!F524="","",最佳化斷筋點!F524)</f>
        <v/>
      </c>
      <c r="AE524" s="6" t="str">
        <f>IF(最佳化斷筋點!G524="","",最佳化斷筋點!G524)</f>
        <v/>
      </c>
      <c r="AF524" s="6" t="str">
        <f>IF(最佳化斷筋點!H524="","",最佳化斷筋點!H524)</f>
        <v/>
      </c>
      <c r="AG524" s="6" t="str">
        <f>IF(最佳化斷筋點!I524="","",最佳化斷筋點!I524)</f>
        <v/>
      </c>
      <c r="AH524" s="6" t="str">
        <f>IF(最佳化斷筋點!J524="","",最佳化斷筋點!J524)</f>
        <v/>
      </c>
      <c r="AI524" s="6" t="str">
        <f>IF(最佳化斷筋點!K524="","",最佳化斷筋點!K524)</f>
        <v/>
      </c>
      <c r="AJ524" s="6" t="str">
        <f>IF(最佳化斷筋點!L524="","",最佳化斷筋點!L524)</f>
        <v/>
      </c>
      <c r="AK524" s="6" t="str">
        <f>IF(最佳化斷筋點!M524="","",最佳化斷筋點!M524)</f>
        <v/>
      </c>
      <c r="AL524" s="6" t="str">
        <f>IF(最佳化斷筋點!N524="","",最佳化斷筋點!N524)</f>
        <v/>
      </c>
      <c r="AM524" s="6" t="str">
        <f>IF(最佳化斷筋點!O524="","",最佳化斷筋點!O524)</f>
        <v/>
      </c>
      <c r="AN524" s="6" t="str">
        <f>IF(最佳化斷筋點!P524="","",最佳化斷筋點!P524)</f>
        <v/>
      </c>
      <c r="AO524" s="6" t="str">
        <f>IF(最佳化斷筋點!Q524="","",最佳化斷筋點!Q524)</f>
        <v/>
      </c>
      <c r="AP524" s="6" t="str">
        <f>IF(最佳化斷筋點!R524="","",最佳化斷筋點!R524)</f>
        <v/>
      </c>
      <c r="AQ524" s="6" t="str">
        <f>IF(最佳化斷筋點!S524="","",最佳化斷筋點!S524)</f>
        <v/>
      </c>
      <c r="AR524" s="6" t="str">
        <f>IF(最佳化斷筋點!T524="","",最佳化斷筋點!T524)</f>
        <v/>
      </c>
      <c r="AS524" s="6" t="str">
        <f>IF(最佳化斷筋點!U524="","",最佳化斷筋點!U524)</f>
        <v/>
      </c>
      <c r="AT524" s="6" t="str">
        <f>IF(最佳化斷筋點!V524="","",最佳化斷筋點!V524)</f>
        <v/>
      </c>
      <c r="AU524" s="6" t="str">
        <f>IF(最佳化斷筋點!W524="","",最佳化斷筋點!W524)</f>
        <v/>
      </c>
      <c r="AV524" s="6" t="str">
        <f>IF(最佳化斷筋點!X524="","",最佳化斷筋點!X524)</f>
        <v/>
      </c>
    </row>
    <row r="525" spans="4:71" x14ac:dyDescent="0.25">
      <c r="D525" s="6" t="s">
        <v>51</v>
      </c>
      <c r="E525" s="6">
        <f t="shared" si="169"/>
        <v>0</v>
      </c>
      <c r="F525" s="6">
        <f t="shared" si="170"/>
        <v>0</v>
      </c>
      <c r="G525" s="6">
        <f t="shared" si="171"/>
        <v>0</v>
      </c>
      <c r="H525" s="6">
        <f t="shared" si="172"/>
        <v>0</v>
      </c>
      <c r="I525" s="6">
        <f t="shared" si="173"/>
        <v>0</v>
      </c>
      <c r="J525" s="6">
        <f t="shared" si="174"/>
        <v>0</v>
      </c>
      <c r="K525" s="6">
        <f t="shared" si="175"/>
        <v>0</v>
      </c>
      <c r="L525" s="6">
        <f t="shared" si="176"/>
        <v>0</v>
      </c>
      <c r="M525" s="6">
        <f t="shared" si="177"/>
        <v>0</v>
      </c>
      <c r="N525" s="6">
        <f t="shared" si="178"/>
        <v>0</v>
      </c>
      <c r="O525" s="6">
        <f t="shared" si="179"/>
        <v>0</v>
      </c>
      <c r="P525" s="6">
        <f t="shared" si="180"/>
        <v>0</v>
      </c>
      <c r="Q525" s="6">
        <f t="shared" si="181"/>
        <v>0</v>
      </c>
      <c r="R525" s="6">
        <f t="shared" si="182"/>
        <v>0</v>
      </c>
      <c r="S525" s="6">
        <f t="shared" si="183"/>
        <v>0</v>
      </c>
      <c r="T525" s="6">
        <f t="shared" si="184"/>
        <v>0</v>
      </c>
      <c r="U525" s="6">
        <f t="shared" si="185"/>
        <v>0</v>
      </c>
      <c r="V525" s="6">
        <f t="shared" si="186"/>
        <v>0</v>
      </c>
      <c r="W525" s="6">
        <f t="shared" si="187"/>
        <v>0</v>
      </c>
      <c r="X525" s="6">
        <f t="shared" si="188"/>
        <v>0</v>
      </c>
      <c r="Y525" s="6">
        <f t="shared" si="189"/>
        <v>0</v>
      </c>
      <c r="AA525" s="6" t="str">
        <f>IF(最佳化斷筋點!C525="","",最佳化斷筋點!C525)</f>
        <v>下層</v>
      </c>
      <c r="AB525" s="6">
        <f>IF(最佳化斷筋點!D525="","",最佳化斷筋點!D525)</f>
        <v>3</v>
      </c>
      <c r="AC525" s="6">
        <f>IF(最佳化斷筋點!E525="","",最佳化斷筋點!E525)</f>
        <v>3</v>
      </c>
      <c r="AD525" s="6">
        <f>IF(最佳化斷筋點!F525="","",最佳化斷筋點!F525)</f>
        <v>3</v>
      </c>
      <c r="AE525" s="6">
        <f>IF(最佳化斷筋點!G525="","",最佳化斷筋點!G525)</f>
        <v>3</v>
      </c>
      <c r="AF525" s="6">
        <f>IF(最佳化斷筋點!H525="","",最佳化斷筋點!H525)</f>
        <v>3</v>
      </c>
      <c r="AG525" s="6">
        <f>IF(最佳化斷筋點!I525="","",最佳化斷筋點!I525)</f>
        <v>3</v>
      </c>
      <c r="AH525" s="6">
        <f>IF(最佳化斷筋點!J525="","",最佳化斷筋點!J525)</f>
        <v>4</v>
      </c>
      <c r="AI525" s="6">
        <f>IF(最佳化斷筋點!K525="","",最佳化斷筋點!K525)</f>
        <v>4</v>
      </c>
      <c r="AJ525" s="6">
        <f>IF(最佳化斷筋點!L525="","",最佳化斷筋點!L525)</f>
        <v>4</v>
      </c>
      <c r="AK525" s="6">
        <f>IF(最佳化斷筋點!M525="","",最佳化斷筋點!M525)</f>
        <v>4</v>
      </c>
      <c r="AL525" s="6">
        <f>IF(最佳化斷筋點!N525="","",最佳化斷筋點!N525)</f>
        <v>4</v>
      </c>
      <c r="AM525" s="6">
        <f>IF(最佳化斷筋點!O525="","",最佳化斷筋點!O525)</f>
        <v>4</v>
      </c>
      <c r="AN525" s="6">
        <f>IF(最佳化斷筋點!P525="","",最佳化斷筋點!P525)</f>
        <v>4</v>
      </c>
      <c r="AO525" s="6">
        <f>IF(最佳化斷筋點!Q525="","",最佳化斷筋點!Q525)</f>
        <v>4</v>
      </c>
      <c r="AP525" s="6">
        <f>IF(最佳化斷筋點!R525="","",最佳化斷筋點!R525)</f>
        <v>4</v>
      </c>
      <c r="AQ525" s="6">
        <f>IF(最佳化斷筋點!S525="","",最佳化斷筋點!S525)</f>
        <v>3</v>
      </c>
      <c r="AR525" s="6">
        <f>IF(最佳化斷筋點!T525="","",最佳化斷筋點!T525)</f>
        <v>3</v>
      </c>
      <c r="AS525" s="6">
        <f>IF(最佳化斷筋點!U525="","",最佳化斷筋點!U525)</f>
        <v>3</v>
      </c>
      <c r="AT525" s="6">
        <f>IF(最佳化斷筋點!V525="","",最佳化斷筋點!V525)</f>
        <v>3</v>
      </c>
      <c r="AU525" s="6">
        <f>IF(最佳化斷筋點!W525="","",最佳化斷筋點!W525)</f>
        <v>3</v>
      </c>
      <c r="AV525" s="6">
        <f>IF(最佳化斷筋點!X525="","",最佳化斷筋點!X525)</f>
        <v>3</v>
      </c>
      <c r="AX525" s="6" t="s">
        <v>51</v>
      </c>
      <c r="AY525" s="6">
        <v>3</v>
      </c>
      <c r="AZ525" s="6">
        <v>3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3</v>
      </c>
      <c r="BO525" s="6">
        <v>3</v>
      </c>
      <c r="BP525" s="6">
        <v>3</v>
      </c>
      <c r="BQ525" s="6">
        <v>3</v>
      </c>
      <c r="BR525" s="6">
        <v>3</v>
      </c>
      <c r="BS525" s="6">
        <v>3</v>
      </c>
    </row>
    <row r="526" spans="4:71" x14ac:dyDescent="0.25">
      <c r="E526" s="6">
        <f t="shared" si="169"/>
        <v>0</v>
      </c>
      <c r="F526" s="6">
        <f t="shared" si="170"/>
        <v>0</v>
      </c>
      <c r="G526" s="6">
        <f t="shared" si="171"/>
        <v>0</v>
      </c>
      <c r="H526" s="6">
        <f t="shared" si="172"/>
        <v>0</v>
      </c>
      <c r="I526" s="6">
        <f t="shared" si="173"/>
        <v>0</v>
      </c>
      <c r="J526" s="6">
        <f t="shared" si="174"/>
        <v>0</v>
      </c>
      <c r="K526" s="6">
        <f t="shared" si="175"/>
        <v>0</v>
      </c>
      <c r="L526" s="6">
        <f t="shared" si="176"/>
        <v>0</v>
      </c>
      <c r="M526" s="6">
        <f t="shared" si="177"/>
        <v>0</v>
      </c>
      <c r="N526" s="6">
        <f t="shared" si="178"/>
        <v>0</v>
      </c>
      <c r="O526" s="6">
        <f t="shared" si="179"/>
        <v>0</v>
      </c>
      <c r="P526" s="6">
        <f t="shared" si="180"/>
        <v>0</v>
      </c>
      <c r="Q526" s="6">
        <f t="shared" si="181"/>
        <v>0</v>
      </c>
      <c r="R526" s="6">
        <f t="shared" si="182"/>
        <v>0</v>
      </c>
      <c r="S526" s="6">
        <f t="shared" si="183"/>
        <v>0</v>
      </c>
      <c r="T526" s="6">
        <f t="shared" si="184"/>
        <v>0</v>
      </c>
      <c r="U526" s="6">
        <f t="shared" si="185"/>
        <v>0</v>
      </c>
      <c r="V526" s="6">
        <f t="shared" si="186"/>
        <v>0</v>
      </c>
      <c r="W526" s="6">
        <f t="shared" si="187"/>
        <v>0</v>
      </c>
      <c r="X526" s="6">
        <f t="shared" si="188"/>
        <v>0</v>
      </c>
      <c r="Y526" s="6">
        <f t="shared" si="189"/>
        <v>0</v>
      </c>
      <c r="AA526" s="6" t="str">
        <f>IF(最佳化斷筋點!C526="","",最佳化斷筋點!C526)</f>
        <v/>
      </c>
      <c r="AB526" s="6" t="str">
        <f>IF(最佳化斷筋點!D526="","",最佳化斷筋點!D526)</f>
        <v/>
      </c>
      <c r="AC526" s="6" t="str">
        <f>IF(最佳化斷筋點!E526="","",最佳化斷筋點!E526)</f>
        <v/>
      </c>
      <c r="AD526" s="6" t="str">
        <f>IF(最佳化斷筋點!F526="","",最佳化斷筋點!F526)</f>
        <v/>
      </c>
      <c r="AE526" s="6" t="str">
        <f>IF(最佳化斷筋點!G526="","",最佳化斷筋點!G526)</f>
        <v/>
      </c>
      <c r="AF526" s="6" t="str">
        <f>IF(最佳化斷筋點!H526="","",最佳化斷筋點!H526)</f>
        <v/>
      </c>
      <c r="AG526" s="6" t="str">
        <f>IF(最佳化斷筋點!I526="","",最佳化斷筋點!I526)</f>
        <v/>
      </c>
      <c r="AH526" s="6" t="str">
        <f>IF(最佳化斷筋點!J526="","",最佳化斷筋點!J526)</f>
        <v/>
      </c>
      <c r="AI526" s="6" t="str">
        <f>IF(最佳化斷筋點!K526="","",最佳化斷筋點!K526)</f>
        <v/>
      </c>
      <c r="AJ526" s="6" t="str">
        <f>IF(最佳化斷筋點!L526="","",最佳化斷筋點!L526)</f>
        <v/>
      </c>
      <c r="AK526" s="6" t="str">
        <f>IF(最佳化斷筋點!M526="","",最佳化斷筋點!M526)</f>
        <v/>
      </c>
      <c r="AL526" s="6" t="str">
        <f>IF(最佳化斷筋點!N526="","",最佳化斷筋點!N526)</f>
        <v/>
      </c>
      <c r="AM526" s="6" t="str">
        <f>IF(最佳化斷筋點!O526="","",最佳化斷筋點!O526)</f>
        <v/>
      </c>
      <c r="AN526" s="6" t="str">
        <f>IF(最佳化斷筋點!P526="","",最佳化斷筋點!P526)</f>
        <v/>
      </c>
      <c r="AO526" s="6" t="str">
        <f>IF(最佳化斷筋點!Q526="","",最佳化斷筋點!Q526)</f>
        <v/>
      </c>
      <c r="AP526" s="6" t="str">
        <f>IF(最佳化斷筋點!R526="","",最佳化斷筋點!R526)</f>
        <v/>
      </c>
      <c r="AQ526" s="6" t="str">
        <f>IF(最佳化斷筋點!S526="","",最佳化斷筋點!S526)</f>
        <v/>
      </c>
      <c r="AR526" s="6" t="str">
        <f>IF(最佳化斷筋點!T526="","",最佳化斷筋點!T526)</f>
        <v/>
      </c>
      <c r="AS526" s="6" t="str">
        <f>IF(最佳化斷筋點!U526="","",最佳化斷筋點!U526)</f>
        <v/>
      </c>
      <c r="AT526" s="6" t="str">
        <f>IF(最佳化斷筋點!V526="","",最佳化斷筋點!V526)</f>
        <v/>
      </c>
      <c r="AU526" s="6" t="str">
        <f>IF(最佳化斷筋點!W526="","",最佳化斷筋點!W526)</f>
        <v/>
      </c>
      <c r="AV526" s="6" t="str">
        <f>IF(最佳化斷筋點!X526="","",最佳化斷筋點!X526)</f>
        <v/>
      </c>
    </row>
    <row r="527" spans="4:71" x14ac:dyDescent="0.25">
      <c r="D527" s="6" t="s">
        <v>50</v>
      </c>
      <c r="E527" s="6">
        <f t="shared" si="169"/>
        <v>0</v>
      </c>
      <c r="F527" s="6">
        <f t="shared" si="170"/>
        <v>0</v>
      </c>
      <c r="G527" s="6">
        <f t="shared" si="171"/>
        <v>0</v>
      </c>
      <c r="H527" s="6">
        <f t="shared" si="172"/>
        <v>0</v>
      </c>
      <c r="I527" s="6">
        <f t="shared" si="173"/>
        <v>0</v>
      </c>
      <c r="J527" s="6">
        <f t="shared" si="174"/>
        <v>0</v>
      </c>
      <c r="K527" s="6">
        <f t="shared" si="175"/>
        <v>0</v>
      </c>
      <c r="L527" s="6">
        <f t="shared" si="176"/>
        <v>0</v>
      </c>
      <c r="M527" s="6">
        <f t="shared" si="177"/>
        <v>0</v>
      </c>
      <c r="N527" s="6">
        <f t="shared" si="178"/>
        <v>0</v>
      </c>
      <c r="O527" s="6">
        <f t="shared" si="179"/>
        <v>0</v>
      </c>
      <c r="P527" s="6">
        <f t="shared" si="180"/>
        <v>0</v>
      </c>
      <c r="Q527" s="6">
        <f t="shared" si="181"/>
        <v>0</v>
      </c>
      <c r="R527" s="6">
        <f t="shared" si="182"/>
        <v>0</v>
      </c>
      <c r="S527" s="6">
        <f t="shared" si="183"/>
        <v>0</v>
      </c>
      <c r="T527" s="6">
        <f t="shared" si="184"/>
        <v>0</v>
      </c>
      <c r="U527" s="6">
        <f t="shared" si="185"/>
        <v>0</v>
      </c>
      <c r="V527" s="6">
        <f t="shared" si="186"/>
        <v>0</v>
      </c>
      <c r="W527" s="6">
        <f t="shared" si="187"/>
        <v>0</v>
      </c>
      <c r="X527" s="6">
        <f t="shared" si="188"/>
        <v>0</v>
      </c>
      <c r="Y527" s="6">
        <f t="shared" si="189"/>
        <v>0</v>
      </c>
      <c r="AA527" s="6" t="str">
        <f>IF(最佳化斷筋點!C527="","",最佳化斷筋點!C527)</f>
        <v>上層</v>
      </c>
      <c r="AB527" s="6">
        <f>IF(最佳化斷筋點!D527="","",最佳化斷筋點!D527)</f>
        <v>5</v>
      </c>
      <c r="AC527" s="6">
        <f>IF(最佳化斷筋點!E527="","",最佳化斷筋點!E527)</f>
        <v>5</v>
      </c>
      <c r="AD527" s="6">
        <f>IF(最佳化斷筋點!F527="","",最佳化斷筋點!F527)</f>
        <v>4</v>
      </c>
      <c r="AE527" s="6">
        <f>IF(最佳化斷筋點!G527="","",最佳化斷筋點!G527)</f>
        <v>4</v>
      </c>
      <c r="AF527" s="6">
        <f>IF(最佳化斷筋點!H527="","",最佳化斷筋點!H527)</f>
        <v>4</v>
      </c>
      <c r="AG527" s="6">
        <f>IF(最佳化斷筋點!I527="","",最佳化斷筋點!I527)</f>
        <v>3</v>
      </c>
      <c r="AH527" s="6">
        <f>IF(最佳化斷筋點!J527="","",最佳化斷筋點!J527)</f>
        <v>3</v>
      </c>
      <c r="AI527" s="6">
        <f>IF(最佳化斷筋點!K527="","",最佳化斷筋點!K527)</f>
        <v>2</v>
      </c>
      <c r="AJ527" s="6">
        <f>IF(最佳化斷筋點!L527="","",最佳化斷筋點!L527)</f>
        <v>2</v>
      </c>
      <c r="AK527" s="6">
        <f>IF(最佳化斷筋點!M527="","",最佳化斷筋點!M527)</f>
        <v>2</v>
      </c>
      <c r="AL527" s="6">
        <f>IF(最佳化斷筋點!N527="","",最佳化斷筋點!N527)</f>
        <v>2</v>
      </c>
      <c r="AM527" s="6">
        <f>IF(最佳化斷筋點!O527="","",最佳化斷筋點!O527)</f>
        <v>2</v>
      </c>
      <c r="AN527" s="6">
        <f>IF(最佳化斷筋點!P527="","",最佳化斷筋點!P527)</f>
        <v>2</v>
      </c>
      <c r="AO527" s="6">
        <f>IF(最佳化斷筋點!Q527="","",最佳化斷筋點!Q527)</f>
        <v>2</v>
      </c>
      <c r="AP527" s="6">
        <f>IF(最佳化斷筋點!R527="","",最佳化斷筋點!R527)</f>
        <v>2</v>
      </c>
      <c r="AQ527" s="6">
        <f>IF(最佳化斷筋點!S527="","",最佳化斷筋點!S527)</f>
        <v>3</v>
      </c>
      <c r="AR527" s="6">
        <f>IF(最佳化斷筋點!T527="","",最佳化斷筋點!T527)</f>
        <v>3</v>
      </c>
      <c r="AS527" s="6">
        <f>IF(最佳化斷筋點!U527="","",最佳化斷筋點!U527)</f>
        <v>4</v>
      </c>
      <c r="AT527" s="6">
        <f>IF(最佳化斷筋點!V527="","",最佳化斷筋點!V527)</f>
        <v>4</v>
      </c>
      <c r="AU527" s="6">
        <f>IF(最佳化斷筋點!W527="","",最佳化斷筋點!W527)</f>
        <v>5</v>
      </c>
      <c r="AV527" s="6">
        <f>IF(最佳化斷筋點!X527="","",最佳化斷筋點!X527)</f>
        <v>5</v>
      </c>
      <c r="AX527" s="6" t="s">
        <v>50</v>
      </c>
      <c r="AY527" s="6">
        <v>5</v>
      </c>
      <c r="AZ527" s="6">
        <v>5</v>
      </c>
      <c r="BA527" s="6">
        <v>4</v>
      </c>
      <c r="BB527" s="6">
        <v>4</v>
      </c>
      <c r="BC527" s="6">
        <v>4</v>
      </c>
      <c r="BD527" s="6">
        <v>3</v>
      </c>
      <c r="BE527" s="6">
        <v>3</v>
      </c>
      <c r="BF527" s="6">
        <v>2</v>
      </c>
      <c r="BG527" s="6">
        <v>2</v>
      </c>
      <c r="BH527" s="6">
        <v>2</v>
      </c>
      <c r="BI527" s="6">
        <v>2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</row>
    <row r="528" spans="4:71" x14ac:dyDescent="0.25">
      <c r="E528" s="6">
        <f t="shared" si="169"/>
        <v>0</v>
      </c>
      <c r="F528" s="6">
        <f t="shared" si="170"/>
        <v>0</v>
      </c>
      <c r="G528" s="6">
        <f t="shared" si="171"/>
        <v>0</v>
      </c>
      <c r="H528" s="6">
        <f t="shared" si="172"/>
        <v>0</v>
      </c>
      <c r="I528" s="6">
        <f t="shared" si="173"/>
        <v>0</v>
      </c>
      <c r="J528" s="6">
        <f t="shared" si="174"/>
        <v>0</v>
      </c>
      <c r="K528" s="6">
        <f t="shared" si="175"/>
        <v>0</v>
      </c>
      <c r="L528" s="6">
        <f t="shared" si="176"/>
        <v>0</v>
      </c>
      <c r="M528" s="6">
        <f t="shared" si="177"/>
        <v>0</v>
      </c>
      <c r="N528" s="6">
        <f t="shared" si="178"/>
        <v>0</v>
      </c>
      <c r="O528" s="6">
        <f t="shared" si="179"/>
        <v>0</v>
      </c>
      <c r="P528" s="6">
        <f t="shared" si="180"/>
        <v>0</v>
      </c>
      <c r="Q528" s="6">
        <f t="shared" si="181"/>
        <v>0</v>
      </c>
      <c r="R528" s="6">
        <f t="shared" si="182"/>
        <v>0</v>
      </c>
      <c r="S528" s="6">
        <f t="shared" si="183"/>
        <v>0</v>
      </c>
      <c r="T528" s="6">
        <f t="shared" si="184"/>
        <v>0</v>
      </c>
      <c r="U528" s="6">
        <f t="shared" si="185"/>
        <v>0</v>
      </c>
      <c r="V528" s="6">
        <f t="shared" si="186"/>
        <v>0</v>
      </c>
      <c r="W528" s="6">
        <f t="shared" si="187"/>
        <v>0</v>
      </c>
      <c r="X528" s="6">
        <f t="shared" si="188"/>
        <v>0</v>
      </c>
      <c r="Y528" s="6">
        <f t="shared" si="189"/>
        <v>0</v>
      </c>
      <c r="AA528" s="6" t="str">
        <f>IF(最佳化斷筋點!C528="","",最佳化斷筋點!C528)</f>
        <v/>
      </c>
      <c r="AB528" s="6" t="str">
        <f>IF(最佳化斷筋點!D528="","",最佳化斷筋點!D528)</f>
        <v/>
      </c>
      <c r="AC528" s="6" t="str">
        <f>IF(最佳化斷筋點!E528="","",最佳化斷筋點!E528)</f>
        <v/>
      </c>
      <c r="AD528" s="6" t="str">
        <f>IF(最佳化斷筋點!F528="","",最佳化斷筋點!F528)</f>
        <v/>
      </c>
      <c r="AE528" s="6" t="str">
        <f>IF(最佳化斷筋點!G528="","",最佳化斷筋點!G528)</f>
        <v/>
      </c>
      <c r="AF528" s="6" t="str">
        <f>IF(最佳化斷筋點!H528="","",最佳化斷筋點!H528)</f>
        <v/>
      </c>
      <c r="AG528" s="6" t="str">
        <f>IF(最佳化斷筋點!I528="","",最佳化斷筋點!I528)</f>
        <v/>
      </c>
      <c r="AH528" s="6" t="str">
        <f>IF(最佳化斷筋點!J528="","",最佳化斷筋點!J528)</f>
        <v/>
      </c>
      <c r="AI528" s="6" t="str">
        <f>IF(最佳化斷筋點!K528="","",最佳化斷筋點!K528)</f>
        <v/>
      </c>
      <c r="AJ528" s="6" t="str">
        <f>IF(最佳化斷筋點!L528="","",最佳化斷筋點!L528)</f>
        <v/>
      </c>
      <c r="AK528" s="6" t="str">
        <f>IF(最佳化斷筋點!M528="","",最佳化斷筋點!M528)</f>
        <v/>
      </c>
      <c r="AL528" s="6" t="str">
        <f>IF(最佳化斷筋點!N528="","",最佳化斷筋點!N528)</f>
        <v/>
      </c>
      <c r="AM528" s="6" t="str">
        <f>IF(最佳化斷筋點!O528="","",最佳化斷筋點!O528)</f>
        <v/>
      </c>
      <c r="AN528" s="6" t="str">
        <f>IF(最佳化斷筋點!P528="","",最佳化斷筋點!P528)</f>
        <v/>
      </c>
      <c r="AO528" s="6" t="str">
        <f>IF(最佳化斷筋點!Q528="","",最佳化斷筋點!Q528)</f>
        <v/>
      </c>
      <c r="AP528" s="6" t="str">
        <f>IF(最佳化斷筋點!R528="","",最佳化斷筋點!R528)</f>
        <v/>
      </c>
      <c r="AQ528" s="6" t="str">
        <f>IF(最佳化斷筋點!S528="","",最佳化斷筋點!S528)</f>
        <v/>
      </c>
      <c r="AR528" s="6" t="str">
        <f>IF(最佳化斷筋點!T528="","",最佳化斷筋點!T528)</f>
        <v/>
      </c>
      <c r="AS528" s="6" t="str">
        <f>IF(最佳化斷筋點!U528="","",最佳化斷筋點!U528)</f>
        <v/>
      </c>
      <c r="AT528" s="6" t="str">
        <f>IF(最佳化斷筋點!V528="","",最佳化斷筋點!V528)</f>
        <v/>
      </c>
      <c r="AU528" s="6" t="str">
        <f>IF(最佳化斷筋點!W528="","",最佳化斷筋點!W528)</f>
        <v/>
      </c>
      <c r="AV528" s="6" t="str">
        <f>IF(最佳化斷筋點!X528="","",最佳化斷筋點!X528)</f>
        <v/>
      </c>
    </row>
    <row r="529" spans="4:71" x14ac:dyDescent="0.25">
      <c r="D529" s="6" t="s">
        <v>51</v>
      </c>
      <c r="E529" s="6">
        <f t="shared" si="169"/>
        <v>0</v>
      </c>
      <c r="F529" s="6">
        <f t="shared" si="170"/>
        <v>0</v>
      </c>
      <c r="G529" s="6">
        <f t="shared" si="171"/>
        <v>0</v>
      </c>
      <c r="H529" s="6">
        <f t="shared" si="172"/>
        <v>0</v>
      </c>
      <c r="I529" s="6">
        <f t="shared" si="173"/>
        <v>0</v>
      </c>
      <c r="J529" s="6">
        <f t="shared" si="174"/>
        <v>0</v>
      </c>
      <c r="K529" s="6">
        <f t="shared" si="175"/>
        <v>0</v>
      </c>
      <c r="L529" s="6">
        <f t="shared" si="176"/>
        <v>0</v>
      </c>
      <c r="M529" s="6">
        <f t="shared" si="177"/>
        <v>0</v>
      </c>
      <c r="N529" s="6">
        <f t="shared" si="178"/>
        <v>0</v>
      </c>
      <c r="O529" s="6">
        <f t="shared" si="179"/>
        <v>0</v>
      </c>
      <c r="P529" s="6">
        <f t="shared" si="180"/>
        <v>0</v>
      </c>
      <c r="Q529" s="6">
        <f t="shared" si="181"/>
        <v>0</v>
      </c>
      <c r="R529" s="6">
        <f t="shared" si="182"/>
        <v>0</v>
      </c>
      <c r="S529" s="6">
        <f t="shared" si="183"/>
        <v>0</v>
      </c>
      <c r="T529" s="6">
        <f t="shared" si="184"/>
        <v>0</v>
      </c>
      <c r="U529" s="6">
        <f t="shared" si="185"/>
        <v>0</v>
      </c>
      <c r="V529" s="6">
        <f t="shared" si="186"/>
        <v>0</v>
      </c>
      <c r="W529" s="6">
        <f t="shared" si="187"/>
        <v>0</v>
      </c>
      <c r="X529" s="6">
        <f t="shared" si="188"/>
        <v>0</v>
      </c>
      <c r="Y529" s="6">
        <f t="shared" si="189"/>
        <v>0</v>
      </c>
      <c r="AA529" s="6" t="str">
        <f>IF(最佳化斷筋點!C529="","",最佳化斷筋點!C529)</f>
        <v>下層</v>
      </c>
      <c r="AB529" s="6">
        <f>IF(最佳化斷筋點!D529="","",最佳化斷筋點!D529)</f>
        <v>3</v>
      </c>
      <c r="AC529" s="6">
        <f>IF(最佳化斷筋點!E529="","",最佳化斷筋點!E529)</f>
        <v>3</v>
      </c>
      <c r="AD529" s="6">
        <f>IF(最佳化斷筋點!F529="","",最佳化斷筋點!F529)</f>
        <v>3</v>
      </c>
      <c r="AE529" s="6">
        <f>IF(最佳化斷筋點!G529="","",最佳化斷筋點!G529)</f>
        <v>3</v>
      </c>
      <c r="AF529" s="6">
        <f>IF(最佳化斷筋點!H529="","",最佳化斷筋點!H529)</f>
        <v>3</v>
      </c>
      <c r="AG529" s="6">
        <f>IF(最佳化斷筋點!I529="","",最佳化斷筋點!I529)</f>
        <v>3</v>
      </c>
      <c r="AH529" s="6">
        <f>IF(最佳化斷筋點!J529="","",最佳化斷筋點!J529)</f>
        <v>4</v>
      </c>
      <c r="AI529" s="6">
        <f>IF(最佳化斷筋點!K529="","",最佳化斷筋點!K529)</f>
        <v>4</v>
      </c>
      <c r="AJ529" s="6">
        <f>IF(最佳化斷筋點!L529="","",最佳化斷筋點!L529)</f>
        <v>4</v>
      </c>
      <c r="AK529" s="6">
        <f>IF(最佳化斷筋點!M529="","",最佳化斷筋點!M529)</f>
        <v>4</v>
      </c>
      <c r="AL529" s="6">
        <f>IF(最佳化斷筋點!N529="","",最佳化斷筋點!N529)</f>
        <v>4</v>
      </c>
      <c r="AM529" s="6">
        <f>IF(最佳化斷筋點!O529="","",最佳化斷筋點!O529)</f>
        <v>4</v>
      </c>
      <c r="AN529" s="6">
        <f>IF(最佳化斷筋點!P529="","",最佳化斷筋點!P529)</f>
        <v>4</v>
      </c>
      <c r="AO529" s="6">
        <f>IF(最佳化斷筋點!Q529="","",最佳化斷筋點!Q529)</f>
        <v>4</v>
      </c>
      <c r="AP529" s="6">
        <f>IF(最佳化斷筋點!R529="","",最佳化斷筋點!R529)</f>
        <v>4</v>
      </c>
      <c r="AQ529" s="6">
        <f>IF(最佳化斷筋點!S529="","",最佳化斷筋點!S529)</f>
        <v>3</v>
      </c>
      <c r="AR529" s="6">
        <f>IF(最佳化斷筋點!T529="","",最佳化斷筋點!T529)</f>
        <v>3</v>
      </c>
      <c r="AS529" s="6">
        <f>IF(最佳化斷筋點!U529="","",最佳化斷筋點!U529)</f>
        <v>3</v>
      </c>
      <c r="AT529" s="6">
        <f>IF(最佳化斷筋點!V529="","",最佳化斷筋點!V529)</f>
        <v>3</v>
      </c>
      <c r="AU529" s="6">
        <f>IF(最佳化斷筋點!W529="","",最佳化斷筋點!W529)</f>
        <v>3</v>
      </c>
      <c r="AV529" s="6">
        <f>IF(最佳化斷筋點!X529="","",最佳化斷筋點!X529)</f>
        <v>3</v>
      </c>
      <c r="AX529" s="6" t="s">
        <v>51</v>
      </c>
      <c r="AY529" s="6">
        <v>3</v>
      </c>
      <c r="AZ529" s="6">
        <v>3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3</v>
      </c>
      <c r="BO529" s="6">
        <v>3</v>
      </c>
      <c r="BP529" s="6">
        <v>3</v>
      </c>
      <c r="BQ529" s="6">
        <v>3</v>
      </c>
      <c r="BR529" s="6">
        <v>3</v>
      </c>
      <c r="BS529" s="6">
        <v>3</v>
      </c>
    </row>
    <row r="530" spans="4:71" x14ac:dyDescent="0.25">
      <c r="E530" s="6">
        <f t="shared" si="169"/>
        <v>0</v>
      </c>
      <c r="F530" s="6">
        <f t="shared" si="170"/>
        <v>0</v>
      </c>
      <c r="G530" s="6">
        <f t="shared" si="171"/>
        <v>0</v>
      </c>
      <c r="H530" s="6">
        <f t="shared" si="172"/>
        <v>0</v>
      </c>
      <c r="I530" s="6">
        <f t="shared" si="173"/>
        <v>0</v>
      </c>
      <c r="J530" s="6">
        <f t="shared" si="174"/>
        <v>0</v>
      </c>
      <c r="K530" s="6">
        <f t="shared" si="175"/>
        <v>0</v>
      </c>
      <c r="L530" s="6">
        <f t="shared" si="176"/>
        <v>0</v>
      </c>
      <c r="M530" s="6">
        <f t="shared" si="177"/>
        <v>0</v>
      </c>
      <c r="N530" s="6">
        <f t="shared" si="178"/>
        <v>0</v>
      </c>
      <c r="O530" s="6">
        <f t="shared" si="179"/>
        <v>0</v>
      </c>
      <c r="P530" s="6">
        <f t="shared" si="180"/>
        <v>0</v>
      </c>
      <c r="Q530" s="6">
        <f t="shared" si="181"/>
        <v>0</v>
      </c>
      <c r="R530" s="6">
        <f t="shared" si="182"/>
        <v>0</v>
      </c>
      <c r="S530" s="6">
        <f t="shared" si="183"/>
        <v>0</v>
      </c>
      <c r="T530" s="6">
        <f t="shared" si="184"/>
        <v>0</v>
      </c>
      <c r="U530" s="6">
        <f t="shared" si="185"/>
        <v>0</v>
      </c>
      <c r="V530" s="6">
        <f t="shared" si="186"/>
        <v>0</v>
      </c>
      <c r="W530" s="6">
        <f t="shared" si="187"/>
        <v>0</v>
      </c>
      <c r="X530" s="6">
        <f t="shared" si="188"/>
        <v>0</v>
      </c>
      <c r="Y530" s="6">
        <f t="shared" si="189"/>
        <v>0</v>
      </c>
      <c r="AA530" s="6" t="str">
        <f>IF(最佳化斷筋點!C530="","",最佳化斷筋點!C530)</f>
        <v/>
      </c>
      <c r="AB530" s="6" t="str">
        <f>IF(最佳化斷筋點!D530="","",最佳化斷筋點!D530)</f>
        <v/>
      </c>
      <c r="AC530" s="6" t="str">
        <f>IF(最佳化斷筋點!E530="","",最佳化斷筋點!E530)</f>
        <v/>
      </c>
      <c r="AD530" s="6" t="str">
        <f>IF(最佳化斷筋點!F530="","",最佳化斷筋點!F530)</f>
        <v/>
      </c>
      <c r="AE530" s="6" t="str">
        <f>IF(最佳化斷筋點!G530="","",最佳化斷筋點!G530)</f>
        <v/>
      </c>
      <c r="AF530" s="6" t="str">
        <f>IF(最佳化斷筋點!H530="","",最佳化斷筋點!H530)</f>
        <v/>
      </c>
      <c r="AG530" s="6" t="str">
        <f>IF(最佳化斷筋點!I530="","",最佳化斷筋點!I530)</f>
        <v/>
      </c>
      <c r="AH530" s="6" t="str">
        <f>IF(最佳化斷筋點!J530="","",最佳化斷筋點!J530)</f>
        <v/>
      </c>
      <c r="AI530" s="6" t="str">
        <f>IF(最佳化斷筋點!K530="","",最佳化斷筋點!K530)</f>
        <v/>
      </c>
      <c r="AJ530" s="6" t="str">
        <f>IF(最佳化斷筋點!L530="","",最佳化斷筋點!L530)</f>
        <v/>
      </c>
      <c r="AK530" s="6" t="str">
        <f>IF(最佳化斷筋點!M530="","",最佳化斷筋點!M530)</f>
        <v/>
      </c>
      <c r="AL530" s="6" t="str">
        <f>IF(最佳化斷筋點!N530="","",最佳化斷筋點!N530)</f>
        <v/>
      </c>
      <c r="AM530" s="6" t="str">
        <f>IF(最佳化斷筋點!O530="","",最佳化斷筋點!O530)</f>
        <v/>
      </c>
      <c r="AN530" s="6" t="str">
        <f>IF(最佳化斷筋點!P530="","",最佳化斷筋點!P530)</f>
        <v/>
      </c>
      <c r="AO530" s="6" t="str">
        <f>IF(最佳化斷筋點!Q530="","",最佳化斷筋點!Q530)</f>
        <v/>
      </c>
      <c r="AP530" s="6" t="str">
        <f>IF(最佳化斷筋點!R530="","",最佳化斷筋點!R530)</f>
        <v/>
      </c>
      <c r="AQ530" s="6" t="str">
        <f>IF(最佳化斷筋點!S530="","",最佳化斷筋點!S530)</f>
        <v/>
      </c>
      <c r="AR530" s="6" t="str">
        <f>IF(最佳化斷筋點!T530="","",最佳化斷筋點!T530)</f>
        <v/>
      </c>
      <c r="AS530" s="6" t="str">
        <f>IF(最佳化斷筋點!U530="","",最佳化斷筋點!U530)</f>
        <v/>
      </c>
      <c r="AT530" s="6" t="str">
        <f>IF(最佳化斷筋點!V530="","",最佳化斷筋點!V530)</f>
        <v/>
      </c>
      <c r="AU530" s="6" t="str">
        <f>IF(最佳化斷筋點!W530="","",最佳化斷筋點!W530)</f>
        <v/>
      </c>
      <c r="AV530" s="6" t="str">
        <f>IF(最佳化斷筋點!X530="","",最佳化斷筋點!X530)</f>
        <v/>
      </c>
    </row>
    <row r="531" spans="4:71" x14ac:dyDescent="0.25">
      <c r="D531" s="6" t="s">
        <v>50</v>
      </c>
      <c r="E531" s="6">
        <f t="shared" si="169"/>
        <v>0</v>
      </c>
      <c r="F531" s="6">
        <f t="shared" si="170"/>
        <v>0</v>
      </c>
      <c r="G531" s="6">
        <f t="shared" si="171"/>
        <v>0</v>
      </c>
      <c r="H531" s="6">
        <f t="shared" si="172"/>
        <v>0</v>
      </c>
      <c r="I531" s="6">
        <f t="shared" si="173"/>
        <v>0</v>
      </c>
      <c r="J531" s="6">
        <f t="shared" si="174"/>
        <v>0</v>
      </c>
      <c r="K531" s="6">
        <f t="shared" si="175"/>
        <v>0</v>
      </c>
      <c r="L531" s="6">
        <f t="shared" si="176"/>
        <v>0</v>
      </c>
      <c r="M531" s="6">
        <f t="shared" si="177"/>
        <v>0</v>
      </c>
      <c r="N531" s="6">
        <f t="shared" si="178"/>
        <v>0</v>
      </c>
      <c r="O531" s="6">
        <f t="shared" si="179"/>
        <v>0</v>
      </c>
      <c r="P531" s="6">
        <f t="shared" si="180"/>
        <v>0</v>
      </c>
      <c r="Q531" s="6">
        <f t="shared" si="181"/>
        <v>0</v>
      </c>
      <c r="R531" s="6">
        <f t="shared" si="182"/>
        <v>0</v>
      </c>
      <c r="S531" s="6">
        <f t="shared" si="183"/>
        <v>0</v>
      </c>
      <c r="T531" s="6">
        <f t="shared" si="184"/>
        <v>0</v>
      </c>
      <c r="U531" s="6">
        <f t="shared" si="185"/>
        <v>0</v>
      </c>
      <c r="V531" s="6">
        <f t="shared" si="186"/>
        <v>0</v>
      </c>
      <c r="W531" s="6">
        <f t="shared" si="187"/>
        <v>0</v>
      </c>
      <c r="X531" s="6">
        <f t="shared" si="188"/>
        <v>0</v>
      </c>
      <c r="Y531" s="6">
        <f t="shared" si="189"/>
        <v>0</v>
      </c>
      <c r="AA531" s="6" t="str">
        <f>IF(最佳化斷筋點!C531="","",最佳化斷筋點!C531)</f>
        <v>上層</v>
      </c>
      <c r="AB531" s="6">
        <f>IF(最佳化斷筋點!D531="","",最佳化斷筋點!D531)</f>
        <v>5</v>
      </c>
      <c r="AC531" s="6">
        <f>IF(最佳化斷筋點!E531="","",最佳化斷筋點!E531)</f>
        <v>5</v>
      </c>
      <c r="AD531" s="6">
        <f>IF(最佳化斷筋點!F531="","",最佳化斷筋點!F531)</f>
        <v>4</v>
      </c>
      <c r="AE531" s="6">
        <f>IF(最佳化斷筋點!G531="","",最佳化斷筋點!G531)</f>
        <v>4</v>
      </c>
      <c r="AF531" s="6">
        <f>IF(最佳化斷筋點!H531="","",最佳化斷筋點!H531)</f>
        <v>4</v>
      </c>
      <c r="AG531" s="6">
        <f>IF(最佳化斷筋點!I531="","",最佳化斷筋點!I531)</f>
        <v>3</v>
      </c>
      <c r="AH531" s="6">
        <f>IF(最佳化斷筋點!J531="","",最佳化斷筋點!J531)</f>
        <v>3</v>
      </c>
      <c r="AI531" s="6">
        <f>IF(最佳化斷筋點!K531="","",最佳化斷筋點!K531)</f>
        <v>2</v>
      </c>
      <c r="AJ531" s="6">
        <f>IF(最佳化斷筋點!L531="","",最佳化斷筋點!L531)</f>
        <v>2</v>
      </c>
      <c r="AK531" s="6">
        <f>IF(最佳化斷筋點!M531="","",最佳化斷筋點!M531)</f>
        <v>2</v>
      </c>
      <c r="AL531" s="6">
        <f>IF(最佳化斷筋點!N531="","",最佳化斷筋點!N531)</f>
        <v>2</v>
      </c>
      <c r="AM531" s="6">
        <f>IF(最佳化斷筋點!O531="","",最佳化斷筋點!O531)</f>
        <v>2</v>
      </c>
      <c r="AN531" s="6">
        <f>IF(最佳化斷筋點!P531="","",最佳化斷筋點!P531)</f>
        <v>2</v>
      </c>
      <c r="AO531" s="6">
        <f>IF(最佳化斷筋點!Q531="","",最佳化斷筋點!Q531)</f>
        <v>2</v>
      </c>
      <c r="AP531" s="6">
        <f>IF(最佳化斷筋點!R531="","",最佳化斷筋點!R531)</f>
        <v>2</v>
      </c>
      <c r="AQ531" s="6">
        <f>IF(最佳化斷筋點!S531="","",最佳化斷筋點!S531)</f>
        <v>3</v>
      </c>
      <c r="AR531" s="6">
        <f>IF(最佳化斷筋點!T531="","",最佳化斷筋點!T531)</f>
        <v>3</v>
      </c>
      <c r="AS531" s="6">
        <f>IF(最佳化斷筋點!U531="","",最佳化斷筋點!U531)</f>
        <v>4</v>
      </c>
      <c r="AT531" s="6">
        <f>IF(最佳化斷筋點!V531="","",最佳化斷筋點!V531)</f>
        <v>4</v>
      </c>
      <c r="AU531" s="6">
        <f>IF(最佳化斷筋點!W531="","",最佳化斷筋點!W531)</f>
        <v>5</v>
      </c>
      <c r="AV531" s="6">
        <f>IF(最佳化斷筋點!X531="","",最佳化斷筋點!X531)</f>
        <v>5</v>
      </c>
      <c r="AX531" s="6" t="s">
        <v>50</v>
      </c>
      <c r="AY531" s="6">
        <v>5</v>
      </c>
      <c r="AZ531" s="6">
        <v>5</v>
      </c>
      <c r="BA531" s="6">
        <v>4</v>
      </c>
      <c r="BB531" s="6">
        <v>4</v>
      </c>
      <c r="BC531" s="6">
        <v>4</v>
      </c>
      <c r="BD531" s="6">
        <v>3</v>
      </c>
      <c r="BE531" s="6">
        <v>3</v>
      </c>
      <c r="BF531" s="6">
        <v>2</v>
      </c>
      <c r="BG531" s="6">
        <v>2</v>
      </c>
      <c r="BH531" s="6">
        <v>2</v>
      </c>
      <c r="BI531" s="6">
        <v>2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</row>
    <row r="532" spans="4:71" x14ac:dyDescent="0.25">
      <c r="E532" s="6">
        <f t="shared" si="169"/>
        <v>0</v>
      </c>
      <c r="F532" s="6">
        <f t="shared" si="170"/>
        <v>0</v>
      </c>
      <c r="G532" s="6">
        <f t="shared" si="171"/>
        <v>0</v>
      </c>
      <c r="H532" s="6">
        <f t="shared" si="172"/>
        <v>0</v>
      </c>
      <c r="I532" s="6">
        <f t="shared" si="173"/>
        <v>0</v>
      </c>
      <c r="J532" s="6">
        <f t="shared" si="174"/>
        <v>0</v>
      </c>
      <c r="K532" s="6">
        <f t="shared" si="175"/>
        <v>0</v>
      </c>
      <c r="L532" s="6">
        <f t="shared" si="176"/>
        <v>0</v>
      </c>
      <c r="M532" s="6">
        <f t="shared" si="177"/>
        <v>0</v>
      </c>
      <c r="N532" s="6">
        <f t="shared" si="178"/>
        <v>0</v>
      </c>
      <c r="O532" s="6">
        <f t="shared" si="179"/>
        <v>0</v>
      </c>
      <c r="P532" s="6">
        <f t="shared" si="180"/>
        <v>0</v>
      </c>
      <c r="Q532" s="6">
        <f t="shared" si="181"/>
        <v>0</v>
      </c>
      <c r="R532" s="6">
        <f t="shared" si="182"/>
        <v>0</v>
      </c>
      <c r="S532" s="6">
        <f t="shared" si="183"/>
        <v>0</v>
      </c>
      <c r="T532" s="6">
        <f t="shared" si="184"/>
        <v>0</v>
      </c>
      <c r="U532" s="6">
        <f t="shared" si="185"/>
        <v>0</v>
      </c>
      <c r="V532" s="6">
        <f t="shared" si="186"/>
        <v>0</v>
      </c>
      <c r="W532" s="6">
        <f t="shared" si="187"/>
        <v>0</v>
      </c>
      <c r="X532" s="6">
        <f t="shared" si="188"/>
        <v>0</v>
      </c>
      <c r="Y532" s="6">
        <f t="shared" si="189"/>
        <v>0</v>
      </c>
      <c r="AA532" s="6" t="str">
        <f>IF(最佳化斷筋點!C532="","",最佳化斷筋點!C532)</f>
        <v/>
      </c>
      <c r="AB532" s="6" t="str">
        <f>IF(最佳化斷筋點!D532="","",最佳化斷筋點!D532)</f>
        <v/>
      </c>
      <c r="AC532" s="6" t="str">
        <f>IF(最佳化斷筋點!E532="","",最佳化斷筋點!E532)</f>
        <v/>
      </c>
      <c r="AD532" s="6" t="str">
        <f>IF(最佳化斷筋點!F532="","",最佳化斷筋點!F532)</f>
        <v/>
      </c>
      <c r="AE532" s="6" t="str">
        <f>IF(最佳化斷筋點!G532="","",最佳化斷筋點!G532)</f>
        <v/>
      </c>
      <c r="AF532" s="6" t="str">
        <f>IF(最佳化斷筋點!H532="","",最佳化斷筋點!H532)</f>
        <v/>
      </c>
      <c r="AG532" s="6" t="str">
        <f>IF(最佳化斷筋點!I532="","",最佳化斷筋點!I532)</f>
        <v/>
      </c>
      <c r="AH532" s="6" t="str">
        <f>IF(最佳化斷筋點!J532="","",最佳化斷筋點!J532)</f>
        <v/>
      </c>
      <c r="AI532" s="6" t="str">
        <f>IF(最佳化斷筋點!K532="","",最佳化斷筋點!K532)</f>
        <v/>
      </c>
      <c r="AJ532" s="6" t="str">
        <f>IF(最佳化斷筋點!L532="","",最佳化斷筋點!L532)</f>
        <v/>
      </c>
      <c r="AK532" s="6" t="str">
        <f>IF(最佳化斷筋點!M532="","",最佳化斷筋點!M532)</f>
        <v/>
      </c>
      <c r="AL532" s="6" t="str">
        <f>IF(最佳化斷筋點!N532="","",最佳化斷筋點!N532)</f>
        <v/>
      </c>
      <c r="AM532" s="6" t="str">
        <f>IF(最佳化斷筋點!O532="","",最佳化斷筋點!O532)</f>
        <v/>
      </c>
      <c r="AN532" s="6" t="str">
        <f>IF(最佳化斷筋點!P532="","",最佳化斷筋點!P532)</f>
        <v/>
      </c>
      <c r="AO532" s="6" t="str">
        <f>IF(最佳化斷筋點!Q532="","",最佳化斷筋點!Q532)</f>
        <v/>
      </c>
      <c r="AP532" s="6" t="str">
        <f>IF(最佳化斷筋點!R532="","",最佳化斷筋點!R532)</f>
        <v/>
      </c>
      <c r="AQ532" s="6" t="str">
        <f>IF(最佳化斷筋點!S532="","",最佳化斷筋點!S532)</f>
        <v/>
      </c>
      <c r="AR532" s="6" t="str">
        <f>IF(最佳化斷筋點!T532="","",最佳化斷筋點!T532)</f>
        <v/>
      </c>
      <c r="AS532" s="6" t="str">
        <f>IF(最佳化斷筋點!U532="","",最佳化斷筋點!U532)</f>
        <v/>
      </c>
      <c r="AT532" s="6" t="str">
        <f>IF(最佳化斷筋點!V532="","",最佳化斷筋點!V532)</f>
        <v/>
      </c>
      <c r="AU532" s="6" t="str">
        <f>IF(最佳化斷筋點!W532="","",最佳化斷筋點!W532)</f>
        <v/>
      </c>
      <c r="AV532" s="6" t="str">
        <f>IF(最佳化斷筋點!X532="","",最佳化斷筋點!X532)</f>
        <v/>
      </c>
    </row>
    <row r="533" spans="4:71" x14ac:dyDescent="0.25">
      <c r="D533" s="6" t="s">
        <v>51</v>
      </c>
      <c r="E533" s="6">
        <f t="shared" si="169"/>
        <v>0</v>
      </c>
      <c r="F533" s="6">
        <f t="shared" si="170"/>
        <v>0</v>
      </c>
      <c r="G533" s="6">
        <f t="shared" si="171"/>
        <v>0</v>
      </c>
      <c r="H533" s="6">
        <f t="shared" si="172"/>
        <v>0</v>
      </c>
      <c r="I533" s="6">
        <f t="shared" si="173"/>
        <v>0</v>
      </c>
      <c r="J533" s="6">
        <f t="shared" si="174"/>
        <v>0</v>
      </c>
      <c r="K533" s="6">
        <f t="shared" si="175"/>
        <v>0</v>
      </c>
      <c r="L533" s="6">
        <f t="shared" si="176"/>
        <v>0</v>
      </c>
      <c r="M533" s="6">
        <f t="shared" si="177"/>
        <v>0</v>
      </c>
      <c r="N533" s="6">
        <f t="shared" si="178"/>
        <v>0</v>
      </c>
      <c r="O533" s="6">
        <f t="shared" si="179"/>
        <v>0</v>
      </c>
      <c r="P533" s="6">
        <f t="shared" si="180"/>
        <v>0</v>
      </c>
      <c r="Q533" s="6">
        <f t="shared" si="181"/>
        <v>0</v>
      </c>
      <c r="R533" s="6">
        <f t="shared" si="182"/>
        <v>0</v>
      </c>
      <c r="S533" s="6">
        <f t="shared" si="183"/>
        <v>0</v>
      </c>
      <c r="T533" s="6">
        <f t="shared" si="184"/>
        <v>0</v>
      </c>
      <c r="U533" s="6">
        <f t="shared" si="185"/>
        <v>0</v>
      </c>
      <c r="V533" s="6">
        <f t="shared" si="186"/>
        <v>0</v>
      </c>
      <c r="W533" s="6">
        <f t="shared" si="187"/>
        <v>0</v>
      </c>
      <c r="X533" s="6">
        <f t="shared" si="188"/>
        <v>0</v>
      </c>
      <c r="Y533" s="6">
        <f t="shared" si="189"/>
        <v>0</v>
      </c>
      <c r="AA533" s="6" t="str">
        <f>IF(最佳化斷筋點!C533="","",最佳化斷筋點!C533)</f>
        <v>下層</v>
      </c>
      <c r="AB533" s="6">
        <f>IF(最佳化斷筋點!D533="","",最佳化斷筋點!D533)</f>
        <v>3</v>
      </c>
      <c r="AC533" s="6">
        <f>IF(最佳化斷筋點!E533="","",最佳化斷筋點!E533)</f>
        <v>3</v>
      </c>
      <c r="AD533" s="6">
        <f>IF(最佳化斷筋點!F533="","",最佳化斷筋點!F533)</f>
        <v>3</v>
      </c>
      <c r="AE533" s="6">
        <f>IF(最佳化斷筋點!G533="","",最佳化斷筋點!G533)</f>
        <v>3</v>
      </c>
      <c r="AF533" s="6">
        <f>IF(最佳化斷筋點!H533="","",最佳化斷筋點!H533)</f>
        <v>3</v>
      </c>
      <c r="AG533" s="6">
        <f>IF(最佳化斷筋點!I533="","",最佳化斷筋點!I533)</f>
        <v>3</v>
      </c>
      <c r="AH533" s="6">
        <f>IF(最佳化斷筋點!J533="","",最佳化斷筋點!J533)</f>
        <v>4</v>
      </c>
      <c r="AI533" s="6">
        <f>IF(最佳化斷筋點!K533="","",最佳化斷筋點!K533)</f>
        <v>4</v>
      </c>
      <c r="AJ533" s="6">
        <f>IF(最佳化斷筋點!L533="","",最佳化斷筋點!L533)</f>
        <v>4</v>
      </c>
      <c r="AK533" s="6">
        <f>IF(最佳化斷筋點!M533="","",最佳化斷筋點!M533)</f>
        <v>4</v>
      </c>
      <c r="AL533" s="6">
        <f>IF(最佳化斷筋點!N533="","",最佳化斷筋點!N533)</f>
        <v>4</v>
      </c>
      <c r="AM533" s="6">
        <f>IF(最佳化斷筋點!O533="","",最佳化斷筋點!O533)</f>
        <v>4</v>
      </c>
      <c r="AN533" s="6">
        <f>IF(最佳化斷筋點!P533="","",最佳化斷筋點!P533)</f>
        <v>4</v>
      </c>
      <c r="AO533" s="6">
        <f>IF(最佳化斷筋點!Q533="","",最佳化斷筋點!Q533)</f>
        <v>4</v>
      </c>
      <c r="AP533" s="6">
        <f>IF(最佳化斷筋點!R533="","",最佳化斷筋點!R533)</f>
        <v>4</v>
      </c>
      <c r="AQ533" s="6">
        <f>IF(最佳化斷筋點!S533="","",最佳化斷筋點!S533)</f>
        <v>3</v>
      </c>
      <c r="AR533" s="6">
        <f>IF(最佳化斷筋點!T533="","",最佳化斷筋點!T533)</f>
        <v>3</v>
      </c>
      <c r="AS533" s="6">
        <f>IF(最佳化斷筋點!U533="","",最佳化斷筋點!U533)</f>
        <v>3</v>
      </c>
      <c r="AT533" s="6">
        <f>IF(最佳化斷筋點!V533="","",最佳化斷筋點!V533)</f>
        <v>3</v>
      </c>
      <c r="AU533" s="6">
        <f>IF(最佳化斷筋點!W533="","",最佳化斷筋點!W533)</f>
        <v>3</v>
      </c>
      <c r="AV533" s="6">
        <f>IF(最佳化斷筋點!X533="","",最佳化斷筋點!X533)</f>
        <v>3</v>
      </c>
      <c r="AX533" s="6" t="s">
        <v>51</v>
      </c>
      <c r="AY533" s="6">
        <v>3</v>
      </c>
      <c r="AZ533" s="6">
        <v>3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3</v>
      </c>
      <c r="BO533" s="6">
        <v>3</v>
      </c>
      <c r="BP533" s="6">
        <v>3</v>
      </c>
      <c r="BQ533" s="6">
        <v>3</v>
      </c>
      <c r="BR533" s="6">
        <v>3</v>
      </c>
      <c r="BS533" s="6">
        <v>3</v>
      </c>
    </row>
    <row r="534" spans="4:71" x14ac:dyDescent="0.25">
      <c r="E534" s="6">
        <f t="shared" si="169"/>
        <v>0</v>
      </c>
      <c r="F534" s="6">
        <f t="shared" si="170"/>
        <v>0</v>
      </c>
      <c r="G534" s="6">
        <f t="shared" si="171"/>
        <v>0</v>
      </c>
      <c r="H534" s="6">
        <f t="shared" si="172"/>
        <v>0</v>
      </c>
      <c r="I534" s="6">
        <f t="shared" si="173"/>
        <v>0</v>
      </c>
      <c r="J534" s="6">
        <f t="shared" si="174"/>
        <v>0</v>
      </c>
      <c r="K534" s="6">
        <f t="shared" si="175"/>
        <v>0</v>
      </c>
      <c r="L534" s="6">
        <f t="shared" si="176"/>
        <v>0</v>
      </c>
      <c r="M534" s="6">
        <f t="shared" si="177"/>
        <v>0</v>
      </c>
      <c r="N534" s="6">
        <f t="shared" si="178"/>
        <v>0</v>
      </c>
      <c r="O534" s="6">
        <f t="shared" si="179"/>
        <v>0</v>
      </c>
      <c r="P534" s="6">
        <f t="shared" si="180"/>
        <v>0</v>
      </c>
      <c r="Q534" s="6">
        <f t="shared" si="181"/>
        <v>0</v>
      </c>
      <c r="R534" s="6">
        <f t="shared" si="182"/>
        <v>0</v>
      </c>
      <c r="S534" s="6">
        <f t="shared" si="183"/>
        <v>0</v>
      </c>
      <c r="T534" s="6">
        <f t="shared" si="184"/>
        <v>0</v>
      </c>
      <c r="U534" s="6">
        <f t="shared" si="185"/>
        <v>0</v>
      </c>
      <c r="V534" s="6">
        <f t="shared" si="186"/>
        <v>0</v>
      </c>
      <c r="W534" s="6">
        <f t="shared" si="187"/>
        <v>0</v>
      </c>
      <c r="X534" s="6">
        <f t="shared" si="188"/>
        <v>0</v>
      </c>
      <c r="Y534" s="6">
        <f t="shared" si="189"/>
        <v>0</v>
      </c>
      <c r="AA534" s="6" t="str">
        <f>IF(最佳化斷筋點!C534="","",最佳化斷筋點!C534)</f>
        <v/>
      </c>
      <c r="AB534" s="6" t="str">
        <f>IF(最佳化斷筋點!D534="","",最佳化斷筋點!D534)</f>
        <v/>
      </c>
      <c r="AC534" s="6" t="str">
        <f>IF(最佳化斷筋點!E534="","",最佳化斷筋點!E534)</f>
        <v/>
      </c>
      <c r="AD534" s="6" t="str">
        <f>IF(最佳化斷筋點!F534="","",最佳化斷筋點!F534)</f>
        <v/>
      </c>
      <c r="AE534" s="6" t="str">
        <f>IF(最佳化斷筋點!G534="","",最佳化斷筋點!G534)</f>
        <v/>
      </c>
      <c r="AF534" s="6" t="str">
        <f>IF(最佳化斷筋點!H534="","",最佳化斷筋點!H534)</f>
        <v/>
      </c>
      <c r="AG534" s="6" t="str">
        <f>IF(最佳化斷筋點!I534="","",最佳化斷筋點!I534)</f>
        <v/>
      </c>
      <c r="AH534" s="6" t="str">
        <f>IF(最佳化斷筋點!J534="","",最佳化斷筋點!J534)</f>
        <v/>
      </c>
      <c r="AI534" s="6" t="str">
        <f>IF(最佳化斷筋點!K534="","",最佳化斷筋點!K534)</f>
        <v/>
      </c>
      <c r="AJ534" s="6" t="str">
        <f>IF(最佳化斷筋點!L534="","",最佳化斷筋點!L534)</f>
        <v/>
      </c>
      <c r="AK534" s="6" t="str">
        <f>IF(最佳化斷筋點!M534="","",最佳化斷筋點!M534)</f>
        <v/>
      </c>
      <c r="AL534" s="6" t="str">
        <f>IF(最佳化斷筋點!N534="","",最佳化斷筋點!N534)</f>
        <v/>
      </c>
      <c r="AM534" s="6" t="str">
        <f>IF(最佳化斷筋點!O534="","",最佳化斷筋點!O534)</f>
        <v/>
      </c>
      <c r="AN534" s="6" t="str">
        <f>IF(最佳化斷筋點!P534="","",最佳化斷筋點!P534)</f>
        <v/>
      </c>
      <c r="AO534" s="6" t="str">
        <f>IF(最佳化斷筋點!Q534="","",最佳化斷筋點!Q534)</f>
        <v/>
      </c>
      <c r="AP534" s="6" t="str">
        <f>IF(最佳化斷筋點!R534="","",最佳化斷筋點!R534)</f>
        <v/>
      </c>
      <c r="AQ534" s="6" t="str">
        <f>IF(最佳化斷筋點!S534="","",最佳化斷筋點!S534)</f>
        <v/>
      </c>
      <c r="AR534" s="6" t="str">
        <f>IF(最佳化斷筋點!T534="","",最佳化斷筋點!T534)</f>
        <v/>
      </c>
      <c r="AS534" s="6" t="str">
        <f>IF(最佳化斷筋點!U534="","",最佳化斷筋點!U534)</f>
        <v/>
      </c>
      <c r="AT534" s="6" t="str">
        <f>IF(最佳化斷筋點!V534="","",最佳化斷筋點!V534)</f>
        <v/>
      </c>
      <c r="AU534" s="6" t="str">
        <f>IF(最佳化斷筋點!W534="","",最佳化斷筋點!W534)</f>
        <v/>
      </c>
      <c r="AV534" s="6" t="str">
        <f>IF(最佳化斷筋點!X534="","",最佳化斷筋點!X534)</f>
        <v/>
      </c>
    </row>
    <row r="535" spans="4:71" x14ac:dyDescent="0.25">
      <c r="D535" s="6" t="s">
        <v>50</v>
      </c>
      <c r="E535" s="6">
        <f t="shared" si="169"/>
        <v>0</v>
      </c>
      <c r="F535" s="6">
        <f t="shared" si="170"/>
        <v>0</v>
      </c>
      <c r="G535" s="6">
        <f t="shared" si="171"/>
        <v>0</v>
      </c>
      <c r="H535" s="6">
        <f t="shared" si="172"/>
        <v>0</v>
      </c>
      <c r="I535" s="6">
        <f t="shared" si="173"/>
        <v>0</v>
      </c>
      <c r="J535" s="6">
        <f t="shared" si="174"/>
        <v>0</v>
      </c>
      <c r="K535" s="6">
        <f t="shared" si="175"/>
        <v>0</v>
      </c>
      <c r="L535" s="6">
        <f t="shared" si="176"/>
        <v>0</v>
      </c>
      <c r="M535" s="6">
        <f t="shared" si="177"/>
        <v>0</v>
      </c>
      <c r="N535" s="6">
        <f t="shared" si="178"/>
        <v>0</v>
      </c>
      <c r="O535" s="6">
        <f t="shared" si="179"/>
        <v>0</v>
      </c>
      <c r="P535" s="6">
        <f t="shared" si="180"/>
        <v>0</v>
      </c>
      <c r="Q535" s="6">
        <f t="shared" si="181"/>
        <v>0</v>
      </c>
      <c r="R535" s="6">
        <f t="shared" si="182"/>
        <v>0</v>
      </c>
      <c r="S535" s="6">
        <f t="shared" si="183"/>
        <v>0</v>
      </c>
      <c r="T535" s="6">
        <f t="shared" si="184"/>
        <v>0</v>
      </c>
      <c r="U535" s="6">
        <f t="shared" si="185"/>
        <v>0</v>
      </c>
      <c r="V535" s="6">
        <f t="shared" si="186"/>
        <v>0</v>
      </c>
      <c r="W535" s="6">
        <f t="shared" si="187"/>
        <v>0</v>
      </c>
      <c r="X535" s="6">
        <f t="shared" si="188"/>
        <v>0</v>
      </c>
      <c r="Y535" s="6">
        <f t="shared" si="189"/>
        <v>0</v>
      </c>
      <c r="AA535" s="6" t="str">
        <f>IF(最佳化斷筋點!C535="","",最佳化斷筋點!C535)</f>
        <v>上層</v>
      </c>
      <c r="AB535" s="6">
        <f>IF(最佳化斷筋點!D535="","",最佳化斷筋點!D535)</f>
        <v>5</v>
      </c>
      <c r="AC535" s="6">
        <f>IF(最佳化斷筋點!E535="","",最佳化斷筋點!E535)</f>
        <v>5</v>
      </c>
      <c r="AD535" s="6">
        <f>IF(最佳化斷筋點!F535="","",最佳化斷筋點!F535)</f>
        <v>4</v>
      </c>
      <c r="AE535" s="6">
        <f>IF(最佳化斷筋點!G535="","",最佳化斷筋點!G535)</f>
        <v>4</v>
      </c>
      <c r="AF535" s="6">
        <f>IF(最佳化斷筋點!H535="","",最佳化斷筋點!H535)</f>
        <v>4</v>
      </c>
      <c r="AG535" s="6">
        <f>IF(最佳化斷筋點!I535="","",最佳化斷筋點!I535)</f>
        <v>3</v>
      </c>
      <c r="AH535" s="6">
        <f>IF(最佳化斷筋點!J535="","",最佳化斷筋點!J535)</f>
        <v>3</v>
      </c>
      <c r="AI535" s="6">
        <f>IF(最佳化斷筋點!K535="","",最佳化斷筋點!K535)</f>
        <v>2</v>
      </c>
      <c r="AJ535" s="6">
        <f>IF(最佳化斷筋點!L535="","",最佳化斷筋點!L535)</f>
        <v>2</v>
      </c>
      <c r="AK535" s="6">
        <f>IF(最佳化斷筋點!M535="","",最佳化斷筋點!M535)</f>
        <v>2</v>
      </c>
      <c r="AL535" s="6">
        <f>IF(最佳化斷筋點!N535="","",最佳化斷筋點!N535)</f>
        <v>2</v>
      </c>
      <c r="AM535" s="6">
        <f>IF(最佳化斷筋點!O535="","",最佳化斷筋點!O535)</f>
        <v>2</v>
      </c>
      <c r="AN535" s="6">
        <f>IF(最佳化斷筋點!P535="","",最佳化斷筋點!P535)</f>
        <v>2</v>
      </c>
      <c r="AO535" s="6">
        <f>IF(最佳化斷筋點!Q535="","",最佳化斷筋點!Q535)</f>
        <v>2</v>
      </c>
      <c r="AP535" s="6">
        <f>IF(最佳化斷筋點!R535="","",最佳化斷筋點!R535)</f>
        <v>2</v>
      </c>
      <c r="AQ535" s="6">
        <f>IF(最佳化斷筋點!S535="","",最佳化斷筋點!S535)</f>
        <v>3</v>
      </c>
      <c r="AR535" s="6">
        <f>IF(最佳化斷筋點!T535="","",最佳化斷筋點!T535)</f>
        <v>3</v>
      </c>
      <c r="AS535" s="6">
        <f>IF(最佳化斷筋點!U535="","",最佳化斷筋點!U535)</f>
        <v>4</v>
      </c>
      <c r="AT535" s="6">
        <f>IF(最佳化斷筋點!V535="","",最佳化斷筋點!V535)</f>
        <v>4</v>
      </c>
      <c r="AU535" s="6">
        <f>IF(最佳化斷筋點!W535="","",最佳化斷筋點!W535)</f>
        <v>5</v>
      </c>
      <c r="AV535" s="6">
        <f>IF(最佳化斷筋點!X535="","",最佳化斷筋點!X535)</f>
        <v>5</v>
      </c>
      <c r="AX535" s="6" t="s">
        <v>50</v>
      </c>
      <c r="AY535" s="6">
        <v>5</v>
      </c>
      <c r="AZ535" s="6">
        <v>5</v>
      </c>
      <c r="BA535" s="6">
        <v>4</v>
      </c>
      <c r="BB535" s="6">
        <v>4</v>
      </c>
      <c r="BC535" s="6">
        <v>4</v>
      </c>
      <c r="BD535" s="6">
        <v>3</v>
      </c>
      <c r="BE535" s="6">
        <v>3</v>
      </c>
      <c r="BF535" s="6">
        <v>2</v>
      </c>
      <c r="BG535" s="6">
        <v>2</v>
      </c>
      <c r="BH535" s="6">
        <v>2</v>
      </c>
      <c r="BI535" s="6">
        <v>2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</row>
    <row r="536" spans="4:71" x14ac:dyDescent="0.25">
      <c r="E536" s="6">
        <f t="shared" si="169"/>
        <v>0</v>
      </c>
      <c r="F536" s="6">
        <f t="shared" si="170"/>
        <v>0</v>
      </c>
      <c r="G536" s="6">
        <f t="shared" si="171"/>
        <v>0</v>
      </c>
      <c r="H536" s="6">
        <f t="shared" si="172"/>
        <v>0</v>
      </c>
      <c r="I536" s="6">
        <f t="shared" si="173"/>
        <v>0</v>
      </c>
      <c r="J536" s="6">
        <f t="shared" si="174"/>
        <v>0</v>
      </c>
      <c r="K536" s="6">
        <f t="shared" si="175"/>
        <v>0</v>
      </c>
      <c r="L536" s="6">
        <f t="shared" si="176"/>
        <v>0</v>
      </c>
      <c r="M536" s="6">
        <f t="shared" si="177"/>
        <v>0</v>
      </c>
      <c r="N536" s="6">
        <f t="shared" si="178"/>
        <v>0</v>
      </c>
      <c r="O536" s="6">
        <f t="shared" si="179"/>
        <v>0</v>
      </c>
      <c r="P536" s="6">
        <f t="shared" si="180"/>
        <v>0</v>
      </c>
      <c r="Q536" s="6">
        <f t="shared" si="181"/>
        <v>0</v>
      </c>
      <c r="R536" s="6">
        <f t="shared" si="182"/>
        <v>0</v>
      </c>
      <c r="S536" s="6">
        <f t="shared" si="183"/>
        <v>0</v>
      </c>
      <c r="T536" s="6">
        <f t="shared" si="184"/>
        <v>0</v>
      </c>
      <c r="U536" s="6">
        <f t="shared" si="185"/>
        <v>0</v>
      </c>
      <c r="V536" s="6">
        <f t="shared" si="186"/>
        <v>0</v>
      </c>
      <c r="W536" s="6">
        <f t="shared" si="187"/>
        <v>0</v>
      </c>
      <c r="X536" s="6">
        <f t="shared" si="188"/>
        <v>0</v>
      </c>
      <c r="Y536" s="6">
        <f t="shared" si="189"/>
        <v>0</v>
      </c>
      <c r="AA536" s="6" t="str">
        <f>IF(最佳化斷筋點!C536="","",最佳化斷筋點!C536)</f>
        <v/>
      </c>
      <c r="AB536" s="6" t="str">
        <f>IF(最佳化斷筋點!D536="","",最佳化斷筋點!D536)</f>
        <v/>
      </c>
      <c r="AC536" s="6" t="str">
        <f>IF(最佳化斷筋點!E536="","",最佳化斷筋點!E536)</f>
        <v/>
      </c>
      <c r="AD536" s="6" t="str">
        <f>IF(最佳化斷筋點!F536="","",最佳化斷筋點!F536)</f>
        <v/>
      </c>
      <c r="AE536" s="6" t="str">
        <f>IF(最佳化斷筋點!G536="","",最佳化斷筋點!G536)</f>
        <v/>
      </c>
      <c r="AF536" s="6" t="str">
        <f>IF(最佳化斷筋點!H536="","",最佳化斷筋點!H536)</f>
        <v/>
      </c>
      <c r="AG536" s="6" t="str">
        <f>IF(最佳化斷筋點!I536="","",最佳化斷筋點!I536)</f>
        <v/>
      </c>
      <c r="AH536" s="6" t="str">
        <f>IF(最佳化斷筋點!J536="","",最佳化斷筋點!J536)</f>
        <v/>
      </c>
      <c r="AI536" s="6" t="str">
        <f>IF(最佳化斷筋點!K536="","",最佳化斷筋點!K536)</f>
        <v/>
      </c>
      <c r="AJ536" s="6" t="str">
        <f>IF(最佳化斷筋點!L536="","",最佳化斷筋點!L536)</f>
        <v/>
      </c>
      <c r="AK536" s="6" t="str">
        <f>IF(最佳化斷筋點!M536="","",最佳化斷筋點!M536)</f>
        <v/>
      </c>
      <c r="AL536" s="6" t="str">
        <f>IF(最佳化斷筋點!N536="","",最佳化斷筋點!N536)</f>
        <v/>
      </c>
      <c r="AM536" s="6" t="str">
        <f>IF(最佳化斷筋點!O536="","",最佳化斷筋點!O536)</f>
        <v/>
      </c>
      <c r="AN536" s="6" t="str">
        <f>IF(最佳化斷筋點!P536="","",最佳化斷筋點!P536)</f>
        <v/>
      </c>
      <c r="AO536" s="6" t="str">
        <f>IF(最佳化斷筋點!Q536="","",最佳化斷筋點!Q536)</f>
        <v/>
      </c>
      <c r="AP536" s="6" t="str">
        <f>IF(最佳化斷筋點!R536="","",最佳化斷筋點!R536)</f>
        <v/>
      </c>
      <c r="AQ536" s="6" t="str">
        <f>IF(最佳化斷筋點!S536="","",最佳化斷筋點!S536)</f>
        <v/>
      </c>
      <c r="AR536" s="6" t="str">
        <f>IF(最佳化斷筋點!T536="","",最佳化斷筋點!T536)</f>
        <v/>
      </c>
      <c r="AS536" s="6" t="str">
        <f>IF(最佳化斷筋點!U536="","",最佳化斷筋點!U536)</f>
        <v/>
      </c>
      <c r="AT536" s="6" t="str">
        <f>IF(最佳化斷筋點!V536="","",最佳化斷筋點!V536)</f>
        <v/>
      </c>
      <c r="AU536" s="6" t="str">
        <f>IF(最佳化斷筋點!W536="","",最佳化斷筋點!W536)</f>
        <v/>
      </c>
      <c r="AV536" s="6" t="str">
        <f>IF(最佳化斷筋點!X536="","",最佳化斷筋點!X536)</f>
        <v/>
      </c>
    </row>
    <row r="537" spans="4:71" x14ac:dyDescent="0.25">
      <c r="D537" s="6" t="s">
        <v>51</v>
      </c>
      <c r="E537" s="6">
        <f t="shared" si="169"/>
        <v>0</v>
      </c>
      <c r="F537" s="6">
        <f t="shared" si="170"/>
        <v>0</v>
      </c>
      <c r="G537" s="6">
        <f t="shared" si="171"/>
        <v>0</v>
      </c>
      <c r="H537" s="6">
        <f t="shared" si="172"/>
        <v>0</v>
      </c>
      <c r="I537" s="6">
        <f t="shared" si="173"/>
        <v>0</v>
      </c>
      <c r="J537" s="6">
        <f t="shared" si="174"/>
        <v>0</v>
      </c>
      <c r="K537" s="6">
        <f t="shared" si="175"/>
        <v>0</v>
      </c>
      <c r="L537" s="6">
        <f t="shared" si="176"/>
        <v>0</v>
      </c>
      <c r="M537" s="6">
        <f t="shared" si="177"/>
        <v>0</v>
      </c>
      <c r="N537" s="6">
        <f t="shared" si="178"/>
        <v>0</v>
      </c>
      <c r="O537" s="6">
        <f t="shared" si="179"/>
        <v>0</v>
      </c>
      <c r="P537" s="6">
        <f t="shared" si="180"/>
        <v>0</v>
      </c>
      <c r="Q537" s="6">
        <f t="shared" si="181"/>
        <v>0</v>
      </c>
      <c r="R537" s="6">
        <f t="shared" si="182"/>
        <v>0</v>
      </c>
      <c r="S537" s="6">
        <f t="shared" si="183"/>
        <v>0</v>
      </c>
      <c r="T537" s="6">
        <f t="shared" si="184"/>
        <v>0</v>
      </c>
      <c r="U537" s="6">
        <f t="shared" si="185"/>
        <v>0</v>
      </c>
      <c r="V537" s="6">
        <f t="shared" si="186"/>
        <v>0</v>
      </c>
      <c r="W537" s="6">
        <f t="shared" si="187"/>
        <v>0</v>
      </c>
      <c r="X537" s="6">
        <f t="shared" si="188"/>
        <v>0</v>
      </c>
      <c r="Y537" s="6">
        <f t="shared" si="189"/>
        <v>0</v>
      </c>
      <c r="AA537" s="6" t="str">
        <f>IF(最佳化斷筋點!C537="","",最佳化斷筋點!C537)</f>
        <v>下層</v>
      </c>
      <c r="AB537" s="6">
        <f>IF(最佳化斷筋點!D537="","",最佳化斷筋點!D537)</f>
        <v>3</v>
      </c>
      <c r="AC537" s="6">
        <f>IF(最佳化斷筋點!E537="","",最佳化斷筋點!E537)</f>
        <v>3</v>
      </c>
      <c r="AD537" s="6">
        <f>IF(最佳化斷筋點!F537="","",最佳化斷筋點!F537)</f>
        <v>3</v>
      </c>
      <c r="AE537" s="6">
        <f>IF(最佳化斷筋點!G537="","",最佳化斷筋點!G537)</f>
        <v>3</v>
      </c>
      <c r="AF537" s="6">
        <f>IF(最佳化斷筋點!H537="","",最佳化斷筋點!H537)</f>
        <v>3</v>
      </c>
      <c r="AG537" s="6">
        <f>IF(最佳化斷筋點!I537="","",最佳化斷筋點!I537)</f>
        <v>3</v>
      </c>
      <c r="AH537" s="6">
        <f>IF(最佳化斷筋點!J537="","",最佳化斷筋點!J537)</f>
        <v>4</v>
      </c>
      <c r="AI537" s="6">
        <f>IF(最佳化斷筋點!K537="","",最佳化斷筋點!K537)</f>
        <v>4</v>
      </c>
      <c r="AJ537" s="6">
        <f>IF(最佳化斷筋點!L537="","",最佳化斷筋點!L537)</f>
        <v>4</v>
      </c>
      <c r="AK537" s="6">
        <f>IF(最佳化斷筋點!M537="","",最佳化斷筋點!M537)</f>
        <v>4</v>
      </c>
      <c r="AL537" s="6">
        <f>IF(最佳化斷筋點!N537="","",最佳化斷筋點!N537)</f>
        <v>4</v>
      </c>
      <c r="AM537" s="6">
        <f>IF(最佳化斷筋點!O537="","",最佳化斷筋點!O537)</f>
        <v>4</v>
      </c>
      <c r="AN537" s="6">
        <f>IF(最佳化斷筋點!P537="","",最佳化斷筋點!P537)</f>
        <v>4</v>
      </c>
      <c r="AO537" s="6">
        <f>IF(最佳化斷筋點!Q537="","",最佳化斷筋點!Q537)</f>
        <v>4</v>
      </c>
      <c r="AP537" s="6">
        <f>IF(最佳化斷筋點!R537="","",最佳化斷筋點!R537)</f>
        <v>4</v>
      </c>
      <c r="AQ537" s="6">
        <f>IF(最佳化斷筋點!S537="","",最佳化斷筋點!S537)</f>
        <v>3</v>
      </c>
      <c r="AR537" s="6">
        <f>IF(最佳化斷筋點!T537="","",最佳化斷筋點!T537)</f>
        <v>3</v>
      </c>
      <c r="AS537" s="6">
        <f>IF(最佳化斷筋點!U537="","",最佳化斷筋點!U537)</f>
        <v>3</v>
      </c>
      <c r="AT537" s="6">
        <f>IF(最佳化斷筋點!V537="","",最佳化斷筋點!V537)</f>
        <v>3</v>
      </c>
      <c r="AU537" s="6">
        <f>IF(最佳化斷筋點!W537="","",最佳化斷筋點!W537)</f>
        <v>3</v>
      </c>
      <c r="AV537" s="6">
        <f>IF(最佳化斷筋點!X537="","",最佳化斷筋點!X537)</f>
        <v>3</v>
      </c>
      <c r="AX537" s="6" t="s">
        <v>51</v>
      </c>
      <c r="AY537" s="6">
        <v>3</v>
      </c>
      <c r="AZ537" s="6">
        <v>3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3</v>
      </c>
      <c r="BO537" s="6">
        <v>3</v>
      </c>
      <c r="BP537" s="6">
        <v>3</v>
      </c>
      <c r="BQ537" s="6">
        <v>3</v>
      </c>
      <c r="BR537" s="6">
        <v>3</v>
      </c>
      <c r="BS537" s="6">
        <v>3</v>
      </c>
    </row>
    <row r="538" spans="4:71" x14ac:dyDescent="0.25">
      <c r="E538" s="6">
        <f t="shared" si="169"/>
        <v>0</v>
      </c>
      <c r="F538" s="6">
        <f t="shared" si="170"/>
        <v>0</v>
      </c>
      <c r="G538" s="6">
        <f t="shared" si="171"/>
        <v>0</v>
      </c>
      <c r="H538" s="6">
        <f t="shared" si="172"/>
        <v>0</v>
      </c>
      <c r="I538" s="6">
        <f t="shared" si="173"/>
        <v>0</v>
      </c>
      <c r="J538" s="6">
        <f t="shared" si="174"/>
        <v>0</v>
      </c>
      <c r="K538" s="6">
        <f t="shared" si="175"/>
        <v>0</v>
      </c>
      <c r="L538" s="6">
        <f t="shared" si="176"/>
        <v>0</v>
      </c>
      <c r="M538" s="6">
        <f t="shared" si="177"/>
        <v>0</v>
      </c>
      <c r="N538" s="6">
        <f t="shared" si="178"/>
        <v>0</v>
      </c>
      <c r="O538" s="6">
        <f t="shared" si="179"/>
        <v>0</v>
      </c>
      <c r="P538" s="6">
        <f t="shared" si="180"/>
        <v>0</v>
      </c>
      <c r="Q538" s="6">
        <f t="shared" si="181"/>
        <v>0</v>
      </c>
      <c r="R538" s="6">
        <f t="shared" si="182"/>
        <v>0</v>
      </c>
      <c r="S538" s="6">
        <f t="shared" si="183"/>
        <v>0</v>
      </c>
      <c r="T538" s="6">
        <f t="shared" si="184"/>
        <v>0</v>
      </c>
      <c r="U538" s="6">
        <f t="shared" si="185"/>
        <v>0</v>
      </c>
      <c r="V538" s="6">
        <f t="shared" si="186"/>
        <v>0</v>
      </c>
      <c r="W538" s="6">
        <f t="shared" si="187"/>
        <v>0</v>
      </c>
      <c r="X538" s="6">
        <f t="shared" si="188"/>
        <v>0</v>
      </c>
      <c r="Y538" s="6">
        <f t="shared" si="189"/>
        <v>0</v>
      </c>
      <c r="AA538" s="6" t="str">
        <f>IF(最佳化斷筋點!C538="","",最佳化斷筋點!C538)</f>
        <v/>
      </c>
      <c r="AB538" s="6" t="str">
        <f>IF(最佳化斷筋點!D538="","",最佳化斷筋點!D538)</f>
        <v/>
      </c>
      <c r="AC538" s="6" t="str">
        <f>IF(最佳化斷筋點!E538="","",最佳化斷筋點!E538)</f>
        <v/>
      </c>
      <c r="AD538" s="6" t="str">
        <f>IF(最佳化斷筋點!F538="","",最佳化斷筋點!F538)</f>
        <v/>
      </c>
      <c r="AE538" s="6" t="str">
        <f>IF(最佳化斷筋點!G538="","",最佳化斷筋點!G538)</f>
        <v/>
      </c>
      <c r="AF538" s="6" t="str">
        <f>IF(最佳化斷筋點!H538="","",最佳化斷筋點!H538)</f>
        <v/>
      </c>
      <c r="AG538" s="6" t="str">
        <f>IF(最佳化斷筋點!I538="","",最佳化斷筋點!I538)</f>
        <v/>
      </c>
      <c r="AH538" s="6" t="str">
        <f>IF(最佳化斷筋點!J538="","",最佳化斷筋點!J538)</f>
        <v/>
      </c>
      <c r="AI538" s="6" t="str">
        <f>IF(最佳化斷筋點!K538="","",最佳化斷筋點!K538)</f>
        <v/>
      </c>
      <c r="AJ538" s="6" t="str">
        <f>IF(最佳化斷筋點!L538="","",最佳化斷筋點!L538)</f>
        <v/>
      </c>
      <c r="AK538" s="6" t="str">
        <f>IF(最佳化斷筋點!M538="","",最佳化斷筋點!M538)</f>
        <v/>
      </c>
      <c r="AL538" s="6" t="str">
        <f>IF(最佳化斷筋點!N538="","",最佳化斷筋點!N538)</f>
        <v/>
      </c>
      <c r="AM538" s="6" t="str">
        <f>IF(最佳化斷筋點!O538="","",最佳化斷筋點!O538)</f>
        <v/>
      </c>
      <c r="AN538" s="6" t="str">
        <f>IF(最佳化斷筋點!P538="","",最佳化斷筋點!P538)</f>
        <v/>
      </c>
      <c r="AO538" s="6" t="str">
        <f>IF(最佳化斷筋點!Q538="","",最佳化斷筋點!Q538)</f>
        <v/>
      </c>
      <c r="AP538" s="6" t="str">
        <f>IF(最佳化斷筋點!R538="","",最佳化斷筋點!R538)</f>
        <v/>
      </c>
      <c r="AQ538" s="6" t="str">
        <f>IF(最佳化斷筋點!S538="","",最佳化斷筋點!S538)</f>
        <v/>
      </c>
      <c r="AR538" s="6" t="str">
        <f>IF(最佳化斷筋點!T538="","",最佳化斷筋點!T538)</f>
        <v/>
      </c>
      <c r="AS538" s="6" t="str">
        <f>IF(最佳化斷筋點!U538="","",最佳化斷筋點!U538)</f>
        <v/>
      </c>
      <c r="AT538" s="6" t="str">
        <f>IF(最佳化斷筋點!V538="","",最佳化斷筋點!V538)</f>
        <v/>
      </c>
      <c r="AU538" s="6" t="str">
        <f>IF(最佳化斷筋點!W538="","",最佳化斷筋點!W538)</f>
        <v/>
      </c>
      <c r="AV538" s="6" t="str">
        <f>IF(最佳化斷筋點!X538="","",最佳化斷筋點!X538)</f>
        <v/>
      </c>
    </row>
    <row r="539" spans="4:71" x14ac:dyDescent="0.25">
      <c r="D539" s="6" t="s">
        <v>50</v>
      </c>
      <c r="E539" s="6">
        <f t="shared" si="169"/>
        <v>0</v>
      </c>
      <c r="F539" s="6">
        <f t="shared" si="170"/>
        <v>0</v>
      </c>
      <c r="G539" s="6">
        <f t="shared" si="171"/>
        <v>0</v>
      </c>
      <c r="H539" s="6">
        <f t="shared" si="172"/>
        <v>0</v>
      </c>
      <c r="I539" s="6">
        <f t="shared" si="173"/>
        <v>0</v>
      </c>
      <c r="J539" s="6">
        <f t="shared" si="174"/>
        <v>0</v>
      </c>
      <c r="K539" s="6">
        <f t="shared" si="175"/>
        <v>0</v>
      </c>
      <c r="L539" s="6">
        <f t="shared" si="176"/>
        <v>0</v>
      </c>
      <c r="M539" s="6">
        <f t="shared" si="177"/>
        <v>0</v>
      </c>
      <c r="N539" s="6">
        <f t="shared" si="178"/>
        <v>0</v>
      </c>
      <c r="O539" s="6">
        <f t="shared" si="179"/>
        <v>0</v>
      </c>
      <c r="P539" s="6">
        <f t="shared" si="180"/>
        <v>0</v>
      </c>
      <c r="Q539" s="6">
        <f t="shared" si="181"/>
        <v>0</v>
      </c>
      <c r="R539" s="6">
        <f t="shared" si="182"/>
        <v>0</v>
      </c>
      <c r="S539" s="6">
        <f t="shared" si="183"/>
        <v>0</v>
      </c>
      <c r="T539" s="6">
        <f t="shared" si="184"/>
        <v>0</v>
      </c>
      <c r="U539" s="6">
        <f t="shared" si="185"/>
        <v>0</v>
      </c>
      <c r="V539" s="6">
        <f t="shared" si="186"/>
        <v>0</v>
      </c>
      <c r="W539" s="6">
        <f t="shared" si="187"/>
        <v>0</v>
      </c>
      <c r="X539" s="6">
        <f t="shared" si="188"/>
        <v>0</v>
      </c>
      <c r="Y539" s="6">
        <f t="shared" si="189"/>
        <v>0</v>
      </c>
      <c r="AA539" s="6" t="str">
        <f>IF(最佳化斷筋點!C539="","",最佳化斷筋點!C539)</f>
        <v>上層</v>
      </c>
      <c r="AB539" s="6">
        <f>IF(最佳化斷筋點!D539="","",最佳化斷筋點!D539)</f>
        <v>5</v>
      </c>
      <c r="AC539" s="6">
        <f>IF(最佳化斷筋點!E539="","",最佳化斷筋點!E539)</f>
        <v>5</v>
      </c>
      <c r="AD539" s="6">
        <f>IF(最佳化斷筋點!F539="","",最佳化斷筋點!F539)</f>
        <v>4</v>
      </c>
      <c r="AE539" s="6">
        <f>IF(最佳化斷筋點!G539="","",最佳化斷筋點!G539)</f>
        <v>4</v>
      </c>
      <c r="AF539" s="6">
        <f>IF(最佳化斷筋點!H539="","",最佳化斷筋點!H539)</f>
        <v>4</v>
      </c>
      <c r="AG539" s="6">
        <f>IF(最佳化斷筋點!I539="","",最佳化斷筋點!I539)</f>
        <v>3</v>
      </c>
      <c r="AH539" s="6">
        <f>IF(最佳化斷筋點!J539="","",最佳化斷筋點!J539)</f>
        <v>3</v>
      </c>
      <c r="AI539" s="6">
        <f>IF(最佳化斷筋點!K539="","",最佳化斷筋點!K539)</f>
        <v>2</v>
      </c>
      <c r="AJ539" s="6">
        <f>IF(最佳化斷筋點!L539="","",最佳化斷筋點!L539)</f>
        <v>2</v>
      </c>
      <c r="AK539" s="6">
        <f>IF(最佳化斷筋點!M539="","",最佳化斷筋點!M539)</f>
        <v>2</v>
      </c>
      <c r="AL539" s="6">
        <f>IF(最佳化斷筋點!N539="","",最佳化斷筋點!N539)</f>
        <v>2</v>
      </c>
      <c r="AM539" s="6">
        <f>IF(最佳化斷筋點!O539="","",最佳化斷筋點!O539)</f>
        <v>2</v>
      </c>
      <c r="AN539" s="6">
        <f>IF(最佳化斷筋點!P539="","",最佳化斷筋點!P539)</f>
        <v>2</v>
      </c>
      <c r="AO539" s="6">
        <f>IF(最佳化斷筋點!Q539="","",最佳化斷筋點!Q539)</f>
        <v>2</v>
      </c>
      <c r="AP539" s="6">
        <f>IF(最佳化斷筋點!R539="","",最佳化斷筋點!R539)</f>
        <v>2</v>
      </c>
      <c r="AQ539" s="6">
        <f>IF(最佳化斷筋點!S539="","",最佳化斷筋點!S539)</f>
        <v>2</v>
      </c>
      <c r="AR539" s="6">
        <f>IF(最佳化斷筋點!T539="","",最佳化斷筋點!T539)</f>
        <v>2</v>
      </c>
      <c r="AS539" s="6">
        <f>IF(最佳化斷筋點!U539="","",最佳化斷筋點!U539)</f>
        <v>3</v>
      </c>
      <c r="AT539" s="6">
        <f>IF(最佳化斷筋點!V539="","",最佳化斷筋點!V539)</f>
        <v>3</v>
      </c>
      <c r="AU539" s="6">
        <f>IF(最佳化斷筋點!W539="","",最佳化斷筋點!W539)</f>
        <v>3</v>
      </c>
      <c r="AV539" s="6">
        <f>IF(最佳化斷筋點!X539="","",最佳化斷筋點!X539)</f>
        <v>3</v>
      </c>
      <c r="AX539" s="6" t="s">
        <v>50</v>
      </c>
      <c r="AY539" s="6">
        <v>5</v>
      </c>
      <c r="AZ539" s="6">
        <v>5</v>
      </c>
      <c r="BA539" s="6">
        <v>4</v>
      </c>
      <c r="BB539" s="6">
        <v>4</v>
      </c>
      <c r="BC539" s="6">
        <v>4</v>
      </c>
      <c r="BD539" s="6">
        <v>3</v>
      </c>
      <c r="BE539" s="6">
        <v>3</v>
      </c>
      <c r="BF539" s="6">
        <v>2</v>
      </c>
      <c r="BG539" s="6">
        <v>2</v>
      </c>
      <c r="BH539" s="6">
        <v>2</v>
      </c>
      <c r="BI539" s="6">
        <v>2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</row>
    <row r="540" spans="4:71" x14ac:dyDescent="0.25">
      <c r="E540" s="6">
        <f t="shared" si="169"/>
        <v>0</v>
      </c>
      <c r="F540" s="6">
        <f t="shared" si="170"/>
        <v>0</v>
      </c>
      <c r="G540" s="6">
        <f t="shared" si="171"/>
        <v>0</v>
      </c>
      <c r="H540" s="6">
        <f t="shared" si="172"/>
        <v>0</v>
      </c>
      <c r="I540" s="6">
        <f t="shared" si="173"/>
        <v>0</v>
      </c>
      <c r="J540" s="6">
        <f t="shared" si="174"/>
        <v>0</v>
      </c>
      <c r="K540" s="6">
        <f t="shared" si="175"/>
        <v>0</v>
      </c>
      <c r="L540" s="6">
        <f t="shared" si="176"/>
        <v>0</v>
      </c>
      <c r="M540" s="6">
        <f t="shared" si="177"/>
        <v>0</v>
      </c>
      <c r="N540" s="6">
        <f t="shared" si="178"/>
        <v>0</v>
      </c>
      <c r="O540" s="6">
        <f t="shared" si="179"/>
        <v>0</v>
      </c>
      <c r="P540" s="6">
        <f t="shared" si="180"/>
        <v>0</v>
      </c>
      <c r="Q540" s="6">
        <f t="shared" si="181"/>
        <v>0</v>
      </c>
      <c r="R540" s="6">
        <f t="shared" si="182"/>
        <v>0</v>
      </c>
      <c r="S540" s="6">
        <f t="shared" si="183"/>
        <v>0</v>
      </c>
      <c r="T540" s="6">
        <f t="shared" si="184"/>
        <v>0</v>
      </c>
      <c r="U540" s="6">
        <f t="shared" si="185"/>
        <v>0</v>
      </c>
      <c r="V540" s="6">
        <f t="shared" si="186"/>
        <v>0</v>
      </c>
      <c r="W540" s="6">
        <f t="shared" si="187"/>
        <v>0</v>
      </c>
      <c r="X540" s="6">
        <f t="shared" si="188"/>
        <v>0</v>
      </c>
      <c r="Y540" s="6">
        <f t="shared" si="189"/>
        <v>0</v>
      </c>
      <c r="AA540" s="6" t="str">
        <f>IF(最佳化斷筋點!C540="","",最佳化斷筋點!C540)</f>
        <v/>
      </c>
      <c r="AB540" s="6" t="str">
        <f>IF(最佳化斷筋點!D540="","",最佳化斷筋點!D540)</f>
        <v/>
      </c>
      <c r="AC540" s="6" t="str">
        <f>IF(最佳化斷筋點!E540="","",最佳化斷筋點!E540)</f>
        <v/>
      </c>
      <c r="AD540" s="6" t="str">
        <f>IF(最佳化斷筋點!F540="","",最佳化斷筋點!F540)</f>
        <v/>
      </c>
      <c r="AE540" s="6" t="str">
        <f>IF(最佳化斷筋點!G540="","",最佳化斷筋點!G540)</f>
        <v/>
      </c>
      <c r="AF540" s="6" t="str">
        <f>IF(最佳化斷筋點!H540="","",最佳化斷筋點!H540)</f>
        <v/>
      </c>
      <c r="AG540" s="6" t="str">
        <f>IF(最佳化斷筋點!I540="","",最佳化斷筋點!I540)</f>
        <v/>
      </c>
      <c r="AH540" s="6" t="str">
        <f>IF(最佳化斷筋點!J540="","",最佳化斷筋點!J540)</f>
        <v/>
      </c>
      <c r="AI540" s="6" t="str">
        <f>IF(最佳化斷筋點!K540="","",最佳化斷筋點!K540)</f>
        <v/>
      </c>
      <c r="AJ540" s="6" t="str">
        <f>IF(最佳化斷筋點!L540="","",最佳化斷筋點!L540)</f>
        <v/>
      </c>
      <c r="AK540" s="6" t="str">
        <f>IF(最佳化斷筋點!M540="","",最佳化斷筋點!M540)</f>
        <v/>
      </c>
      <c r="AL540" s="6" t="str">
        <f>IF(最佳化斷筋點!N540="","",最佳化斷筋點!N540)</f>
        <v/>
      </c>
      <c r="AM540" s="6" t="str">
        <f>IF(最佳化斷筋點!O540="","",最佳化斷筋點!O540)</f>
        <v/>
      </c>
      <c r="AN540" s="6" t="str">
        <f>IF(最佳化斷筋點!P540="","",最佳化斷筋點!P540)</f>
        <v/>
      </c>
      <c r="AO540" s="6" t="str">
        <f>IF(最佳化斷筋點!Q540="","",最佳化斷筋點!Q540)</f>
        <v/>
      </c>
      <c r="AP540" s="6" t="str">
        <f>IF(最佳化斷筋點!R540="","",最佳化斷筋點!R540)</f>
        <v/>
      </c>
      <c r="AQ540" s="6" t="str">
        <f>IF(最佳化斷筋點!S540="","",最佳化斷筋點!S540)</f>
        <v/>
      </c>
      <c r="AR540" s="6" t="str">
        <f>IF(最佳化斷筋點!T540="","",最佳化斷筋點!T540)</f>
        <v/>
      </c>
      <c r="AS540" s="6" t="str">
        <f>IF(最佳化斷筋點!U540="","",最佳化斷筋點!U540)</f>
        <v/>
      </c>
      <c r="AT540" s="6" t="str">
        <f>IF(最佳化斷筋點!V540="","",最佳化斷筋點!V540)</f>
        <v/>
      </c>
      <c r="AU540" s="6" t="str">
        <f>IF(最佳化斷筋點!W540="","",最佳化斷筋點!W540)</f>
        <v/>
      </c>
      <c r="AV540" s="6" t="str">
        <f>IF(最佳化斷筋點!X540="","",最佳化斷筋點!X540)</f>
        <v/>
      </c>
    </row>
    <row r="541" spans="4:71" x14ac:dyDescent="0.25">
      <c r="D541" s="6" t="s">
        <v>51</v>
      </c>
      <c r="E541" s="6">
        <f t="shared" si="169"/>
        <v>0</v>
      </c>
      <c r="F541" s="6">
        <f t="shared" si="170"/>
        <v>0</v>
      </c>
      <c r="G541" s="6">
        <f t="shared" si="171"/>
        <v>0</v>
      </c>
      <c r="H541" s="6">
        <f t="shared" si="172"/>
        <v>0</v>
      </c>
      <c r="I541" s="6">
        <f t="shared" si="173"/>
        <v>0</v>
      </c>
      <c r="J541" s="6">
        <f t="shared" si="174"/>
        <v>0</v>
      </c>
      <c r="K541" s="6">
        <f t="shared" si="175"/>
        <v>0</v>
      </c>
      <c r="L541" s="6">
        <f t="shared" si="176"/>
        <v>0</v>
      </c>
      <c r="M541" s="6">
        <f t="shared" si="177"/>
        <v>0</v>
      </c>
      <c r="N541" s="6">
        <f t="shared" si="178"/>
        <v>0</v>
      </c>
      <c r="O541" s="6">
        <f t="shared" si="179"/>
        <v>0</v>
      </c>
      <c r="P541" s="6">
        <f t="shared" si="180"/>
        <v>0</v>
      </c>
      <c r="Q541" s="6">
        <f t="shared" si="181"/>
        <v>0</v>
      </c>
      <c r="R541" s="6">
        <f t="shared" si="182"/>
        <v>0</v>
      </c>
      <c r="S541" s="6">
        <f t="shared" si="183"/>
        <v>0</v>
      </c>
      <c r="T541" s="6">
        <f t="shared" si="184"/>
        <v>0</v>
      </c>
      <c r="U541" s="6">
        <f t="shared" si="185"/>
        <v>0</v>
      </c>
      <c r="V541" s="6">
        <f t="shared" si="186"/>
        <v>0</v>
      </c>
      <c r="W541" s="6">
        <f t="shared" si="187"/>
        <v>0</v>
      </c>
      <c r="X541" s="6">
        <f t="shared" si="188"/>
        <v>0</v>
      </c>
      <c r="Y541" s="6">
        <f t="shared" si="189"/>
        <v>0</v>
      </c>
      <c r="AA541" s="6" t="str">
        <f>IF(最佳化斷筋點!C541="","",最佳化斷筋點!C541)</f>
        <v>下層</v>
      </c>
      <c r="AB541" s="6">
        <f>IF(最佳化斷筋點!D541="","",最佳化斷筋點!D541)</f>
        <v>3</v>
      </c>
      <c r="AC541" s="6">
        <f>IF(最佳化斷筋點!E541="","",最佳化斷筋點!E541)</f>
        <v>3</v>
      </c>
      <c r="AD541" s="6">
        <f>IF(最佳化斷筋點!F541="","",最佳化斷筋點!F541)</f>
        <v>3</v>
      </c>
      <c r="AE541" s="6">
        <f>IF(最佳化斷筋點!G541="","",最佳化斷筋點!G541)</f>
        <v>3</v>
      </c>
      <c r="AF541" s="6">
        <f>IF(最佳化斷筋點!H541="","",最佳化斷筋點!H541)</f>
        <v>3</v>
      </c>
      <c r="AG541" s="6">
        <f>IF(最佳化斷筋點!I541="","",最佳化斷筋點!I541)</f>
        <v>3</v>
      </c>
      <c r="AH541" s="6">
        <f>IF(最佳化斷筋點!J541="","",最佳化斷筋點!J541)</f>
        <v>4</v>
      </c>
      <c r="AI541" s="6">
        <f>IF(最佳化斷筋點!K541="","",最佳化斷筋點!K541)</f>
        <v>4</v>
      </c>
      <c r="AJ541" s="6">
        <f>IF(最佳化斷筋點!L541="","",最佳化斷筋點!L541)</f>
        <v>4</v>
      </c>
      <c r="AK541" s="6">
        <f>IF(最佳化斷筋點!M541="","",最佳化斷筋點!M541)</f>
        <v>4</v>
      </c>
      <c r="AL541" s="6">
        <f>IF(最佳化斷筋點!N541="","",最佳化斷筋點!N541)</f>
        <v>4</v>
      </c>
      <c r="AM541" s="6">
        <f>IF(最佳化斷筋點!O541="","",最佳化斷筋點!O541)</f>
        <v>4</v>
      </c>
      <c r="AN541" s="6">
        <f>IF(最佳化斷筋點!P541="","",最佳化斷筋點!P541)</f>
        <v>4</v>
      </c>
      <c r="AO541" s="6">
        <f>IF(最佳化斷筋點!Q541="","",最佳化斷筋點!Q541)</f>
        <v>4</v>
      </c>
      <c r="AP541" s="6">
        <f>IF(最佳化斷筋點!R541="","",最佳化斷筋點!R541)</f>
        <v>4</v>
      </c>
      <c r="AQ541" s="6">
        <f>IF(最佳化斷筋點!S541="","",最佳化斷筋點!S541)</f>
        <v>3</v>
      </c>
      <c r="AR541" s="6">
        <f>IF(最佳化斷筋點!T541="","",最佳化斷筋點!T541)</f>
        <v>3</v>
      </c>
      <c r="AS541" s="6">
        <f>IF(最佳化斷筋點!U541="","",最佳化斷筋點!U541)</f>
        <v>3</v>
      </c>
      <c r="AT541" s="6">
        <f>IF(最佳化斷筋點!V541="","",最佳化斷筋點!V541)</f>
        <v>3</v>
      </c>
      <c r="AU541" s="6">
        <f>IF(最佳化斷筋點!W541="","",最佳化斷筋點!W541)</f>
        <v>3</v>
      </c>
      <c r="AV541" s="6">
        <f>IF(最佳化斷筋點!X541="","",最佳化斷筋點!X541)</f>
        <v>3</v>
      </c>
      <c r="AX541" s="6" t="s">
        <v>51</v>
      </c>
      <c r="AY541" s="6">
        <v>3</v>
      </c>
      <c r="AZ541" s="6">
        <v>3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3</v>
      </c>
      <c r="BO541" s="6">
        <v>3</v>
      </c>
      <c r="BP541" s="6">
        <v>3</v>
      </c>
      <c r="BQ541" s="6">
        <v>3</v>
      </c>
      <c r="BR541" s="6">
        <v>3</v>
      </c>
      <c r="BS541" s="6">
        <v>3</v>
      </c>
    </row>
    <row r="542" spans="4:71" x14ac:dyDescent="0.25">
      <c r="E542" s="6">
        <f t="shared" si="169"/>
        <v>0</v>
      </c>
      <c r="F542" s="6">
        <f t="shared" si="170"/>
        <v>0</v>
      </c>
      <c r="G542" s="6">
        <f t="shared" si="171"/>
        <v>0</v>
      </c>
      <c r="H542" s="6">
        <f t="shared" si="172"/>
        <v>0</v>
      </c>
      <c r="I542" s="6">
        <f t="shared" si="173"/>
        <v>0</v>
      </c>
      <c r="J542" s="6">
        <f t="shared" si="174"/>
        <v>0</v>
      </c>
      <c r="K542" s="6">
        <f t="shared" si="175"/>
        <v>0</v>
      </c>
      <c r="L542" s="6">
        <f t="shared" si="176"/>
        <v>0</v>
      </c>
      <c r="M542" s="6">
        <f t="shared" si="177"/>
        <v>0</v>
      </c>
      <c r="N542" s="6">
        <f t="shared" si="178"/>
        <v>0</v>
      </c>
      <c r="O542" s="6">
        <f t="shared" si="179"/>
        <v>0</v>
      </c>
      <c r="P542" s="6">
        <f t="shared" si="180"/>
        <v>0</v>
      </c>
      <c r="Q542" s="6">
        <f t="shared" si="181"/>
        <v>0</v>
      </c>
      <c r="R542" s="6">
        <f t="shared" si="182"/>
        <v>0</v>
      </c>
      <c r="S542" s="6">
        <f t="shared" si="183"/>
        <v>0</v>
      </c>
      <c r="T542" s="6">
        <f t="shared" si="184"/>
        <v>0</v>
      </c>
      <c r="U542" s="6">
        <f t="shared" si="185"/>
        <v>0</v>
      </c>
      <c r="V542" s="6">
        <f t="shared" si="186"/>
        <v>0</v>
      </c>
      <c r="W542" s="6">
        <f t="shared" si="187"/>
        <v>0</v>
      </c>
      <c r="X542" s="6">
        <f t="shared" si="188"/>
        <v>0</v>
      </c>
      <c r="Y542" s="6">
        <f t="shared" si="189"/>
        <v>0</v>
      </c>
      <c r="AA542" s="6" t="str">
        <f>IF(最佳化斷筋點!C542="","",最佳化斷筋點!C542)</f>
        <v/>
      </c>
      <c r="AB542" s="6" t="str">
        <f>IF(最佳化斷筋點!D542="","",最佳化斷筋點!D542)</f>
        <v/>
      </c>
      <c r="AC542" s="6" t="str">
        <f>IF(最佳化斷筋點!E542="","",最佳化斷筋點!E542)</f>
        <v/>
      </c>
      <c r="AD542" s="6" t="str">
        <f>IF(最佳化斷筋點!F542="","",最佳化斷筋點!F542)</f>
        <v/>
      </c>
      <c r="AE542" s="6" t="str">
        <f>IF(最佳化斷筋點!G542="","",最佳化斷筋點!G542)</f>
        <v/>
      </c>
      <c r="AF542" s="6" t="str">
        <f>IF(最佳化斷筋點!H542="","",最佳化斷筋點!H542)</f>
        <v/>
      </c>
      <c r="AG542" s="6" t="str">
        <f>IF(最佳化斷筋點!I542="","",最佳化斷筋點!I542)</f>
        <v/>
      </c>
      <c r="AH542" s="6" t="str">
        <f>IF(最佳化斷筋點!J542="","",最佳化斷筋點!J542)</f>
        <v/>
      </c>
      <c r="AI542" s="6" t="str">
        <f>IF(最佳化斷筋點!K542="","",最佳化斷筋點!K542)</f>
        <v/>
      </c>
      <c r="AJ542" s="6" t="str">
        <f>IF(最佳化斷筋點!L542="","",最佳化斷筋點!L542)</f>
        <v/>
      </c>
      <c r="AK542" s="6" t="str">
        <f>IF(最佳化斷筋點!M542="","",最佳化斷筋點!M542)</f>
        <v/>
      </c>
      <c r="AL542" s="6" t="str">
        <f>IF(最佳化斷筋點!N542="","",最佳化斷筋點!N542)</f>
        <v/>
      </c>
      <c r="AM542" s="6" t="str">
        <f>IF(最佳化斷筋點!O542="","",最佳化斷筋點!O542)</f>
        <v/>
      </c>
      <c r="AN542" s="6" t="str">
        <f>IF(最佳化斷筋點!P542="","",最佳化斷筋點!P542)</f>
        <v/>
      </c>
      <c r="AO542" s="6" t="str">
        <f>IF(最佳化斷筋點!Q542="","",最佳化斷筋點!Q542)</f>
        <v/>
      </c>
      <c r="AP542" s="6" t="str">
        <f>IF(最佳化斷筋點!R542="","",最佳化斷筋點!R542)</f>
        <v/>
      </c>
      <c r="AQ542" s="6" t="str">
        <f>IF(最佳化斷筋點!S542="","",最佳化斷筋點!S542)</f>
        <v/>
      </c>
      <c r="AR542" s="6" t="str">
        <f>IF(最佳化斷筋點!T542="","",最佳化斷筋點!T542)</f>
        <v/>
      </c>
      <c r="AS542" s="6" t="str">
        <f>IF(最佳化斷筋點!U542="","",最佳化斷筋點!U542)</f>
        <v/>
      </c>
      <c r="AT542" s="6" t="str">
        <f>IF(最佳化斷筋點!V542="","",最佳化斷筋點!V542)</f>
        <v/>
      </c>
      <c r="AU542" s="6" t="str">
        <f>IF(最佳化斷筋點!W542="","",最佳化斷筋點!W542)</f>
        <v/>
      </c>
      <c r="AV542" s="6" t="str">
        <f>IF(最佳化斷筋點!X542="","",最佳化斷筋點!X542)</f>
        <v/>
      </c>
    </row>
    <row r="543" spans="4:71" x14ac:dyDescent="0.25">
      <c r="D543" s="6" t="s">
        <v>50</v>
      </c>
      <c r="E543" s="6">
        <f t="shared" si="169"/>
        <v>0</v>
      </c>
      <c r="F543" s="6">
        <f t="shared" si="170"/>
        <v>0</v>
      </c>
      <c r="G543" s="6">
        <f t="shared" si="171"/>
        <v>0</v>
      </c>
      <c r="H543" s="6">
        <f t="shared" si="172"/>
        <v>0</v>
      </c>
      <c r="I543" s="6">
        <f t="shared" si="173"/>
        <v>0</v>
      </c>
      <c r="J543" s="6">
        <f t="shared" si="174"/>
        <v>0</v>
      </c>
      <c r="K543" s="6">
        <f t="shared" si="175"/>
        <v>0</v>
      </c>
      <c r="L543" s="6">
        <f t="shared" si="176"/>
        <v>0</v>
      </c>
      <c r="M543" s="6">
        <f t="shared" si="177"/>
        <v>0</v>
      </c>
      <c r="N543" s="6">
        <f t="shared" si="178"/>
        <v>0</v>
      </c>
      <c r="O543" s="6">
        <f t="shared" si="179"/>
        <v>0</v>
      </c>
      <c r="P543" s="6">
        <f t="shared" si="180"/>
        <v>0</v>
      </c>
      <c r="Q543" s="6">
        <f t="shared" si="181"/>
        <v>0</v>
      </c>
      <c r="R543" s="6">
        <f t="shared" si="182"/>
        <v>0</v>
      </c>
      <c r="S543" s="6">
        <f t="shared" si="183"/>
        <v>0</v>
      </c>
      <c r="T543" s="6">
        <f t="shared" si="184"/>
        <v>0</v>
      </c>
      <c r="U543" s="6">
        <f t="shared" si="185"/>
        <v>0</v>
      </c>
      <c r="V543" s="6">
        <f t="shared" si="186"/>
        <v>0</v>
      </c>
      <c r="W543" s="6">
        <f t="shared" si="187"/>
        <v>0</v>
      </c>
      <c r="X543" s="6">
        <f t="shared" si="188"/>
        <v>0</v>
      </c>
      <c r="Y543" s="6">
        <f t="shared" si="189"/>
        <v>0</v>
      </c>
      <c r="AA543" s="6" t="str">
        <f>IF(最佳化斷筋點!C543="","",最佳化斷筋點!C543)</f>
        <v>上層</v>
      </c>
      <c r="AB543" s="6">
        <f>IF(最佳化斷筋點!D543="","",最佳化斷筋點!D543)</f>
        <v>3</v>
      </c>
      <c r="AC543" s="6">
        <f>IF(最佳化斷筋點!E543="","",最佳化斷筋點!E543)</f>
        <v>3</v>
      </c>
      <c r="AD543" s="6">
        <f>IF(最佳化斷筋點!F543="","",最佳化斷筋點!F543)</f>
        <v>3</v>
      </c>
      <c r="AE543" s="6">
        <f>IF(最佳化斷筋點!G543="","",最佳化斷筋點!G543)</f>
        <v>3</v>
      </c>
      <c r="AF543" s="6">
        <f>IF(最佳化斷筋點!H543="","",最佳化斷筋點!H543)</f>
        <v>2</v>
      </c>
      <c r="AG543" s="6">
        <f>IF(最佳化斷筋點!I543="","",最佳化斷筋點!I543)</f>
        <v>2</v>
      </c>
      <c r="AH543" s="6">
        <f>IF(最佳化斷筋點!J543="","",最佳化斷筋點!J543)</f>
        <v>2</v>
      </c>
      <c r="AI543" s="6">
        <f>IF(最佳化斷筋點!K543="","",最佳化斷筋點!K543)</f>
        <v>2</v>
      </c>
      <c r="AJ543" s="6">
        <f>IF(最佳化斷筋點!L543="","",最佳化斷筋點!L543)</f>
        <v>2</v>
      </c>
      <c r="AK543" s="6">
        <f>IF(最佳化斷筋點!M543="","",最佳化斷筋點!M543)</f>
        <v>2</v>
      </c>
      <c r="AL543" s="6">
        <f>IF(最佳化斷筋點!N543="","",最佳化斷筋點!N543)</f>
        <v>2</v>
      </c>
      <c r="AM543" s="6">
        <f>IF(最佳化斷筋點!O543="","",最佳化斷筋點!O543)</f>
        <v>2</v>
      </c>
      <c r="AN543" s="6">
        <f>IF(最佳化斷筋點!P543="","",最佳化斷筋點!P543)</f>
        <v>2</v>
      </c>
      <c r="AO543" s="6">
        <f>IF(最佳化斷筋點!Q543="","",最佳化斷筋點!Q543)</f>
        <v>2</v>
      </c>
      <c r="AP543" s="6">
        <f>IF(最佳化斷筋點!R543="","",最佳化斷筋點!R543)</f>
        <v>2</v>
      </c>
      <c r="AQ543" s="6">
        <f>IF(最佳化斷筋點!S543="","",最佳化斷筋點!S543)</f>
        <v>2</v>
      </c>
      <c r="AR543" s="6">
        <f>IF(最佳化斷筋點!T543="","",最佳化斷筋點!T543)</f>
        <v>2</v>
      </c>
      <c r="AS543" s="6">
        <f>IF(最佳化斷筋點!U543="","",最佳化斷筋點!U543)</f>
        <v>2</v>
      </c>
      <c r="AT543" s="6">
        <f>IF(最佳化斷筋點!V543="","",最佳化斷筋點!V543)</f>
        <v>2</v>
      </c>
      <c r="AU543" s="6">
        <f>IF(最佳化斷筋點!W543="","",最佳化斷筋點!W543)</f>
        <v>2</v>
      </c>
      <c r="AV543" s="6">
        <f>IF(最佳化斷筋點!X543="","",最佳化斷筋點!X543)</f>
        <v>2</v>
      </c>
      <c r="AX543" s="6" t="s">
        <v>50</v>
      </c>
      <c r="AY543" s="6">
        <v>3</v>
      </c>
      <c r="AZ543" s="6">
        <v>3</v>
      </c>
      <c r="BA543" s="6">
        <v>3</v>
      </c>
      <c r="BB543" s="6">
        <v>3</v>
      </c>
      <c r="BC543" s="6">
        <v>2</v>
      </c>
      <c r="BD543" s="6">
        <v>2</v>
      </c>
      <c r="BE543" s="6">
        <v>2</v>
      </c>
      <c r="BF543" s="6">
        <v>2</v>
      </c>
      <c r="BG543" s="6">
        <v>2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</row>
    <row r="544" spans="4:71" x14ac:dyDescent="0.25">
      <c r="E544" s="6">
        <f t="shared" si="169"/>
        <v>0</v>
      </c>
      <c r="F544" s="6">
        <f t="shared" si="170"/>
        <v>0</v>
      </c>
      <c r="G544" s="6">
        <f t="shared" si="171"/>
        <v>0</v>
      </c>
      <c r="H544" s="6">
        <f t="shared" si="172"/>
        <v>0</v>
      </c>
      <c r="I544" s="6">
        <f t="shared" si="173"/>
        <v>0</v>
      </c>
      <c r="J544" s="6">
        <f t="shared" si="174"/>
        <v>0</v>
      </c>
      <c r="K544" s="6">
        <f t="shared" si="175"/>
        <v>0</v>
      </c>
      <c r="L544" s="6">
        <f t="shared" si="176"/>
        <v>0</v>
      </c>
      <c r="M544" s="6">
        <f t="shared" si="177"/>
        <v>0</v>
      </c>
      <c r="N544" s="6">
        <f t="shared" si="178"/>
        <v>0</v>
      </c>
      <c r="O544" s="6">
        <f t="shared" si="179"/>
        <v>0</v>
      </c>
      <c r="P544" s="6">
        <f t="shared" si="180"/>
        <v>0</v>
      </c>
      <c r="Q544" s="6">
        <f t="shared" si="181"/>
        <v>0</v>
      </c>
      <c r="R544" s="6">
        <f t="shared" si="182"/>
        <v>0</v>
      </c>
      <c r="S544" s="6">
        <f t="shared" si="183"/>
        <v>0</v>
      </c>
      <c r="T544" s="6">
        <f t="shared" si="184"/>
        <v>0</v>
      </c>
      <c r="U544" s="6">
        <f t="shared" si="185"/>
        <v>0</v>
      </c>
      <c r="V544" s="6">
        <f t="shared" si="186"/>
        <v>0</v>
      </c>
      <c r="W544" s="6">
        <f t="shared" si="187"/>
        <v>0</v>
      </c>
      <c r="X544" s="6">
        <f t="shared" si="188"/>
        <v>0</v>
      </c>
      <c r="Y544" s="6">
        <f t="shared" si="189"/>
        <v>0</v>
      </c>
      <c r="AA544" s="6" t="str">
        <f>IF(最佳化斷筋點!C544="","",最佳化斷筋點!C544)</f>
        <v/>
      </c>
      <c r="AB544" s="6" t="str">
        <f>IF(最佳化斷筋點!D544="","",最佳化斷筋點!D544)</f>
        <v/>
      </c>
      <c r="AC544" s="6" t="str">
        <f>IF(最佳化斷筋點!E544="","",最佳化斷筋點!E544)</f>
        <v/>
      </c>
      <c r="AD544" s="6" t="str">
        <f>IF(最佳化斷筋點!F544="","",最佳化斷筋點!F544)</f>
        <v/>
      </c>
      <c r="AE544" s="6" t="str">
        <f>IF(最佳化斷筋點!G544="","",最佳化斷筋點!G544)</f>
        <v/>
      </c>
      <c r="AF544" s="6" t="str">
        <f>IF(最佳化斷筋點!H544="","",最佳化斷筋點!H544)</f>
        <v/>
      </c>
      <c r="AG544" s="6" t="str">
        <f>IF(最佳化斷筋點!I544="","",最佳化斷筋點!I544)</f>
        <v/>
      </c>
      <c r="AH544" s="6" t="str">
        <f>IF(最佳化斷筋點!J544="","",最佳化斷筋點!J544)</f>
        <v/>
      </c>
      <c r="AI544" s="6" t="str">
        <f>IF(最佳化斷筋點!K544="","",最佳化斷筋點!K544)</f>
        <v/>
      </c>
      <c r="AJ544" s="6" t="str">
        <f>IF(最佳化斷筋點!L544="","",最佳化斷筋點!L544)</f>
        <v/>
      </c>
      <c r="AK544" s="6" t="str">
        <f>IF(最佳化斷筋點!M544="","",最佳化斷筋點!M544)</f>
        <v/>
      </c>
      <c r="AL544" s="6" t="str">
        <f>IF(最佳化斷筋點!N544="","",最佳化斷筋點!N544)</f>
        <v/>
      </c>
      <c r="AM544" s="6" t="str">
        <f>IF(最佳化斷筋點!O544="","",最佳化斷筋點!O544)</f>
        <v/>
      </c>
      <c r="AN544" s="6" t="str">
        <f>IF(最佳化斷筋點!P544="","",最佳化斷筋點!P544)</f>
        <v/>
      </c>
      <c r="AO544" s="6" t="str">
        <f>IF(最佳化斷筋點!Q544="","",最佳化斷筋點!Q544)</f>
        <v/>
      </c>
      <c r="AP544" s="6" t="str">
        <f>IF(最佳化斷筋點!R544="","",最佳化斷筋點!R544)</f>
        <v/>
      </c>
      <c r="AQ544" s="6" t="str">
        <f>IF(最佳化斷筋點!S544="","",最佳化斷筋點!S544)</f>
        <v/>
      </c>
      <c r="AR544" s="6" t="str">
        <f>IF(最佳化斷筋點!T544="","",最佳化斷筋點!T544)</f>
        <v/>
      </c>
      <c r="AS544" s="6" t="str">
        <f>IF(最佳化斷筋點!U544="","",最佳化斷筋點!U544)</f>
        <v/>
      </c>
      <c r="AT544" s="6" t="str">
        <f>IF(最佳化斷筋點!V544="","",最佳化斷筋點!V544)</f>
        <v/>
      </c>
      <c r="AU544" s="6" t="str">
        <f>IF(最佳化斷筋點!W544="","",最佳化斷筋點!W544)</f>
        <v/>
      </c>
      <c r="AV544" s="6" t="str">
        <f>IF(最佳化斷筋點!X544="","",最佳化斷筋點!X544)</f>
        <v/>
      </c>
    </row>
    <row r="545" spans="4:71" x14ac:dyDescent="0.25">
      <c r="D545" s="6" t="s">
        <v>51</v>
      </c>
      <c r="E545" s="6">
        <f t="shared" si="169"/>
        <v>0</v>
      </c>
      <c r="F545" s="6">
        <f t="shared" si="170"/>
        <v>0</v>
      </c>
      <c r="G545" s="6">
        <f t="shared" si="171"/>
        <v>0</v>
      </c>
      <c r="H545" s="6">
        <f t="shared" si="172"/>
        <v>0</v>
      </c>
      <c r="I545" s="6">
        <f t="shared" si="173"/>
        <v>0</v>
      </c>
      <c r="J545" s="6">
        <f t="shared" si="174"/>
        <v>0</v>
      </c>
      <c r="K545" s="6">
        <f t="shared" si="175"/>
        <v>0</v>
      </c>
      <c r="L545" s="6">
        <f t="shared" si="176"/>
        <v>0</v>
      </c>
      <c r="M545" s="6">
        <f t="shared" si="177"/>
        <v>0</v>
      </c>
      <c r="N545" s="6">
        <f t="shared" si="178"/>
        <v>0</v>
      </c>
      <c r="O545" s="6">
        <f t="shared" si="179"/>
        <v>0</v>
      </c>
      <c r="P545" s="6">
        <f t="shared" si="180"/>
        <v>0</v>
      </c>
      <c r="Q545" s="6">
        <f t="shared" si="181"/>
        <v>0</v>
      </c>
      <c r="R545" s="6">
        <f t="shared" si="182"/>
        <v>0</v>
      </c>
      <c r="S545" s="6">
        <f t="shared" si="183"/>
        <v>0</v>
      </c>
      <c r="T545" s="6">
        <f t="shared" si="184"/>
        <v>0</v>
      </c>
      <c r="U545" s="6">
        <f t="shared" si="185"/>
        <v>0</v>
      </c>
      <c r="V545" s="6">
        <f t="shared" si="186"/>
        <v>0</v>
      </c>
      <c r="W545" s="6">
        <f t="shared" si="187"/>
        <v>0</v>
      </c>
      <c r="X545" s="6">
        <f t="shared" si="188"/>
        <v>0</v>
      </c>
      <c r="Y545" s="6">
        <f t="shared" si="189"/>
        <v>0</v>
      </c>
      <c r="AA545" s="6" t="str">
        <f>IF(最佳化斷筋點!C545="","",最佳化斷筋點!C545)</f>
        <v>下層</v>
      </c>
      <c r="AB545" s="6">
        <f>IF(最佳化斷筋點!D545="","",最佳化斷筋點!D545)</f>
        <v>3</v>
      </c>
      <c r="AC545" s="6">
        <f>IF(最佳化斷筋點!E545="","",最佳化斷筋點!E545)</f>
        <v>3</v>
      </c>
      <c r="AD545" s="6">
        <f>IF(最佳化斷筋點!F545="","",最佳化斷筋點!F545)</f>
        <v>3</v>
      </c>
      <c r="AE545" s="6">
        <f>IF(最佳化斷筋點!G545="","",最佳化斷筋點!G545)</f>
        <v>3</v>
      </c>
      <c r="AF545" s="6">
        <f>IF(最佳化斷筋點!H545="","",最佳化斷筋點!H545)</f>
        <v>3</v>
      </c>
      <c r="AG545" s="6">
        <f>IF(最佳化斷筋點!I545="","",最佳化斷筋點!I545)</f>
        <v>3</v>
      </c>
      <c r="AH545" s="6">
        <f>IF(最佳化斷筋點!J545="","",最佳化斷筋點!J545)</f>
        <v>4</v>
      </c>
      <c r="AI545" s="6">
        <f>IF(最佳化斷筋點!K545="","",最佳化斷筋點!K545)</f>
        <v>4</v>
      </c>
      <c r="AJ545" s="6">
        <f>IF(最佳化斷筋點!L545="","",最佳化斷筋點!L545)</f>
        <v>4</v>
      </c>
      <c r="AK545" s="6">
        <f>IF(最佳化斷筋點!M545="","",最佳化斷筋點!M545)</f>
        <v>4</v>
      </c>
      <c r="AL545" s="6">
        <f>IF(最佳化斷筋點!N545="","",最佳化斷筋點!N545)</f>
        <v>4</v>
      </c>
      <c r="AM545" s="6">
        <f>IF(最佳化斷筋點!O545="","",最佳化斷筋點!O545)</f>
        <v>4</v>
      </c>
      <c r="AN545" s="6">
        <f>IF(最佳化斷筋點!P545="","",最佳化斷筋點!P545)</f>
        <v>4</v>
      </c>
      <c r="AO545" s="6">
        <f>IF(最佳化斷筋點!Q545="","",最佳化斷筋點!Q545)</f>
        <v>4</v>
      </c>
      <c r="AP545" s="6">
        <f>IF(最佳化斷筋點!R545="","",最佳化斷筋點!R545)</f>
        <v>4</v>
      </c>
      <c r="AQ545" s="6">
        <f>IF(最佳化斷筋點!S545="","",最佳化斷筋點!S545)</f>
        <v>3</v>
      </c>
      <c r="AR545" s="6">
        <f>IF(最佳化斷筋點!T545="","",最佳化斷筋點!T545)</f>
        <v>3</v>
      </c>
      <c r="AS545" s="6">
        <f>IF(最佳化斷筋點!U545="","",最佳化斷筋點!U545)</f>
        <v>3</v>
      </c>
      <c r="AT545" s="6">
        <f>IF(最佳化斷筋點!V545="","",最佳化斷筋點!V545)</f>
        <v>3</v>
      </c>
      <c r="AU545" s="6">
        <f>IF(最佳化斷筋點!W545="","",最佳化斷筋點!W545)</f>
        <v>3</v>
      </c>
      <c r="AV545" s="6">
        <f>IF(最佳化斷筋點!X545="","",最佳化斷筋點!X545)</f>
        <v>3</v>
      </c>
      <c r="AX545" s="6" t="s">
        <v>51</v>
      </c>
      <c r="AY545" s="6">
        <v>3</v>
      </c>
      <c r="AZ545" s="6">
        <v>3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3</v>
      </c>
      <c r="BO545" s="6">
        <v>3</v>
      </c>
      <c r="BP545" s="6">
        <v>3</v>
      </c>
      <c r="BQ545" s="6">
        <v>3</v>
      </c>
      <c r="BR545" s="6">
        <v>3</v>
      </c>
      <c r="BS545" s="6">
        <v>3</v>
      </c>
    </row>
    <row r="546" spans="4:71" x14ac:dyDescent="0.25">
      <c r="E546" s="6">
        <f t="shared" si="169"/>
        <v>0</v>
      </c>
      <c r="F546" s="6">
        <f t="shared" si="170"/>
        <v>0</v>
      </c>
      <c r="G546" s="6">
        <f t="shared" si="171"/>
        <v>0</v>
      </c>
      <c r="H546" s="6">
        <f t="shared" si="172"/>
        <v>0</v>
      </c>
      <c r="I546" s="6">
        <f t="shared" si="173"/>
        <v>0</v>
      </c>
      <c r="J546" s="6">
        <f t="shared" si="174"/>
        <v>0</v>
      </c>
      <c r="K546" s="6">
        <f t="shared" si="175"/>
        <v>0</v>
      </c>
      <c r="L546" s="6">
        <f t="shared" si="176"/>
        <v>0</v>
      </c>
      <c r="M546" s="6">
        <f t="shared" si="177"/>
        <v>0</v>
      </c>
      <c r="N546" s="6">
        <f t="shared" si="178"/>
        <v>0</v>
      </c>
      <c r="O546" s="6">
        <f t="shared" si="179"/>
        <v>0</v>
      </c>
      <c r="P546" s="6">
        <f t="shared" si="180"/>
        <v>0</v>
      </c>
      <c r="Q546" s="6">
        <f t="shared" si="181"/>
        <v>0</v>
      </c>
      <c r="R546" s="6">
        <f t="shared" si="182"/>
        <v>0</v>
      </c>
      <c r="S546" s="6">
        <f t="shared" si="183"/>
        <v>0</v>
      </c>
      <c r="T546" s="6">
        <f t="shared" si="184"/>
        <v>0</v>
      </c>
      <c r="U546" s="6">
        <f t="shared" si="185"/>
        <v>0</v>
      </c>
      <c r="V546" s="6">
        <f t="shared" si="186"/>
        <v>0</v>
      </c>
      <c r="W546" s="6">
        <f t="shared" si="187"/>
        <v>0</v>
      </c>
      <c r="X546" s="6">
        <f t="shared" si="188"/>
        <v>0</v>
      </c>
      <c r="Y546" s="6">
        <f t="shared" si="189"/>
        <v>0</v>
      </c>
      <c r="AA546" s="6" t="str">
        <f>IF(最佳化斷筋點!C546="","",最佳化斷筋點!C546)</f>
        <v/>
      </c>
      <c r="AB546" s="6" t="str">
        <f>IF(最佳化斷筋點!D546="","",最佳化斷筋點!D546)</f>
        <v/>
      </c>
      <c r="AC546" s="6" t="str">
        <f>IF(最佳化斷筋點!E546="","",最佳化斷筋點!E546)</f>
        <v/>
      </c>
      <c r="AD546" s="6" t="str">
        <f>IF(最佳化斷筋點!F546="","",最佳化斷筋點!F546)</f>
        <v/>
      </c>
      <c r="AE546" s="6" t="str">
        <f>IF(最佳化斷筋點!G546="","",最佳化斷筋點!G546)</f>
        <v/>
      </c>
      <c r="AF546" s="6" t="str">
        <f>IF(最佳化斷筋點!H546="","",最佳化斷筋點!H546)</f>
        <v/>
      </c>
      <c r="AG546" s="6" t="str">
        <f>IF(最佳化斷筋點!I546="","",最佳化斷筋點!I546)</f>
        <v/>
      </c>
      <c r="AH546" s="6" t="str">
        <f>IF(最佳化斷筋點!J546="","",最佳化斷筋點!J546)</f>
        <v/>
      </c>
      <c r="AI546" s="6" t="str">
        <f>IF(最佳化斷筋點!K546="","",最佳化斷筋點!K546)</f>
        <v/>
      </c>
      <c r="AJ546" s="6" t="str">
        <f>IF(最佳化斷筋點!L546="","",最佳化斷筋點!L546)</f>
        <v/>
      </c>
      <c r="AK546" s="6" t="str">
        <f>IF(最佳化斷筋點!M546="","",最佳化斷筋點!M546)</f>
        <v/>
      </c>
      <c r="AL546" s="6" t="str">
        <f>IF(最佳化斷筋點!N546="","",最佳化斷筋點!N546)</f>
        <v/>
      </c>
      <c r="AM546" s="6" t="str">
        <f>IF(最佳化斷筋點!O546="","",最佳化斷筋點!O546)</f>
        <v/>
      </c>
      <c r="AN546" s="6" t="str">
        <f>IF(最佳化斷筋點!P546="","",最佳化斷筋點!P546)</f>
        <v/>
      </c>
      <c r="AO546" s="6" t="str">
        <f>IF(最佳化斷筋點!Q546="","",最佳化斷筋點!Q546)</f>
        <v/>
      </c>
      <c r="AP546" s="6" t="str">
        <f>IF(最佳化斷筋點!R546="","",最佳化斷筋點!R546)</f>
        <v/>
      </c>
      <c r="AQ546" s="6" t="str">
        <f>IF(最佳化斷筋點!S546="","",最佳化斷筋點!S546)</f>
        <v/>
      </c>
      <c r="AR546" s="6" t="str">
        <f>IF(最佳化斷筋點!T546="","",最佳化斷筋點!T546)</f>
        <v/>
      </c>
      <c r="AS546" s="6" t="str">
        <f>IF(最佳化斷筋點!U546="","",最佳化斷筋點!U546)</f>
        <v/>
      </c>
      <c r="AT546" s="6" t="str">
        <f>IF(最佳化斷筋點!V546="","",最佳化斷筋點!V546)</f>
        <v/>
      </c>
      <c r="AU546" s="6" t="str">
        <f>IF(最佳化斷筋點!W546="","",最佳化斷筋點!W546)</f>
        <v/>
      </c>
      <c r="AV546" s="6" t="str">
        <f>IF(最佳化斷筋點!X546="","",最佳化斷筋點!X546)</f>
        <v/>
      </c>
    </row>
    <row r="547" spans="4:71" x14ac:dyDescent="0.25">
      <c r="D547" s="6" t="s">
        <v>50</v>
      </c>
      <c r="E547" s="6">
        <f t="shared" si="169"/>
        <v>0</v>
      </c>
      <c r="F547" s="6">
        <f t="shared" si="170"/>
        <v>0</v>
      </c>
      <c r="G547" s="6">
        <f t="shared" si="171"/>
        <v>0</v>
      </c>
      <c r="H547" s="6">
        <f t="shared" si="172"/>
        <v>0</v>
      </c>
      <c r="I547" s="6">
        <f t="shared" si="173"/>
        <v>0</v>
      </c>
      <c r="J547" s="6">
        <f t="shared" si="174"/>
        <v>0</v>
      </c>
      <c r="K547" s="6">
        <f t="shared" si="175"/>
        <v>0</v>
      </c>
      <c r="L547" s="6">
        <f t="shared" si="176"/>
        <v>0</v>
      </c>
      <c r="M547" s="6">
        <f t="shared" si="177"/>
        <v>0</v>
      </c>
      <c r="N547" s="6">
        <f t="shared" si="178"/>
        <v>0</v>
      </c>
      <c r="O547" s="6">
        <f t="shared" si="179"/>
        <v>0</v>
      </c>
      <c r="P547" s="6">
        <f t="shared" si="180"/>
        <v>0</v>
      </c>
      <c r="Q547" s="6">
        <f t="shared" si="181"/>
        <v>0</v>
      </c>
      <c r="R547" s="6">
        <f t="shared" si="182"/>
        <v>0</v>
      </c>
      <c r="S547" s="6">
        <f t="shared" si="183"/>
        <v>0</v>
      </c>
      <c r="T547" s="6">
        <f t="shared" si="184"/>
        <v>0</v>
      </c>
      <c r="U547" s="6">
        <f t="shared" si="185"/>
        <v>0</v>
      </c>
      <c r="V547" s="6">
        <f t="shared" si="186"/>
        <v>0</v>
      </c>
      <c r="W547" s="6">
        <f t="shared" si="187"/>
        <v>0</v>
      </c>
      <c r="X547" s="6">
        <f t="shared" si="188"/>
        <v>0</v>
      </c>
      <c r="Y547" s="6">
        <f t="shared" si="189"/>
        <v>0</v>
      </c>
      <c r="AA547" s="6" t="str">
        <f>IF(最佳化斷筋點!C547="","",最佳化斷筋點!C547)</f>
        <v>上層</v>
      </c>
      <c r="AB547" s="6">
        <f>IF(最佳化斷筋點!D547="","",最佳化斷筋點!D547)</f>
        <v>8</v>
      </c>
      <c r="AC547" s="6">
        <f>IF(最佳化斷筋點!E547="","",最佳化斷筋點!E547)</f>
        <v>8</v>
      </c>
      <c r="AD547" s="6">
        <f>IF(最佳化斷筋點!F547="","",最佳化斷筋點!F547)</f>
        <v>7</v>
      </c>
      <c r="AE547" s="6">
        <f>IF(最佳化斷筋點!G547="","",最佳化斷筋點!G547)</f>
        <v>6</v>
      </c>
      <c r="AF547" s="6">
        <f>IF(最佳化斷筋點!H547="","",最佳化斷筋點!H547)</f>
        <v>5</v>
      </c>
      <c r="AG547" s="6">
        <f>IF(最佳化斷筋點!I547="","",最佳化斷筋點!I547)</f>
        <v>5</v>
      </c>
      <c r="AH547" s="6">
        <f>IF(最佳化斷筋點!J547="","",最佳化斷筋點!J547)</f>
        <v>4</v>
      </c>
      <c r="AI547" s="6">
        <f>IF(最佳化斷筋點!K547="","",最佳化斷筋點!K547)</f>
        <v>3</v>
      </c>
      <c r="AJ547" s="6">
        <f>IF(最佳化斷筋點!L547="","",最佳化斷筋點!L547)</f>
        <v>2</v>
      </c>
      <c r="AK547" s="6">
        <f>IF(最佳化斷筋點!M547="","",最佳化斷筋點!M547)</f>
        <v>2</v>
      </c>
      <c r="AL547" s="6">
        <f>IF(最佳化斷筋點!N547="","",最佳化斷筋點!N547)</f>
        <v>2</v>
      </c>
      <c r="AM547" s="6">
        <f>IF(最佳化斷筋點!O547="","",最佳化斷筋點!O547)</f>
        <v>2</v>
      </c>
      <c r="AN547" s="6">
        <f>IF(最佳化斷筋點!P547="","",最佳化斷筋點!P547)</f>
        <v>2</v>
      </c>
      <c r="AO547" s="6">
        <f>IF(最佳化斷筋點!Q547="","",最佳化斷筋點!Q547)</f>
        <v>3</v>
      </c>
      <c r="AP547" s="6">
        <f>IF(最佳化斷筋點!R547="","",最佳化斷筋點!R547)</f>
        <v>4</v>
      </c>
      <c r="AQ547" s="6">
        <f>IF(最佳化斷筋點!S547="","",最佳化斷筋點!S547)</f>
        <v>4</v>
      </c>
      <c r="AR547" s="6">
        <f>IF(最佳化斷筋點!T547="","",最佳化斷筋點!T547)</f>
        <v>5</v>
      </c>
      <c r="AS547" s="6">
        <f>IF(最佳化斷筋點!U547="","",最佳化斷筋點!U547)</f>
        <v>6</v>
      </c>
      <c r="AT547" s="6">
        <f>IF(最佳化斷筋點!V547="","",最佳化斷筋點!V547)</f>
        <v>7</v>
      </c>
      <c r="AU547" s="6">
        <f>IF(最佳化斷筋點!W547="","",最佳化斷筋點!W547)</f>
        <v>8</v>
      </c>
      <c r="AV547" s="6">
        <f>IF(最佳化斷筋點!X547="","",最佳化斷筋點!X547)</f>
        <v>8</v>
      </c>
      <c r="AX547" s="6" t="s">
        <v>50</v>
      </c>
      <c r="AY547" s="6">
        <v>8</v>
      </c>
      <c r="AZ547" s="6">
        <v>8</v>
      </c>
      <c r="BA547" s="6">
        <v>7</v>
      </c>
      <c r="BB547" s="6">
        <v>6</v>
      </c>
      <c r="BC547" s="6">
        <v>5</v>
      </c>
      <c r="BD547" s="6">
        <v>5</v>
      </c>
      <c r="BE547" s="6">
        <v>4</v>
      </c>
      <c r="BF547" s="6">
        <v>3</v>
      </c>
      <c r="BG547" s="6">
        <v>2</v>
      </c>
      <c r="BH547" s="6">
        <v>2</v>
      </c>
      <c r="BI547" s="6">
        <v>2</v>
      </c>
      <c r="BJ547" s="6">
        <v>2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</row>
    <row r="548" spans="4:71" x14ac:dyDescent="0.25">
      <c r="E548" s="6">
        <f t="shared" si="169"/>
        <v>0</v>
      </c>
      <c r="F548" s="6">
        <f t="shared" si="170"/>
        <v>0</v>
      </c>
      <c r="G548" s="6">
        <f t="shared" si="171"/>
        <v>0</v>
      </c>
      <c r="H548" s="6">
        <f t="shared" si="172"/>
        <v>0</v>
      </c>
      <c r="I548" s="6">
        <f t="shared" si="173"/>
        <v>0</v>
      </c>
      <c r="J548" s="6">
        <f t="shared" si="174"/>
        <v>0</v>
      </c>
      <c r="K548" s="6">
        <f t="shared" si="175"/>
        <v>0</v>
      </c>
      <c r="L548" s="6">
        <f t="shared" si="176"/>
        <v>0</v>
      </c>
      <c r="M548" s="6">
        <f t="shared" si="177"/>
        <v>0</v>
      </c>
      <c r="N548" s="6">
        <f t="shared" si="178"/>
        <v>0</v>
      </c>
      <c r="O548" s="6">
        <f t="shared" si="179"/>
        <v>0</v>
      </c>
      <c r="P548" s="6">
        <f t="shared" si="180"/>
        <v>0</v>
      </c>
      <c r="Q548" s="6">
        <f t="shared" si="181"/>
        <v>0</v>
      </c>
      <c r="R548" s="6">
        <f t="shared" si="182"/>
        <v>0</v>
      </c>
      <c r="S548" s="6">
        <f t="shared" si="183"/>
        <v>0</v>
      </c>
      <c r="T548" s="6">
        <f t="shared" si="184"/>
        <v>0</v>
      </c>
      <c r="U548" s="6">
        <f t="shared" si="185"/>
        <v>0</v>
      </c>
      <c r="V548" s="6">
        <f t="shared" si="186"/>
        <v>0</v>
      </c>
      <c r="W548" s="6">
        <f t="shared" si="187"/>
        <v>0</v>
      </c>
      <c r="X548" s="6">
        <f t="shared" si="188"/>
        <v>0</v>
      </c>
      <c r="Y548" s="6">
        <f t="shared" si="189"/>
        <v>0</v>
      </c>
      <c r="AA548" s="6" t="str">
        <f>IF(最佳化斷筋點!C548="","",最佳化斷筋點!C548)</f>
        <v/>
      </c>
      <c r="AB548" s="6" t="str">
        <f>IF(最佳化斷筋點!D548="","",最佳化斷筋點!D548)</f>
        <v/>
      </c>
      <c r="AC548" s="6" t="str">
        <f>IF(最佳化斷筋點!E548="","",最佳化斷筋點!E548)</f>
        <v/>
      </c>
      <c r="AD548" s="6" t="str">
        <f>IF(最佳化斷筋點!F548="","",最佳化斷筋點!F548)</f>
        <v/>
      </c>
      <c r="AE548" s="6" t="str">
        <f>IF(最佳化斷筋點!G548="","",最佳化斷筋點!G548)</f>
        <v/>
      </c>
      <c r="AF548" s="6" t="str">
        <f>IF(最佳化斷筋點!H548="","",最佳化斷筋點!H548)</f>
        <v/>
      </c>
      <c r="AG548" s="6" t="str">
        <f>IF(最佳化斷筋點!I548="","",最佳化斷筋點!I548)</f>
        <v/>
      </c>
      <c r="AH548" s="6" t="str">
        <f>IF(最佳化斷筋點!J548="","",最佳化斷筋點!J548)</f>
        <v/>
      </c>
      <c r="AI548" s="6" t="str">
        <f>IF(最佳化斷筋點!K548="","",最佳化斷筋點!K548)</f>
        <v/>
      </c>
      <c r="AJ548" s="6" t="str">
        <f>IF(最佳化斷筋點!L548="","",最佳化斷筋點!L548)</f>
        <v/>
      </c>
      <c r="AK548" s="6" t="str">
        <f>IF(最佳化斷筋點!M548="","",最佳化斷筋點!M548)</f>
        <v/>
      </c>
      <c r="AL548" s="6" t="str">
        <f>IF(最佳化斷筋點!N548="","",最佳化斷筋點!N548)</f>
        <v/>
      </c>
      <c r="AM548" s="6" t="str">
        <f>IF(最佳化斷筋點!O548="","",最佳化斷筋點!O548)</f>
        <v/>
      </c>
      <c r="AN548" s="6" t="str">
        <f>IF(最佳化斷筋點!P548="","",最佳化斷筋點!P548)</f>
        <v/>
      </c>
      <c r="AO548" s="6" t="str">
        <f>IF(最佳化斷筋點!Q548="","",最佳化斷筋點!Q548)</f>
        <v/>
      </c>
      <c r="AP548" s="6" t="str">
        <f>IF(最佳化斷筋點!R548="","",最佳化斷筋點!R548)</f>
        <v/>
      </c>
      <c r="AQ548" s="6" t="str">
        <f>IF(最佳化斷筋點!S548="","",最佳化斷筋點!S548)</f>
        <v/>
      </c>
      <c r="AR548" s="6" t="str">
        <f>IF(最佳化斷筋點!T548="","",最佳化斷筋點!T548)</f>
        <v/>
      </c>
      <c r="AS548" s="6" t="str">
        <f>IF(最佳化斷筋點!U548="","",最佳化斷筋點!U548)</f>
        <v/>
      </c>
      <c r="AT548" s="6" t="str">
        <f>IF(最佳化斷筋點!V548="","",最佳化斷筋點!V548)</f>
        <v/>
      </c>
      <c r="AU548" s="6" t="str">
        <f>IF(最佳化斷筋點!W548="","",最佳化斷筋點!W548)</f>
        <v/>
      </c>
      <c r="AV548" s="6" t="str">
        <f>IF(最佳化斷筋點!X548="","",最佳化斷筋點!X548)</f>
        <v/>
      </c>
    </row>
    <row r="549" spans="4:71" x14ac:dyDescent="0.25">
      <c r="D549" s="6" t="s">
        <v>51</v>
      </c>
      <c r="E549" s="6">
        <f t="shared" si="169"/>
        <v>0</v>
      </c>
      <c r="F549" s="6">
        <f t="shared" si="170"/>
        <v>0</v>
      </c>
      <c r="G549" s="6">
        <f t="shared" si="171"/>
        <v>0</v>
      </c>
      <c r="H549" s="6">
        <f t="shared" si="172"/>
        <v>0</v>
      </c>
      <c r="I549" s="6">
        <f t="shared" si="173"/>
        <v>0</v>
      </c>
      <c r="J549" s="6">
        <f t="shared" si="174"/>
        <v>0</v>
      </c>
      <c r="K549" s="6">
        <f t="shared" si="175"/>
        <v>0</v>
      </c>
      <c r="L549" s="6">
        <f t="shared" si="176"/>
        <v>0</v>
      </c>
      <c r="M549" s="6">
        <f t="shared" si="177"/>
        <v>0</v>
      </c>
      <c r="N549" s="6">
        <f t="shared" si="178"/>
        <v>0</v>
      </c>
      <c r="O549" s="6">
        <f t="shared" si="179"/>
        <v>0</v>
      </c>
      <c r="P549" s="6">
        <f t="shared" si="180"/>
        <v>0</v>
      </c>
      <c r="Q549" s="6">
        <f t="shared" si="181"/>
        <v>0</v>
      </c>
      <c r="R549" s="6">
        <f t="shared" si="182"/>
        <v>0</v>
      </c>
      <c r="S549" s="6">
        <f t="shared" si="183"/>
        <v>0</v>
      </c>
      <c r="T549" s="6">
        <f t="shared" si="184"/>
        <v>0</v>
      </c>
      <c r="U549" s="6">
        <f t="shared" si="185"/>
        <v>0</v>
      </c>
      <c r="V549" s="6">
        <f t="shared" si="186"/>
        <v>0</v>
      </c>
      <c r="W549" s="6">
        <f t="shared" si="187"/>
        <v>0</v>
      </c>
      <c r="X549" s="6">
        <f t="shared" si="188"/>
        <v>0</v>
      </c>
      <c r="Y549" s="6">
        <f t="shared" si="189"/>
        <v>0</v>
      </c>
      <c r="AA549" s="6" t="str">
        <f>IF(最佳化斷筋點!C549="","",最佳化斷筋點!C549)</f>
        <v>下層</v>
      </c>
      <c r="AB549" s="6">
        <f>IF(最佳化斷筋點!D549="","",最佳化斷筋點!D549)</f>
        <v>5</v>
      </c>
      <c r="AC549" s="6">
        <f>IF(最佳化斷筋點!E549="","",最佳化斷筋點!E549)</f>
        <v>5</v>
      </c>
      <c r="AD549" s="6">
        <f>IF(最佳化斷筋點!F549="","",最佳化斷筋點!F549)</f>
        <v>4</v>
      </c>
      <c r="AE549" s="6">
        <f>IF(最佳化斷筋點!G549="","",最佳化斷筋點!G549)</f>
        <v>4</v>
      </c>
      <c r="AF549" s="6">
        <f>IF(最佳化斷筋點!H549="","",最佳化斷筋點!H549)</f>
        <v>4</v>
      </c>
      <c r="AG549" s="6">
        <f>IF(最佳化斷筋點!I549="","",最佳化斷筋點!I549)</f>
        <v>5</v>
      </c>
      <c r="AH549" s="6">
        <f>IF(最佳化斷筋點!J549="","",最佳化斷筋點!J549)</f>
        <v>6</v>
      </c>
      <c r="AI549" s="6">
        <f>IF(最佳化斷筋點!K549="","",最佳化斷筋點!K549)</f>
        <v>6</v>
      </c>
      <c r="AJ549" s="6">
        <f>IF(最佳化斷筋點!L549="","",最佳化斷筋點!L549)</f>
        <v>6</v>
      </c>
      <c r="AK549" s="6">
        <f>IF(最佳化斷筋點!M549="","",最佳化斷筋點!M549)</f>
        <v>6</v>
      </c>
      <c r="AL549" s="6">
        <f>IF(最佳化斷筋點!N549="","",最佳化斷筋點!N549)</f>
        <v>6</v>
      </c>
      <c r="AM549" s="6">
        <f>IF(最佳化斷筋點!O549="","",最佳化斷筋點!O549)</f>
        <v>6</v>
      </c>
      <c r="AN549" s="6">
        <f>IF(最佳化斷筋點!P549="","",最佳化斷筋點!P549)</f>
        <v>6</v>
      </c>
      <c r="AO549" s="6">
        <f>IF(最佳化斷筋點!Q549="","",最佳化斷筋點!Q549)</f>
        <v>6</v>
      </c>
      <c r="AP549" s="6">
        <f>IF(最佳化斷筋點!R549="","",最佳化斷筋點!R549)</f>
        <v>6</v>
      </c>
      <c r="AQ549" s="6">
        <f>IF(最佳化斷筋點!S549="","",最佳化斷筋點!S549)</f>
        <v>5</v>
      </c>
      <c r="AR549" s="6">
        <f>IF(最佳化斷筋點!T549="","",最佳化斷筋點!T549)</f>
        <v>4</v>
      </c>
      <c r="AS549" s="6">
        <f>IF(最佳化斷筋點!U549="","",最佳化斷筋點!U549)</f>
        <v>4</v>
      </c>
      <c r="AT549" s="6">
        <f>IF(最佳化斷筋點!V549="","",最佳化斷筋點!V549)</f>
        <v>4</v>
      </c>
      <c r="AU549" s="6">
        <f>IF(最佳化斷筋點!W549="","",最佳化斷筋點!W549)</f>
        <v>5</v>
      </c>
      <c r="AV549" s="6">
        <f>IF(最佳化斷筋點!X549="","",最佳化斷筋點!X549)</f>
        <v>5</v>
      </c>
      <c r="AX549" s="6" t="s">
        <v>51</v>
      </c>
      <c r="AY549" s="6">
        <v>5</v>
      </c>
      <c r="AZ549" s="6">
        <v>5</v>
      </c>
      <c r="BA549" s="6">
        <v>4</v>
      </c>
      <c r="BB549" s="6">
        <v>4</v>
      </c>
      <c r="BC549" s="6">
        <v>4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5</v>
      </c>
      <c r="BO549" s="6">
        <v>4</v>
      </c>
      <c r="BP549" s="6">
        <v>4</v>
      </c>
      <c r="BQ549" s="6">
        <v>4</v>
      </c>
      <c r="BR549" s="6">
        <v>5</v>
      </c>
      <c r="BS549" s="6">
        <v>5</v>
      </c>
    </row>
    <row r="550" spans="4:71" x14ac:dyDescent="0.25">
      <c r="E550" s="6">
        <f t="shared" si="169"/>
        <v>0</v>
      </c>
      <c r="F550" s="6">
        <f t="shared" si="170"/>
        <v>0</v>
      </c>
      <c r="G550" s="6">
        <f t="shared" si="171"/>
        <v>0</v>
      </c>
      <c r="H550" s="6">
        <f t="shared" si="172"/>
        <v>0</v>
      </c>
      <c r="I550" s="6">
        <f t="shared" si="173"/>
        <v>0</v>
      </c>
      <c r="J550" s="6">
        <f t="shared" si="174"/>
        <v>0</v>
      </c>
      <c r="K550" s="6">
        <f t="shared" si="175"/>
        <v>0</v>
      </c>
      <c r="L550" s="6">
        <f t="shared" si="176"/>
        <v>0</v>
      </c>
      <c r="M550" s="6">
        <f t="shared" si="177"/>
        <v>0</v>
      </c>
      <c r="N550" s="6">
        <f t="shared" si="178"/>
        <v>0</v>
      </c>
      <c r="O550" s="6">
        <f t="shared" si="179"/>
        <v>0</v>
      </c>
      <c r="P550" s="6">
        <f t="shared" si="180"/>
        <v>0</v>
      </c>
      <c r="Q550" s="6">
        <f t="shared" si="181"/>
        <v>0</v>
      </c>
      <c r="R550" s="6">
        <f t="shared" si="182"/>
        <v>0</v>
      </c>
      <c r="S550" s="6">
        <f t="shared" si="183"/>
        <v>0</v>
      </c>
      <c r="T550" s="6">
        <f t="shared" si="184"/>
        <v>0</v>
      </c>
      <c r="U550" s="6">
        <f t="shared" si="185"/>
        <v>0</v>
      </c>
      <c r="V550" s="6">
        <f t="shared" si="186"/>
        <v>0</v>
      </c>
      <c r="W550" s="6">
        <f t="shared" si="187"/>
        <v>0</v>
      </c>
      <c r="X550" s="6">
        <f t="shared" si="188"/>
        <v>0</v>
      </c>
      <c r="Y550" s="6">
        <f t="shared" si="189"/>
        <v>0</v>
      </c>
      <c r="AA550" s="6" t="str">
        <f>IF(最佳化斷筋點!C550="","",最佳化斷筋點!C550)</f>
        <v/>
      </c>
      <c r="AB550" s="6" t="str">
        <f>IF(最佳化斷筋點!D550="","",最佳化斷筋點!D550)</f>
        <v/>
      </c>
      <c r="AC550" s="6" t="str">
        <f>IF(最佳化斷筋點!E550="","",最佳化斷筋點!E550)</f>
        <v/>
      </c>
      <c r="AD550" s="6" t="str">
        <f>IF(最佳化斷筋點!F550="","",最佳化斷筋點!F550)</f>
        <v/>
      </c>
      <c r="AE550" s="6" t="str">
        <f>IF(最佳化斷筋點!G550="","",最佳化斷筋點!G550)</f>
        <v/>
      </c>
      <c r="AF550" s="6" t="str">
        <f>IF(最佳化斷筋點!H550="","",最佳化斷筋點!H550)</f>
        <v/>
      </c>
      <c r="AG550" s="6" t="str">
        <f>IF(最佳化斷筋點!I550="","",最佳化斷筋點!I550)</f>
        <v/>
      </c>
      <c r="AH550" s="6" t="str">
        <f>IF(最佳化斷筋點!J550="","",最佳化斷筋點!J550)</f>
        <v/>
      </c>
      <c r="AI550" s="6" t="str">
        <f>IF(最佳化斷筋點!K550="","",最佳化斷筋點!K550)</f>
        <v/>
      </c>
      <c r="AJ550" s="6" t="str">
        <f>IF(最佳化斷筋點!L550="","",最佳化斷筋點!L550)</f>
        <v/>
      </c>
      <c r="AK550" s="6" t="str">
        <f>IF(最佳化斷筋點!M550="","",最佳化斷筋點!M550)</f>
        <v/>
      </c>
      <c r="AL550" s="6" t="str">
        <f>IF(最佳化斷筋點!N550="","",最佳化斷筋點!N550)</f>
        <v/>
      </c>
      <c r="AM550" s="6" t="str">
        <f>IF(最佳化斷筋點!O550="","",最佳化斷筋點!O550)</f>
        <v/>
      </c>
      <c r="AN550" s="6" t="str">
        <f>IF(最佳化斷筋點!P550="","",最佳化斷筋點!P550)</f>
        <v/>
      </c>
      <c r="AO550" s="6" t="str">
        <f>IF(最佳化斷筋點!Q550="","",最佳化斷筋點!Q550)</f>
        <v/>
      </c>
      <c r="AP550" s="6" t="str">
        <f>IF(最佳化斷筋點!R550="","",最佳化斷筋點!R550)</f>
        <v/>
      </c>
      <c r="AQ550" s="6" t="str">
        <f>IF(最佳化斷筋點!S550="","",最佳化斷筋點!S550)</f>
        <v/>
      </c>
      <c r="AR550" s="6" t="str">
        <f>IF(最佳化斷筋點!T550="","",最佳化斷筋點!T550)</f>
        <v/>
      </c>
      <c r="AS550" s="6" t="str">
        <f>IF(最佳化斷筋點!U550="","",最佳化斷筋點!U550)</f>
        <v/>
      </c>
      <c r="AT550" s="6" t="str">
        <f>IF(最佳化斷筋點!V550="","",最佳化斷筋點!V550)</f>
        <v/>
      </c>
      <c r="AU550" s="6" t="str">
        <f>IF(最佳化斷筋點!W550="","",最佳化斷筋點!W550)</f>
        <v/>
      </c>
      <c r="AV550" s="6" t="str">
        <f>IF(最佳化斷筋點!X550="","",最佳化斷筋點!X550)</f>
        <v/>
      </c>
    </row>
    <row r="551" spans="4:71" x14ac:dyDescent="0.25">
      <c r="D551" s="6" t="s">
        <v>50</v>
      </c>
      <c r="E551" s="6">
        <f t="shared" si="169"/>
        <v>0</v>
      </c>
      <c r="F551" s="6">
        <f t="shared" si="170"/>
        <v>0</v>
      </c>
      <c r="G551" s="6">
        <f t="shared" si="171"/>
        <v>0</v>
      </c>
      <c r="H551" s="6">
        <f t="shared" si="172"/>
        <v>0</v>
      </c>
      <c r="I551" s="6">
        <f t="shared" si="173"/>
        <v>0</v>
      </c>
      <c r="J551" s="6">
        <f t="shared" si="174"/>
        <v>0</v>
      </c>
      <c r="K551" s="6">
        <f t="shared" si="175"/>
        <v>0</v>
      </c>
      <c r="L551" s="6">
        <f t="shared" si="176"/>
        <v>0</v>
      </c>
      <c r="M551" s="6">
        <f t="shared" si="177"/>
        <v>0</v>
      </c>
      <c r="N551" s="6">
        <f t="shared" si="178"/>
        <v>0</v>
      </c>
      <c r="O551" s="6">
        <f t="shared" si="179"/>
        <v>0</v>
      </c>
      <c r="P551" s="6">
        <f t="shared" si="180"/>
        <v>0</v>
      </c>
      <c r="Q551" s="6">
        <f t="shared" si="181"/>
        <v>0</v>
      </c>
      <c r="R551" s="6">
        <f t="shared" si="182"/>
        <v>0</v>
      </c>
      <c r="S551" s="6">
        <f t="shared" si="183"/>
        <v>0</v>
      </c>
      <c r="T551" s="6">
        <f t="shared" si="184"/>
        <v>0</v>
      </c>
      <c r="U551" s="6">
        <f t="shared" si="185"/>
        <v>0</v>
      </c>
      <c r="V551" s="6">
        <f t="shared" si="186"/>
        <v>0</v>
      </c>
      <c r="W551" s="6">
        <f t="shared" si="187"/>
        <v>0</v>
      </c>
      <c r="X551" s="6">
        <f t="shared" si="188"/>
        <v>0</v>
      </c>
      <c r="Y551" s="6">
        <f t="shared" si="189"/>
        <v>0</v>
      </c>
      <c r="AA551" s="6" t="str">
        <f>IF(最佳化斷筋點!C551="","",最佳化斷筋點!C551)</f>
        <v>上層</v>
      </c>
      <c r="AB551" s="6">
        <f>IF(最佳化斷筋點!D551="","",最佳化斷筋點!D551)</f>
        <v>9</v>
      </c>
      <c r="AC551" s="6">
        <f>IF(最佳化斷筋點!E551="","",最佳化斷筋點!E551)</f>
        <v>9</v>
      </c>
      <c r="AD551" s="6">
        <f>IF(最佳化斷筋點!F551="","",最佳化斷筋點!F551)</f>
        <v>8</v>
      </c>
      <c r="AE551" s="6">
        <f>IF(最佳化斷筋點!G551="","",最佳化斷筋點!G551)</f>
        <v>7</v>
      </c>
      <c r="AF551" s="6">
        <f>IF(最佳化斷筋點!H551="","",最佳化斷筋點!H551)</f>
        <v>6</v>
      </c>
      <c r="AG551" s="6">
        <f>IF(最佳化斷筋點!I551="","",最佳化斷筋點!I551)</f>
        <v>5</v>
      </c>
      <c r="AH551" s="6">
        <f>IF(最佳化斷筋點!J551="","",最佳化斷筋點!J551)</f>
        <v>4</v>
      </c>
      <c r="AI551" s="6">
        <f>IF(最佳化斷筋點!K551="","",最佳化斷筋點!K551)</f>
        <v>3</v>
      </c>
      <c r="AJ551" s="6">
        <f>IF(最佳化斷筋點!L551="","",最佳化斷筋點!L551)</f>
        <v>2</v>
      </c>
      <c r="AK551" s="6">
        <f>IF(最佳化斷筋點!M551="","",最佳化斷筋點!M551)</f>
        <v>2</v>
      </c>
      <c r="AL551" s="6">
        <f>IF(最佳化斷筋點!N551="","",最佳化斷筋點!N551)</f>
        <v>2</v>
      </c>
      <c r="AM551" s="6">
        <f>IF(最佳化斷筋點!O551="","",最佳化斷筋點!O551)</f>
        <v>2</v>
      </c>
      <c r="AN551" s="6">
        <f>IF(最佳化斷筋點!P551="","",最佳化斷筋點!P551)</f>
        <v>2</v>
      </c>
      <c r="AO551" s="6">
        <f>IF(最佳化斷筋點!Q551="","",最佳化斷筋點!Q551)</f>
        <v>3</v>
      </c>
      <c r="AP551" s="6">
        <f>IF(最佳化斷筋點!R551="","",最佳化斷筋點!R551)</f>
        <v>4</v>
      </c>
      <c r="AQ551" s="6">
        <f>IF(最佳化斷筋點!S551="","",最佳化斷筋點!S551)</f>
        <v>4</v>
      </c>
      <c r="AR551" s="6">
        <f>IF(最佳化斷筋點!T551="","",最佳化斷筋點!T551)</f>
        <v>5</v>
      </c>
      <c r="AS551" s="6">
        <f>IF(最佳化斷筋點!U551="","",最佳化斷筋點!U551)</f>
        <v>6</v>
      </c>
      <c r="AT551" s="6">
        <f>IF(最佳化斷筋點!V551="","",最佳化斷筋點!V551)</f>
        <v>7</v>
      </c>
      <c r="AU551" s="6">
        <f>IF(最佳化斷筋點!W551="","",最佳化斷筋點!W551)</f>
        <v>8</v>
      </c>
      <c r="AV551" s="6">
        <f>IF(最佳化斷筋點!X551="","",最佳化斷筋點!X551)</f>
        <v>8</v>
      </c>
      <c r="AX551" s="6" t="s">
        <v>50</v>
      </c>
      <c r="AY551" s="6">
        <v>9</v>
      </c>
      <c r="AZ551" s="6">
        <v>9</v>
      </c>
      <c r="BA551" s="6">
        <v>8</v>
      </c>
      <c r="BB551" s="6">
        <v>7</v>
      </c>
      <c r="BC551" s="6">
        <v>6</v>
      </c>
      <c r="BD551" s="6">
        <v>5</v>
      </c>
      <c r="BE551" s="6">
        <v>4</v>
      </c>
      <c r="BF551" s="6">
        <v>3</v>
      </c>
      <c r="BG551" s="6">
        <v>2</v>
      </c>
      <c r="BH551" s="6">
        <v>2</v>
      </c>
      <c r="BI551" s="6">
        <v>2</v>
      </c>
      <c r="BJ551" s="6">
        <v>2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</row>
    <row r="552" spans="4:71" x14ac:dyDescent="0.25">
      <c r="E552" s="6">
        <f t="shared" si="169"/>
        <v>0</v>
      </c>
      <c r="F552" s="6">
        <f t="shared" si="170"/>
        <v>0</v>
      </c>
      <c r="G552" s="6">
        <f t="shared" si="171"/>
        <v>0</v>
      </c>
      <c r="H552" s="6">
        <f t="shared" si="172"/>
        <v>0</v>
      </c>
      <c r="I552" s="6">
        <f t="shared" si="173"/>
        <v>0</v>
      </c>
      <c r="J552" s="6">
        <f t="shared" si="174"/>
        <v>0</v>
      </c>
      <c r="K552" s="6">
        <f t="shared" si="175"/>
        <v>0</v>
      </c>
      <c r="L552" s="6">
        <f t="shared" si="176"/>
        <v>0</v>
      </c>
      <c r="M552" s="6">
        <f t="shared" si="177"/>
        <v>0</v>
      </c>
      <c r="N552" s="6">
        <f t="shared" si="178"/>
        <v>0</v>
      </c>
      <c r="O552" s="6">
        <f t="shared" si="179"/>
        <v>0</v>
      </c>
      <c r="P552" s="6">
        <f t="shared" si="180"/>
        <v>0</v>
      </c>
      <c r="Q552" s="6">
        <f t="shared" si="181"/>
        <v>0</v>
      </c>
      <c r="R552" s="6">
        <f t="shared" si="182"/>
        <v>0</v>
      </c>
      <c r="S552" s="6">
        <f t="shared" si="183"/>
        <v>0</v>
      </c>
      <c r="T552" s="6">
        <f t="shared" si="184"/>
        <v>0</v>
      </c>
      <c r="U552" s="6">
        <f t="shared" si="185"/>
        <v>0</v>
      </c>
      <c r="V552" s="6">
        <f t="shared" si="186"/>
        <v>0</v>
      </c>
      <c r="W552" s="6">
        <f t="shared" si="187"/>
        <v>0</v>
      </c>
      <c r="X552" s="6">
        <f t="shared" si="188"/>
        <v>0</v>
      </c>
      <c r="Y552" s="6">
        <f t="shared" si="189"/>
        <v>0</v>
      </c>
      <c r="AA552" s="6" t="str">
        <f>IF(最佳化斷筋點!C552="","",最佳化斷筋點!C552)</f>
        <v/>
      </c>
      <c r="AB552" s="6" t="str">
        <f>IF(最佳化斷筋點!D552="","",最佳化斷筋點!D552)</f>
        <v/>
      </c>
      <c r="AC552" s="6" t="str">
        <f>IF(最佳化斷筋點!E552="","",最佳化斷筋點!E552)</f>
        <v/>
      </c>
      <c r="AD552" s="6" t="str">
        <f>IF(最佳化斷筋點!F552="","",最佳化斷筋點!F552)</f>
        <v/>
      </c>
      <c r="AE552" s="6" t="str">
        <f>IF(最佳化斷筋點!G552="","",最佳化斷筋點!G552)</f>
        <v/>
      </c>
      <c r="AF552" s="6" t="str">
        <f>IF(最佳化斷筋點!H552="","",最佳化斷筋點!H552)</f>
        <v/>
      </c>
      <c r="AG552" s="6" t="str">
        <f>IF(最佳化斷筋點!I552="","",最佳化斷筋點!I552)</f>
        <v/>
      </c>
      <c r="AH552" s="6" t="str">
        <f>IF(最佳化斷筋點!J552="","",最佳化斷筋點!J552)</f>
        <v/>
      </c>
      <c r="AI552" s="6" t="str">
        <f>IF(最佳化斷筋點!K552="","",最佳化斷筋點!K552)</f>
        <v/>
      </c>
      <c r="AJ552" s="6" t="str">
        <f>IF(最佳化斷筋點!L552="","",最佳化斷筋點!L552)</f>
        <v/>
      </c>
      <c r="AK552" s="6" t="str">
        <f>IF(最佳化斷筋點!M552="","",最佳化斷筋點!M552)</f>
        <v/>
      </c>
      <c r="AL552" s="6" t="str">
        <f>IF(最佳化斷筋點!N552="","",最佳化斷筋點!N552)</f>
        <v/>
      </c>
      <c r="AM552" s="6" t="str">
        <f>IF(最佳化斷筋點!O552="","",最佳化斷筋點!O552)</f>
        <v/>
      </c>
      <c r="AN552" s="6" t="str">
        <f>IF(最佳化斷筋點!P552="","",最佳化斷筋點!P552)</f>
        <v/>
      </c>
      <c r="AO552" s="6" t="str">
        <f>IF(最佳化斷筋點!Q552="","",最佳化斷筋點!Q552)</f>
        <v/>
      </c>
      <c r="AP552" s="6" t="str">
        <f>IF(最佳化斷筋點!R552="","",最佳化斷筋點!R552)</f>
        <v/>
      </c>
      <c r="AQ552" s="6" t="str">
        <f>IF(最佳化斷筋點!S552="","",最佳化斷筋點!S552)</f>
        <v/>
      </c>
      <c r="AR552" s="6" t="str">
        <f>IF(最佳化斷筋點!T552="","",最佳化斷筋點!T552)</f>
        <v/>
      </c>
      <c r="AS552" s="6" t="str">
        <f>IF(最佳化斷筋點!U552="","",最佳化斷筋點!U552)</f>
        <v/>
      </c>
      <c r="AT552" s="6" t="str">
        <f>IF(最佳化斷筋點!V552="","",最佳化斷筋點!V552)</f>
        <v/>
      </c>
      <c r="AU552" s="6" t="str">
        <f>IF(最佳化斷筋點!W552="","",最佳化斷筋點!W552)</f>
        <v/>
      </c>
      <c r="AV552" s="6" t="str">
        <f>IF(最佳化斷筋點!X552="","",最佳化斷筋點!X552)</f>
        <v/>
      </c>
    </row>
    <row r="553" spans="4:71" x14ac:dyDescent="0.25">
      <c r="D553" s="6" t="s">
        <v>51</v>
      </c>
      <c r="E553" s="6">
        <f t="shared" si="169"/>
        <v>0</v>
      </c>
      <c r="F553" s="6">
        <f t="shared" si="170"/>
        <v>0</v>
      </c>
      <c r="G553" s="6">
        <f t="shared" si="171"/>
        <v>0</v>
      </c>
      <c r="H553" s="6">
        <f t="shared" si="172"/>
        <v>0</v>
      </c>
      <c r="I553" s="6">
        <f t="shared" si="173"/>
        <v>0</v>
      </c>
      <c r="J553" s="6">
        <f t="shared" si="174"/>
        <v>0</v>
      </c>
      <c r="K553" s="6">
        <f t="shared" si="175"/>
        <v>0</v>
      </c>
      <c r="L553" s="6">
        <f t="shared" si="176"/>
        <v>0</v>
      </c>
      <c r="M553" s="6">
        <f t="shared" si="177"/>
        <v>0</v>
      </c>
      <c r="N553" s="6">
        <f t="shared" si="178"/>
        <v>0</v>
      </c>
      <c r="O553" s="6">
        <f t="shared" si="179"/>
        <v>0</v>
      </c>
      <c r="P553" s="6">
        <f t="shared" si="180"/>
        <v>0</v>
      </c>
      <c r="Q553" s="6">
        <f t="shared" si="181"/>
        <v>0</v>
      </c>
      <c r="R553" s="6">
        <f t="shared" si="182"/>
        <v>0</v>
      </c>
      <c r="S553" s="6">
        <f t="shared" si="183"/>
        <v>0</v>
      </c>
      <c r="T553" s="6">
        <f t="shared" si="184"/>
        <v>0</v>
      </c>
      <c r="U553" s="6">
        <f t="shared" si="185"/>
        <v>0</v>
      </c>
      <c r="V553" s="6">
        <f t="shared" si="186"/>
        <v>0</v>
      </c>
      <c r="W553" s="6">
        <f t="shared" si="187"/>
        <v>0</v>
      </c>
      <c r="X553" s="6">
        <f t="shared" si="188"/>
        <v>0</v>
      </c>
      <c r="Y553" s="6">
        <f t="shared" si="189"/>
        <v>0</v>
      </c>
      <c r="AA553" s="6" t="str">
        <f>IF(最佳化斷筋點!C553="","",最佳化斷筋點!C553)</f>
        <v>下層</v>
      </c>
      <c r="AB553" s="6">
        <f>IF(最佳化斷筋點!D553="","",最佳化斷筋點!D553)</f>
        <v>5</v>
      </c>
      <c r="AC553" s="6">
        <f>IF(最佳化斷筋點!E553="","",最佳化斷筋點!E553)</f>
        <v>5</v>
      </c>
      <c r="AD553" s="6">
        <f>IF(最佳化斷筋點!F553="","",最佳化斷筋點!F553)</f>
        <v>4</v>
      </c>
      <c r="AE553" s="6">
        <f>IF(最佳化斷筋點!G553="","",最佳化斷筋點!G553)</f>
        <v>4</v>
      </c>
      <c r="AF553" s="6">
        <f>IF(最佳化斷筋點!H553="","",最佳化斷筋點!H553)</f>
        <v>4</v>
      </c>
      <c r="AG553" s="6">
        <f>IF(最佳化斷筋點!I553="","",最佳化斷筋點!I553)</f>
        <v>5</v>
      </c>
      <c r="AH553" s="6">
        <f>IF(最佳化斷筋點!J553="","",最佳化斷筋點!J553)</f>
        <v>6</v>
      </c>
      <c r="AI553" s="6">
        <f>IF(最佳化斷筋點!K553="","",最佳化斷筋點!K553)</f>
        <v>6</v>
      </c>
      <c r="AJ553" s="6">
        <f>IF(最佳化斷筋點!L553="","",最佳化斷筋點!L553)</f>
        <v>6</v>
      </c>
      <c r="AK553" s="6">
        <f>IF(最佳化斷筋點!M553="","",最佳化斷筋點!M553)</f>
        <v>6</v>
      </c>
      <c r="AL553" s="6">
        <f>IF(最佳化斷筋點!N553="","",最佳化斷筋點!N553)</f>
        <v>6</v>
      </c>
      <c r="AM553" s="6">
        <f>IF(最佳化斷筋點!O553="","",最佳化斷筋點!O553)</f>
        <v>6</v>
      </c>
      <c r="AN553" s="6">
        <f>IF(最佳化斷筋點!P553="","",最佳化斷筋點!P553)</f>
        <v>6</v>
      </c>
      <c r="AO553" s="6">
        <f>IF(最佳化斷筋點!Q553="","",最佳化斷筋點!Q553)</f>
        <v>6</v>
      </c>
      <c r="AP553" s="6">
        <f>IF(最佳化斷筋點!R553="","",最佳化斷筋點!R553)</f>
        <v>6</v>
      </c>
      <c r="AQ553" s="6">
        <f>IF(最佳化斷筋點!S553="","",最佳化斷筋點!S553)</f>
        <v>5</v>
      </c>
      <c r="AR553" s="6">
        <f>IF(最佳化斷筋點!T553="","",最佳化斷筋點!T553)</f>
        <v>4</v>
      </c>
      <c r="AS553" s="6">
        <f>IF(最佳化斷筋點!U553="","",最佳化斷筋點!U553)</f>
        <v>4</v>
      </c>
      <c r="AT553" s="6">
        <f>IF(最佳化斷筋點!V553="","",最佳化斷筋點!V553)</f>
        <v>4</v>
      </c>
      <c r="AU553" s="6">
        <f>IF(最佳化斷筋點!W553="","",最佳化斷筋點!W553)</f>
        <v>5</v>
      </c>
      <c r="AV553" s="6">
        <f>IF(最佳化斷筋點!X553="","",最佳化斷筋點!X553)</f>
        <v>5</v>
      </c>
      <c r="AX553" s="6" t="s">
        <v>51</v>
      </c>
      <c r="AY553" s="6">
        <v>5</v>
      </c>
      <c r="AZ553" s="6">
        <v>5</v>
      </c>
      <c r="BA553" s="6">
        <v>4</v>
      </c>
      <c r="BB553" s="6">
        <v>4</v>
      </c>
      <c r="BC553" s="6">
        <v>4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5</v>
      </c>
      <c r="BO553" s="6">
        <v>4</v>
      </c>
      <c r="BP553" s="6">
        <v>4</v>
      </c>
      <c r="BQ553" s="6">
        <v>4</v>
      </c>
      <c r="BR553" s="6">
        <v>5</v>
      </c>
      <c r="BS553" s="6">
        <v>5</v>
      </c>
    </row>
    <row r="554" spans="4:71" x14ac:dyDescent="0.25">
      <c r="E554" s="6">
        <f t="shared" si="169"/>
        <v>0</v>
      </c>
      <c r="F554" s="6">
        <f t="shared" si="170"/>
        <v>0</v>
      </c>
      <c r="G554" s="6">
        <f t="shared" si="171"/>
        <v>0</v>
      </c>
      <c r="H554" s="6">
        <f t="shared" si="172"/>
        <v>0</v>
      </c>
      <c r="I554" s="6">
        <f t="shared" si="173"/>
        <v>0</v>
      </c>
      <c r="J554" s="6">
        <f t="shared" si="174"/>
        <v>0</v>
      </c>
      <c r="K554" s="6">
        <f t="shared" si="175"/>
        <v>0</v>
      </c>
      <c r="L554" s="6">
        <f t="shared" si="176"/>
        <v>0</v>
      </c>
      <c r="M554" s="6">
        <f t="shared" si="177"/>
        <v>0</v>
      </c>
      <c r="N554" s="6">
        <f t="shared" si="178"/>
        <v>0</v>
      </c>
      <c r="O554" s="6">
        <f t="shared" si="179"/>
        <v>0</v>
      </c>
      <c r="P554" s="6">
        <f t="shared" si="180"/>
        <v>0</v>
      </c>
      <c r="Q554" s="6">
        <f t="shared" si="181"/>
        <v>0</v>
      </c>
      <c r="R554" s="6">
        <f t="shared" si="182"/>
        <v>0</v>
      </c>
      <c r="S554" s="6">
        <f t="shared" si="183"/>
        <v>0</v>
      </c>
      <c r="T554" s="6">
        <f t="shared" si="184"/>
        <v>0</v>
      </c>
      <c r="U554" s="6">
        <f t="shared" si="185"/>
        <v>0</v>
      </c>
      <c r="V554" s="6">
        <f t="shared" si="186"/>
        <v>0</v>
      </c>
      <c r="W554" s="6">
        <f t="shared" si="187"/>
        <v>0</v>
      </c>
      <c r="X554" s="6">
        <f t="shared" si="188"/>
        <v>0</v>
      </c>
      <c r="Y554" s="6">
        <f t="shared" si="189"/>
        <v>0</v>
      </c>
      <c r="AA554" s="6" t="str">
        <f>IF(最佳化斷筋點!C554="","",最佳化斷筋點!C554)</f>
        <v/>
      </c>
      <c r="AB554" s="6" t="str">
        <f>IF(最佳化斷筋點!D554="","",最佳化斷筋點!D554)</f>
        <v/>
      </c>
      <c r="AC554" s="6" t="str">
        <f>IF(最佳化斷筋點!E554="","",最佳化斷筋點!E554)</f>
        <v/>
      </c>
      <c r="AD554" s="6" t="str">
        <f>IF(最佳化斷筋點!F554="","",最佳化斷筋點!F554)</f>
        <v/>
      </c>
      <c r="AE554" s="6" t="str">
        <f>IF(最佳化斷筋點!G554="","",最佳化斷筋點!G554)</f>
        <v/>
      </c>
      <c r="AF554" s="6" t="str">
        <f>IF(最佳化斷筋點!H554="","",最佳化斷筋點!H554)</f>
        <v/>
      </c>
      <c r="AG554" s="6" t="str">
        <f>IF(最佳化斷筋點!I554="","",最佳化斷筋點!I554)</f>
        <v/>
      </c>
      <c r="AH554" s="6" t="str">
        <f>IF(最佳化斷筋點!J554="","",最佳化斷筋點!J554)</f>
        <v/>
      </c>
      <c r="AI554" s="6" t="str">
        <f>IF(最佳化斷筋點!K554="","",最佳化斷筋點!K554)</f>
        <v/>
      </c>
      <c r="AJ554" s="6" t="str">
        <f>IF(最佳化斷筋點!L554="","",最佳化斷筋點!L554)</f>
        <v/>
      </c>
      <c r="AK554" s="6" t="str">
        <f>IF(最佳化斷筋點!M554="","",最佳化斷筋點!M554)</f>
        <v/>
      </c>
      <c r="AL554" s="6" t="str">
        <f>IF(最佳化斷筋點!N554="","",最佳化斷筋點!N554)</f>
        <v/>
      </c>
      <c r="AM554" s="6" t="str">
        <f>IF(最佳化斷筋點!O554="","",最佳化斷筋點!O554)</f>
        <v/>
      </c>
      <c r="AN554" s="6" t="str">
        <f>IF(最佳化斷筋點!P554="","",最佳化斷筋點!P554)</f>
        <v/>
      </c>
      <c r="AO554" s="6" t="str">
        <f>IF(最佳化斷筋點!Q554="","",最佳化斷筋點!Q554)</f>
        <v/>
      </c>
      <c r="AP554" s="6" t="str">
        <f>IF(最佳化斷筋點!R554="","",最佳化斷筋點!R554)</f>
        <v/>
      </c>
      <c r="AQ554" s="6" t="str">
        <f>IF(最佳化斷筋點!S554="","",最佳化斷筋點!S554)</f>
        <v/>
      </c>
      <c r="AR554" s="6" t="str">
        <f>IF(最佳化斷筋點!T554="","",最佳化斷筋點!T554)</f>
        <v/>
      </c>
      <c r="AS554" s="6" t="str">
        <f>IF(最佳化斷筋點!U554="","",最佳化斷筋點!U554)</f>
        <v/>
      </c>
      <c r="AT554" s="6" t="str">
        <f>IF(最佳化斷筋點!V554="","",最佳化斷筋點!V554)</f>
        <v/>
      </c>
      <c r="AU554" s="6" t="str">
        <f>IF(最佳化斷筋點!W554="","",最佳化斷筋點!W554)</f>
        <v/>
      </c>
      <c r="AV554" s="6" t="str">
        <f>IF(最佳化斷筋點!X554="","",最佳化斷筋點!X554)</f>
        <v/>
      </c>
    </row>
    <row r="555" spans="4:71" x14ac:dyDescent="0.25">
      <c r="D555" s="6" t="s">
        <v>50</v>
      </c>
      <c r="E555" s="6">
        <f t="shared" si="169"/>
        <v>0</v>
      </c>
      <c r="F555" s="6">
        <f t="shared" si="170"/>
        <v>0</v>
      </c>
      <c r="G555" s="6">
        <f t="shared" si="171"/>
        <v>0</v>
      </c>
      <c r="H555" s="6">
        <f t="shared" si="172"/>
        <v>0</v>
      </c>
      <c r="I555" s="6">
        <f t="shared" si="173"/>
        <v>0</v>
      </c>
      <c r="J555" s="6">
        <f t="shared" si="174"/>
        <v>0</v>
      </c>
      <c r="K555" s="6">
        <f t="shared" si="175"/>
        <v>0</v>
      </c>
      <c r="L555" s="6">
        <f t="shared" si="176"/>
        <v>0</v>
      </c>
      <c r="M555" s="6">
        <f t="shared" si="177"/>
        <v>0</v>
      </c>
      <c r="N555" s="6">
        <f t="shared" si="178"/>
        <v>0</v>
      </c>
      <c r="O555" s="6">
        <f t="shared" si="179"/>
        <v>0</v>
      </c>
      <c r="P555" s="6">
        <f t="shared" si="180"/>
        <v>0</v>
      </c>
      <c r="Q555" s="6">
        <f t="shared" si="181"/>
        <v>0</v>
      </c>
      <c r="R555" s="6">
        <f t="shared" si="182"/>
        <v>0</v>
      </c>
      <c r="S555" s="6">
        <f t="shared" si="183"/>
        <v>0</v>
      </c>
      <c r="T555" s="6">
        <f t="shared" si="184"/>
        <v>0</v>
      </c>
      <c r="U555" s="6">
        <f t="shared" si="185"/>
        <v>0</v>
      </c>
      <c r="V555" s="6">
        <f t="shared" si="186"/>
        <v>0</v>
      </c>
      <c r="W555" s="6">
        <f t="shared" si="187"/>
        <v>0</v>
      </c>
      <c r="X555" s="6">
        <f t="shared" si="188"/>
        <v>0</v>
      </c>
      <c r="Y555" s="6">
        <f t="shared" si="189"/>
        <v>0</v>
      </c>
      <c r="AA555" s="6" t="str">
        <f>IF(最佳化斷筋點!C555="","",最佳化斷筋點!C555)</f>
        <v>上層</v>
      </c>
      <c r="AB555" s="6">
        <f>IF(最佳化斷筋點!D555="","",最佳化斷筋點!D555)</f>
        <v>9</v>
      </c>
      <c r="AC555" s="6">
        <f>IF(最佳化斷筋點!E555="","",最佳化斷筋點!E555)</f>
        <v>9</v>
      </c>
      <c r="AD555" s="6">
        <f>IF(最佳化斷筋點!F555="","",最佳化斷筋點!F555)</f>
        <v>8</v>
      </c>
      <c r="AE555" s="6">
        <f>IF(最佳化斷筋點!G555="","",最佳化斷筋點!G555)</f>
        <v>7</v>
      </c>
      <c r="AF555" s="6">
        <f>IF(最佳化斷筋點!H555="","",最佳化斷筋點!H555)</f>
        <v>6</v>
      </c>
      <c r="AG555" s="6">
        <f>IF(最佳化斷筋點!I555="","",最佳化斷筋點!I555)</f>
        <v>5</v>
      </c>
      <c r="AH555" s="6">
        <f>IF(最佳化斷筋點!J555="","",最佳化斷筋點!J555)</f>
        <v>4</v>
      </c>
      <c r="AI555" s="6">
        <f>IF(最佳化斷筋點!K555="","",最佳化斷筋點!K555)</f>
        <v>3</v>
      </c>
      <c r="AJ555" s="6">
        <f>IF(最佳化斷筋點!L555="","",最佳化斷筋點!L555)</f>
        <v>2</v>
      </c>
      <c r="AK555" s="6">
        <f>IF(最佳化斷筋點!M555="","",最佳化斷筋點!M555)</f>
        <v>2</v>
      </c>
      <c r="AL555" s="6">
        <f>IF(最佳化斷筋點!N555="","",最佳化斷筋點!N555)</f>
        <v>2</v>
      </c>
      <c r="AM555" s="6">
        <f>IF(最佳化斷筋點!O555="","",最佳化斷筋點!O555)</f>
        <v>2</v>
      </c>
      <c r="AN555" s="6">
        <f>IF(最佳化斷筋點!P555="","",最佳化斷筋點!P555)</f>
        <v>2</v>
      </c>
      <c r="AO555" s="6">
        <f>IF(最佳化斷筋點!Q555="","",最佳化斷筋點!Q555)</f>
        <v>3</v>
      </c>
      <c r="AP555" s="6">
        <f>IF(最佳化斷筋點!R555="","",最佳化斷筋點!R555)</f>
        <v>4</v>
      </c>
      <c r="AQ555" s="6">
        <f>IF(最佳化斷筋點!S555="","",最佳化斷筋點!S555)</f>
        <v>4</v>
      </c>
      <c r="AR555" s="6">
        <f>IF(最佳化斷筋點!T555="","",最佳化斷筋點!T555)</f>
        <v>5</v>
      </c>
      <c r="AS555" s="6">
        <f>IF(最佳化斷筋點!U555="","",最佳化斷筋點!U555)</f>
        <v>6</v>
      </c>
      <c r="AT555" s="6">
        <f>IF(最佳化斷筋點!V555="","",最佳化斷筋點!V555)</f>
        <v>7</v>
      </c>
      <c r="AU555" s="6">
        <f>IF(最佳化斷筋點!W555="","",最佳化斷筋點!W555)</f>
        <v>8</v>
      </c>
      <c r="AV555" s="6">
        <f>IF(最佳化斷筋點!X555="","",最佳化斷筋點!X555)</f>
        <v>8</v>
      </c>
      <c r="AX555" s="6" t="s">
        <v>50</v>
      </c>
      <c r="AY555" s="6">
        <v>9</v>
      </c>
      <c r="AZ555" s="6">
        <v>9</v>
      </c>
      <c r="BA555" s="6">
        <v>8</v>
      </c>
      <c r="BB555" s="6">
        <v>7</v>
      </c>
      <c r="BC555" s="6">
        <v>6</v>
      </c>
      <c r="BD555" s="6">
        <v>5</v>
      </c>
      <c r="BE555" s="6">
        <v>4</v>
      </c>
      <c r="BF555" s="6">
        <v>3</v>
      </c>
      <c r="BG555" s="6">
        <v>2</v>
      </c>
      <c r="BH555" s="6">
        <v>2</v>
      </c>
      <c r="BI555" s="6">
        <v>2</v>
      </c>
      <c r="BJ555" s="6">
        <v>2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</row>
    <row r="556" spans="4:71" x14ac:dyDescent="0.25">
      <c r="E556" s="6">
        <f t="shared" si="169"/>
        <v>0</v>
      </c>
      <c r="F556" s="6">
        <f t="shared" si="170"/>
        <v>0</v>
      </c>
      <c r="G556" s="6">
        <f t="shared" si="171"/>
        <v>0</v>
      </c>
      <c r="H556" s="6">
        <f t="shared" si="172"/>
        <v>0</v>
      </c>
      <c r="I556" s="6">
        <f t="shared" si="173"/>
        <v>0</v>
      </c>
      <c r="J556" s="6">
        <f t="shared" si="174"/>
        <v>0</v>
      </c>
      <c r="K556" s="6">
        <f t="shared" si="175"/>
        <v>0</v>
      </c>
      <c r="L556" s="6">
        <f t="shared" si="176"/>
        <v>0</v>
      </c>
      <c r="M556" s="6">
        <f t="shared" si="177"/>
        <v>0</v>
      </c>
      <c r="N556" s="6">
        <f t="shared" si="178"/>
        <v>0</v>
      </c>
      <c r="O556" s="6">
        <f t="shared" si="179"/>
        <v>0</v>
      </c>
      <c r="P556" s="6">
        <f t="shared" si="180"/>
        <v>0</v>
      </c>
      <c r="Q556" s="6">
        <f t="shared" si="181"/>
        <v>0</v>
      </c>
      <c r="R556" s="6">
        <f t="shared" si="182"/>
        <v>0</v>
      </c>
      <c r="S556" s="6">
        <f t="shared" si="183"/>
        <v>0</v>
      </c>
      <c r="T556" s="6">
        <f t="shared" si="184"/>
        <v>0</v>
      </c>
      <c r="U556" s="6">
        <f t="shared" si="185"/>
        <v>0</v>
      </c>
      <c r="V556" s="6">
        <f t="shared" si="186"/>
        <v>0</v>
      </c>
      <c r="W556" s="6">
        <f t="shared" si="187"/>
        <v>0</v>
      </c>
      <c r="X556" s="6">
        <f t="shared" si="188"/>
        <v>0</v>
      </c>
      <c r="Y556" s="6">
        <f t="shared" si="189"/>
        <v>0</v>
      </c>
      <c r="AA556" s="6" t="str">
        <f>IF(最佳化斷筋點!C556="","",最佳化斷筋點!C556)</f>
        <v/>
      </c>
      <c r="AB556" s="6" t="str">
        <f>IF(最佳化斷筋點!D556="","",最佳化斷筋點!D556)</f>
        <v/>
      </c>
      <c r="AC556" s="6" t="str">
        <f>IF(最佳化斷筋點!E556="","",最佳化斷筋點!E556)</f>
        <v/>
      </c>
      <c r="AD556" s="6" t="str">
        <f>IF(最佳化斷筋點!F556="","",最佳化斷筋點!F556)</f>
        <v/>
      </c>
      <c r="AE556" s="6" t="str">
        <f>IF(最佳化斷筋點!G556="","",最佳化斷筋點!G556)</f>
        <v/>
      </c>
      <c r="AF556" s="6" t="str">
        <f>IF(最佳化斷筋點!H556="","",最佳化斷筋點!H556)</f>
        <v/>
      </c>
      <c r="AG556" s="6" t="str">
        <f>IF(最佳化斷筋點!I556="","",最佳化斷筋點!I556)</f>
        <v/>
      </c>
      <c r="AH556" s="6" t="str">
        <f>IF(最佳化斷筋點!J556="","",最佳化斷筋點!J556)</f>
        <v/>
      </c>
      <c r="AI556" s="6" t="str">
        <f>IF(最佳化斷筋點!K556="","",最佳化斷筋點!K556)</f>
        <v/>
      </c>
      <c r="AJ556" s="6" t="str">
        <f>IF(最佳化斷筋點!L556="","",最佳化斷筋點!L556)</f>
        <v/>
      </c>
      <c r="AK556" s="6" t="str">
        <f>IF(最佳化斷筋點!M556="","",最佳化斷筋點!M556)</f>
        <v/>
      </c>
      <c r="AL556" s="6" t="str">
        <f>IF(最佳化斷筋點!N556="","",最佳化斷筋點!N556)</f>
        <v/>
      </c>
      <c r="AM556" s="6" t="str">
        <f>IF(最佳化斷筋點!O556="","",最佳化斷筋點!O556)</f>
        <v/>
      </c>
      <c r="AN556" s="6" t="str">
        <f>IF(最佳化斷筋點!P556="","",最佳化斷筋點!P556)</f>
        <v/>
      </c>
      <c r="AO556" s="6" t="str">
        <f>IF(最佳化斷筋點!Q556="","",最佳化斷筋點!Q556)</f>
        <v/>
      </c>
      <c r="AP556" s="6" t="str">
        <f>IF(最佳化斷筋點!R556="","",最佳化斷筋點!R556)</f>
        <v/>
      </c>
      <c r="AQ556" s="6" t="str">
        <f>IF(最佳化斷筋點!S556="","",最佳化斷筋點!S556)</f>
        <v/>
      </c>
      <c r="AR556" s="6" t="str">
        <f>IF(最佳化斷筋點!T556="","",最佳化斷筋點!T556)</f>
        <v/>
      </c>
      <c r="AS556" s="6" t="str">
        <f>IF(最佳化斷筋點!U556="","",最佳化斷筋點!U556)</f>
        <v/>
      </c>
      <c r="AT556" s="6" t="str">
        <f>IF(最佳化斷筋點!V556="","",最佳化斷筋點!V556)</f>
        <v/>
      </c>
      <c r="AU556" s="6" t="str">
        <f>IF(最佳化斷筋點!W556="","",最佳化斷筋點!W556)</f>
        <v/>
      </c>
      <c r="AV556" s="6" t="str">
        <f>IF(最佳化斷筋點!X556="","",最佳化斷筋點!X556)</f>
        <v/>
      </c>
    </row>
    <row r="557" spans="4:71" x14ac:dyDescent="0.25">
      <c r="D557" s="6" t="s">
        <v>51</v>
      </c>
      <c r="E557" s="6">
        <f t="shared" si="169"/>
        <v>0</v>
      </c>
      <c r="F557" s="6">
        <f t="shared" si="170"/>
        <v>0</v>
      </c>
      <c r="G557" s="6">
        <f t="shared" si="171"/>
        <v>0</v>
      </c>
      <c r="H557" s="6">
        <f t="shared" si="172"/>
        <v>0</v>
      </c>
      <c r="I557" s="6">
        <f t="shared" si="173"/>
        <v>0</v>
      </c>
      <c r="J557" s="6">
        <f t="shared" si="174"/>
        <v>0</v>
      </c>
      <c r="K557" s="6">
        <f t="shared" si="175"/>
        <v>0</v>
      </c>
      <c r="L557" s="6">
        <f t="shared" si="176"/>
        <v>0</v>
      </c>
      <c r="M557" s="6">
        <f t="shared" si="177"/>
        <v>0</v>
      </c>
      <c r="N557" s="6">
        <f t="shared" si="178"/>
        <v>0</v>
      </c>
      <c r="O557" s="6">
        <f t="shared" si="179"/>
        <v>0</v>
      </c>
      <c r="P557" s="6">
        <f t="shared" si="180"/>
        <v>0</v>
      </c>
      <c r="Q557" s="6">
        <f t="shared" si="181"/>
        <v>0</v>
      </c>
      <c r="R557" s="6">
        <f t="shared" si="182"/>
        <v>0</v>
      </c>
      <c r="S557" s="6">
        <f t="shared" si="183"/>
        <v>0</v>
      </c>
      <c r="T557" s="6">
        <f t="shared" si="184"/>
        <v>0</v>
      </c>
      <c r="U557" s="6">
        <f t="shared" si="185"/>
        <v>0</v>
      </c>
      <c r="V557" s="6">
        <f t="shared" si="186"/>
        <v>0</v>
      </c>
      <c r="W557" s="6">
        <f t="shared" si="187"/>
        <v>0</v>
      </c>
      <c r="X557" s="6">
        <f t="shared" si="188"/>
        <v>0</v>
      </c>
      <c r="Y557" s="6">
        <f t="shared" si="189"/>
        <v>0</v>
      </c>
      <c r="AA557" s="6" t="str">
        <f>IF(最佳化斷筋點!C557="","",最佳化斷筋點!C557)</f>
        <v>下層</v>
      </c>
      <c r="AB557" s="6">
        <f>IF(最佳化斷筋點!D557="","",最佳化斷筋點!D557)</f>
        <v>5</v>
      </c>
      <c r="AC557" s="6">
        <f>IF(最佳化斷筋點!E557="","",最佳化斷筋點!E557)</f>
        <v>5</v>
      </c>
      <c r="AD557" s="6">
        <f>IF(最佳化斷筋點!F557="","",最佳化斷筋點!F557)</f>
        <v>4</v>
      </c>
      <c r="AE557" s="6">
        <f>IF(最佳化斷筋點!G557="","",最佳化斷筋點!G557)</f>
        <v>4</v>
      </c>
      <c r="AF557" s="6">
        <f>IF(最佳化斷筋點!H557="","",最佳化斷筋點!H557)</f>
        <v>4</v>
      </c>
      <c r="AG557" s="6">
        <f>IF(最佳化斷筋點!I557="","",最佳化斷筋點!I557)</f>
        <v>5</v>
      </c>
      <c r="AH557" s="6">
        <f>IF(最佳化斷筋點!J557="","",最佳化斷筋點!J557)</f>
        <v>6</v>
      </c>
      <c r="AI557" s="6">
        <f>IF(最佳化斷筋點!K557="","",最佳化斷筋點!K557)</f>
        <v>6</v>
      </c>
      <c r="AJ557" s="6">
        <f>IF(最佳化斷筋點!L557="","",最佳化斷筋點!L557)</f>
        <v>6</v>
      </c>
      <c r="AK557" s="6">
        <f>IF(最佳化斷筋點!M557="","",最佳化斷筋點!M557)</f>
        <v>6</v>
      </c>
      <c r="AL557" s="6">
        <f>IF(最佳化斷筋點!N557="","",最佳化斷筋點!N557)</f>
        <v>6</v>
      </c>
      <c r="AM557" s="6">
        <f>IF(最佳化斷筋點!O557="","",最佳化斷筋點!O557)</f>
        <v>6</v>
      </c>
      <c r="AN557" s="6">
        <f>IF(最佳化斷筋點!P557="","",最佳化斷筋點!P557)</f>
        <v>6</v>
      </c>
      <c r="AO557" s="6">
        <f>IF(最佳化斷筋點!Q557="","",最佳化斷筋點!Q557)</f>
        <v>6</v>
      </c>
      <c r="AP557" s="6">
        <f>IF(最佳化斷筋點!R557="","",最佳化斷筋點!R557)</f>
        <v>6</v>
      </c>
      <c r="AQ557" s="6">
        <f>IF(最佳化斷筋點!S557="","",最佳化斷筋點!S557)</f>
        <v>5</v>
      </c>
      <c r="AR557" s="6">
        <f>IF(最佳化斷筋點!T557="","",最佳化斷筋點!T557)</f>
        <v>4</v>
      </c>
      <c r="AS557" s="6">
        <f>IF(最佳化斷筋點!U557="","",最佳化斷筋點!U557)</f>
        <v>4</v>
      </c>
      <c r="AT557" s="6">
        <f>IF(最佳化斷筋點!V557="","",最佳化斷筋點!V557)</f>
        <v>4</v>
      </c>
      <c r="AU557" s="6">
        <f>IF(最佳化斷筋點!W557="","",最佳化斷筋點!W557)</f>
        <v>5</v>
      </c>
      <c r="AV557" s="6">
        <f>IF(最佳化斷筋點!X557="","",最佳化斷筋點!X557)</f>
        <v>5</v>
      </c>
      <c r="AX557" s="6" t="s">
        <v>51</v>
      </c>
      <c r="AY557" s="6">
        <v>5</v>
      </c>
      <c r="AZ557" s="6">
        <v>5</v>
      </c>
      <c r="BA557" s="6">
        <v>4</v>
      </c>
      <c r="BB557" s="6">
        <v>4</v>
      </c>
      <c r="BC557" s="6">
        <v>4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5</v>
      </c>
      <c r="BO557" s="6">
        <v>4</v>
      </c>
      <c r="BP557" s="6">
        <v>4</v>
      </c>
      <c r="BQ557" s="6">
        <v>4</v>
      </c>
      <c r="BR557" s="6">
        <v>5</v>
      </c>
      <c r="BS557" s="6">
        <v>5</v>
      </c>
    </row>
    <row r="558" spans="4:71" x14ac:dyDescent="0.25">
      <c r="E558" s="6">
        <f t="shared" si="169"/>
        <v>0</v>
      </c>
      <c r="F558" s="6">
        <f t="shared" si="170"/>
        <v>0</v>
      </c>
      <c r="G558" s="6">
        <f t="shared" si="171"/>
        <v>0</v>
      </c>
      <c r="H558" s="6">
        <f t="shared" si="172"/>
        <v>0</v>
      </c>
      <c r="I558" s="6">
        <f t="shared" si="173"/>
        <v>0</v>
      </c>
      <c r="J558" s="6">
        <f t="shared" si="174"/>
        <v>0</v>
      </c>
      <c r="K558" s="6">
        <f t="shared" si="175"/>
        <v>0</v>
      </c>
      <c r="L558" s="6">
        <f t="shared" si="176"/>
        <v>0</v>
      </c>
      <c r="M558" s="6">
        <f t="shared" si="177"/>
        <v>0</v>
      </c>
      <c r="N558" s="6">
        <f t="shared" si="178"/>
        <v>0</v>
      </c>
      <c r="O558" s="6">
        <f t="shared" si="179"/>
        <v>0</v>
      </c>
      <c r="P558" s="6">
        <f t="shared" si="180"/>
        <v>0</v>
      </c>
      <c r="Q558" s="6">
        <f t="shared" si="181"/>
        <v>0</v>
      </c>
      <c r="R558" s="6">
        <f t="shared" si="182"/>
        <v>0</v>
      </c>
      <c r="S558" s="6">
        <f t="shared" si="183"/>
        <v>0</v>
      </c>
      <c r="T558" s="6">
        <f t="shared" si="184"/>
        <v>0</v>
      </c>
      <c r="U558" s="6">
        <f t="shared" si="185"/>
        <v>0</v>
      </c>
      <c r="V558" s="6">
        <f t="shared" si="186"/>
        <v>0</v>
      </c>
      <c r="W558" s="6">
        <f t="shared" si="187"/>
        <v>0</v>
      </c>
      <c r="X558" s="6">
        <f t="shared" si="188"/>
        <v>0</v>
      </c>
      <c r="Y558" s="6">
        <f t="shared" si="189"/>
        <v>0</v>
      </c>
      <c r="AA558" s="6" t="str">
        <f>IF(最佳化斷筋點!C558="","",最佳化斷筋點!C558)</f>
        <v/>
      </c>
      <c r="AB558" s="6" t="str">
        <f>IF(最佳化斷筋點!D558="","",最佳化斷筋點!D558)</f>
        <v/>
      </c>
      <c r="AC558" s="6" t="str">
        <f>IF(最佳化斷筋點!E558="","",最佳化斷筋點!E558)</f>
        <v/>
      </c>
      <c r="AD558" s="6" t="str">
        <f>IF(最佳化斷筋點!F558="","",最佳化斷筋點!F558)</f>
        <v/>
      </c>
      <c r="AE558" s="6" t="str">
        <f>IF(最佳化斷筋點!G558="","",最佳化斷筋點!G558)</f>
        <v/>
      </c>
      <c r="AF558" s="6" t="str">
        <f>IF(最佳化斷筋點!H558="","",最佳化斷筋點!H558)</f>
        <v/>
      </c>
      <c r="AG558" s="6" t="str">
        <f>IF(最佳化斷筋點!I558="","",最佳化斷筋點!I558)</f>
        <v/>
      </c>
      <c r="AH558" s="6" t="str">
        <f>IF(最佳化斷筋點!J558="","",最佳化斷筋點!J558)</f>
        <v/>
      </c>
      <c r="AI558" s="6" t="str">
        <f>IF(最佳化斷筋點!K558="","",最佳化斷筋點!K558)</f>
        <v/>
      </c>
      <c r="AJ558" s="6" t="str">
        <f>IF(最佳化斷筋點!L558="","",最佳化斷筋點!L558)</f>
        <v/>
      </c>
      <c r="AK558" s="6" t="str">
        <f>IF(最佳化斷筋點!M558="","",最佳化斷筋點!M558)</f>
        <v/>
      </c>
      <c r="AL558" s="6" t="str">
        <f>IF(最佳化斷筋點!N558="","",最佳化斷筋點!N558)</f>
        <v/>
      </c>
      <c r="AM558" s="6" t="str">
        <f>IF(最佳化斷筋點!O558="","",最佳化斷筋點!O558)</f>
        <v/>
      </c>
      <c r="AN558" s="6" t="str">
        <f>IF(最佳化斷筋點!P558="","",最佳化斷筋點!P558)</f>
        <v/>
      </c>
      <c r="AO558" s="6" t="str">
        <f>IF(最佳化斷筋點!Q558="","",最佳化斷筋點!Q558)</f>
        <v/>
      </c>
      <c r="AP558" s="6" t="str">
        <f>IF(最佳化斷筋點!R558="","",最佳化斷筋點!R558)</f>
        <v/>
      </c>
      <c r="AQ558" s="6" t="str">
        <f>IF(最佳化斷筋點!S558="","",最佳化斷筋點!S558)</f>
        <v/>
      </c>
      <c r="AR558" s="6" t="str">
        <f>IF(最佳化斷筋點!T558="","",最佳化斷筋點!T558)</f>
        <v/>
      </c>
      <c r="AS558" s="6" t="str">
        <f>IF(最佳化斷筋點!U558="","",最佳化斷筋點!U558)</f>
        <v/>
      </c>
      <c r="AT558" s="6" t="str">
        <f>IF(最佳化斷筋點!V558="","",最佳化斷筋點!V558)</f>
        <v/>
      </c>
      <c r="AU558" s="6" t="str">
        <f>IF(最佳化斷筋點!W558="","",最佳化斷筋點!W558)</f>
        <v/>
      </c>
      <c r="AV558" s="6" t="str">
        <f>IF(最佳化斷筋點!X558="","",最佳化斷筋點!X558)</f>
        <v/>
      </c>
    </row>
    <row r="559" spans="4:71" x14ac:dyDescent="0.25">
      <c r="D559" s="6" t="s">
        <v>50</v>
      </c>
      <c r="E559" s="6">
        <f t="shared" si="169"/>
        <v>0</v>
      </c>
      <c r="F559" s="6">
        <f t="shared" si="170"/>
        <v>0</v>
      </c>
      <c r="G559" s="6">
        <f t="shared" si="171"/>
        <v>0</v>
      </c>
      <c r="H559" s="6">
        <f t="shared" si="172"/>
        <v>0</v>
      </c>
      <c r="I559" s="6">
        <f t="shared" si="173"/>
        <v>0</v>
      </c>
      <c r="J559" s="6">
        <f t="shared" si="174"/>
        <v>0</v>
      </c>
      <c r="K559" s="6">
        <f t="shared" si="175"/>
        <v>0</v>
      </c>
      <c r="L559" s="6">
        <f t="shared" si="176"/>
        <v>0</v>
      </c>
      <c r="M559" s="6">
        <f t="shared" si="177"/>
        <v>0</v>
      </c>
      <c r="N559" s="6">
        <f t="shared" si="178"/>
        <v>0</v>
      </c>
      <c r="O559" s="6">
        <f t="shared" si="179"/>
        <v>0</v>
      </c>
      <c r="P559" s="6">
        <f t="shared" si="180"/>
        <v>0</v>
      </c>
      <c r="Q559" s="6">
        <f t="shared" si="181"/>
        <v>0</v>
      </c>
      <c r="R559" s="6">
        <f t="shared" si="182"/>
        <v>0</v>
      </c>
      <c r="S559" s="6">
        <f t="shared" si="183"/>
        <v>0</v>
      </c>
      <c r="T559" s="6">
        <f t="shared" si="184"/>
        <v>0</v>
      </c>
      <c r="U559" s="6">
        <f t="shared" si="185"/>
        <v>0</v>
      </c>
      <c r="V559" s="6">
        <f t="shared" si="186"/>
        <v>0</v>
      </c>
      <c r="W559" s="6">
        <f t="shared" si="187"/>
        <v>0</v>
      </c>
      <c r="X559" s="6">
        <f t="shared" si="188"/>
        <v>0</v>
      </c>
      <c r="Y559" s="6">
        <f t="shared" si="189"/>
        <v>0</v>
      </c>
      <c r="AA559" s="6" t="str">
        <f>IF(最佳化斷筋點!C559="","",最佳化斷筋點!C559)</f>
        <v>上層</v>
      </c>
      <c r="AB559" s="6">
        <f>IF(最佳化斷筋點!D559="","",最佳化斷筋點!D559)</f>
        <v>9</v>
      </c>
      <c r="AC559" s="6">
        <f>IF(最佳化斷筋點!E559="","",最佳化斷筋點!E559)</f>
        <v>9</v>
      </c>
      <c r="AD559" s="6">
        <f>IF(最佳化斷筋點!F559="","",最佳化斷筋點!F559)</f>
        <v>8</v>
      </c>
      <c r="AE559" s="6">
        <f>IF(最佳化斷筋點!G559="","",最佳化斷筋點!G559)</f>
        <v>7</v>
      </c>
      <c r="AF559" s="6">
        <f>IF(最佳化斷筋點!H559="","",最佳化斷筋點!H559)</f>
        <v>6</v>
      </c>
      <c r="AG559" s="6">
        <f>IF(最佳化斷筋點!I559="","",最佳化斷筋點!I559)</f>
        <v>5</v>
      </c>
      <c r="AH559" s="6">
        <f>IF(最佳化斷筋點!J559="","",最佳化斷筋點!J559)</f>
        <v>4</v>
      </c>
      <c r="AI559" s="6">
        <f>IF(最佳化斷筋點!K559="","",最佳化斷筋點!K559)</f>
        <v>3</v>
      </c>
      <c r="AJ559" s="6">
        <f>IF(最佳化斷筋點!L559="","",最佳化斷筋點!L559)</f>
        <v>2</v>
      </c>
      <c r="AK559" s="6">
        <f>IF(最佳化斷筋點!M559="","",最佳化斷筋點!M559)</f>
        <v>2</v>
      </c>
      <c r="AL559" s="6">
        <f>IF(最佳化斷筋點!N559="","",最佳化斷筋點!N559)</f>
        <v>2</v>
      </c>
      <c r="AM559" s="6">
        <f>IF(最佳化斷筋點!O559="","",最佳化斷筋點!O559)</f>
        <v>2</v>
      </c>
      <c r="AN559" s="6">
        <f>IF(最佳化斷筋點!P559="","",最佳化斷筋點!P559)</f>
        <v>2</v>
      </c>
      <c r="AO559" s="6">
        <f>IF(最佳化斷筋點!Q559="","",最佳化斷筋點!Q559)</f>
        <v>3</v>
      </c>
      <c r="AP559" s="6">
        <f>IF(最佳化斷筋點!R559="","",最佳化斷筋點!R559)</f>
        <v>4</v>
      </c>
      <c r="AQ559" s="6">
        <f>IF(最佳化斷筋點!S559="","",最佳化斷筋點!S559)</f>
        <v>4</v>
      </c>
      <c r="AR559" s="6">
        <f>IF(最佳化斷筋點!T559="","",最佳化斷筋點!T559)</f>
        <v>5</v>
      </c>
      <c r="AS559" s="6">
        <f>IF(最佳化斷筋點!U559="","",最佳化斷筋點!U559)</f>
        <v>6</v>
      </c>
      <c r="AT559" s="6">
        <f>IF(最佳化斷筋點!V559="","",最佳化斷筋點!V559)</f>
        <v>7</v>
      </c>
      <c r="AU559" s="6">
        <f>IF(最佳化斷筋點!W559="","",最佳化斷筋點!W559)</f>
        <v>8</v>
      </c>
      <c r="AV559" s="6">
        <f>IF(最佳化斷筋點!X559="","",最佳化斷筋點!X559)</f>
        <v>8</v>
      </c>
      <c r="AX559" s="6" t="s">
        <v>50</v>
      </c>
      <c r="AY559" s="6">
        <v>9</v>
      </c>
      <c r="AZ559" s="6">
        <v>9</v>
      </c>
      <c r="BA559" s="6">
        <v>8</v>
      </c>
      <c r="BB559" s="6">
        <v>7</v>
      </c>
      <c r="BC559" s="6">
        <v>6</v>
      </c>
      <c r="BD559" s="6">
        <v>5</v>
      </c>
      <c r="BE559" s="6">
        <v>4</v>
      </c>
      <c r="BF559" s="6">
        <v>3</v>
      </c>
      <c r="BG559" s="6">
        <v>2</v>
      </c>
      <c r="BH559" s="6">
        <v>2</v>
      </c>
      <c r="BI559" s="6">
        <v>2</v>
      </c>
      <c r="BJ559" s="6">
        <v>2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</row>
    <row r="560" spans="4:71" x14ac:dyDescent="0.25">
      <c r="E560" s="6">
        <f t="shared" si="169"/>
        <v>0</v>
      </c>
      <c r="F560" s="6">
        <f t="shared" si="170"/>
        <v>0</v>
      </c>
      <c r="G560" s="6">
        <f t="shared" si="171"/>
        <v>0</v>
      </c>
      <c r="H560" s="6">
        <f t="shared" si="172"/>
        <v>0</v>
      </c>
      <c r="I560" s="6">
        <f t="shared" si="173"/>
        <v>0</v>
      </c>
      <c r="J560" s="6">
        <f t="shared" si="174"/>
        <v>0</v>
      </c>
      <c r="K560" s="6">
        <f t="shared" si="175"/>
        <v>0</v>
      </c>
      <c r="L560" s="6">
        <f t="shared" si="176"/>
        <v>0</v>
      </c>
      <c r="M560" s="6">
        <f t="shared" si="177"/>
        <v>0</v>
      </c>
      <c r="N560" s="6">
        <f t="shared" si="178"/>
        <v>0</v>
      </c>
      <c r="O560" s="6">
        <f t="shared" si="179"/>
        <v>0</v>
      </c>
      <c r="P560" s="6">
        <f t="shared" si="180"/>
        <v>0</v>
      </c>
      <c r="Q560" s="6">
        <f t="shared" si="181"/>
        <v>0</v>
      </c>
      <c r="R560" s="6">
        <f t="shared" si="182"/>
        <v>0</v>
      </c>
      <c r="S560" s="6">
        <f t="shared" si="183"/>
        <v>0</v>
      </c>
      <c r="T560" s="6">
        <f t="shared" si="184"/>
        <v>0</v>
      </c>
      <c r="U560" s="6">
        <f t="shared" si="185"/>
        <v>0</v>
      </c>
      <c r="V560" s="6">
        <f t="shared" si="186"/>
        <v>0</v>
      </c>
      <c r="W560" s="6">
        <f t="shared" si="187"/>
        <v>0</v>
      </c>
      <c r="X560" s="6">
        <f t="shared" si="188"/>
        <v>0</v>
      </c>
      <c r="Y560" s="6">
        <f t="shared" si="189"/>
        <v>0</v>
      </c>
      <c r="AA560" s="6" t="str">
        <f>IF(最佳化斷筋點!C560="","",最佳化斷筋點!C560)</f>
        <v/>
      </c>
      <c r="AB560" s="6" t="str">
        <f>IF(最佳化斷筋點!D560="","",最佳化斷筋點!D560)</f>
        <v/>
      </c>
      <c r="AC560" s="6" t="str">
        <f>IF(最佳化斷筋點!E560="","",最佳化斷筋點!E560)</f>
        <v/>
      </c>
      <c r="AD560" s="6" t="str">
        <f>IF(最佳化斷筋點!F560="","",最佳化斷筋點!F560)</f>
        <v/>
      </c>
      <c r="AE560" s="6" t="str">
        <f>IF(最佳化斷筋點!G560="","",最佳化斷筋點!G560)</f>
        <v/>
      </c>
      <c r="AF560" s="6" t="str">
        <f>IF(最佳化斷筋點!H560="","",最佳化斷筋點!H560)</f>
        <v/>
      </c>
      <c r="AG560" s="6" t="str">
        <f>IF(最佳化斷筋點!I560="","",最佳化斷筋點!I560)</f>
        <v/>
      </c>
      <c r="AH560" s="6" t="str">
        <f>IF(最佳化斷筋點!J560="","",最佳化斷筋點!J560)</f>
        <v/>
      </c>
      <c r="AI560" s="6" t="str">
        <f>IF(最佳化斷筋點!K560="","",最佳化斷筋點!K560)</f>
        <v/>
      </c>
      <c r="AJ560" s="6" t="str">
        <f>IF(最佳化斷筋點!L560="","",最佳化斷筋點!L560)</f>
        <v/>
      </c>
      <c r="AK560" s="6" t="str">
        <f>IF(最佳化斷筋點!M560="","",最佳化斷筋點!M560)</f>
        <v/>
      </c>
      <c r="AL560" s="6" t="str">
        <f>IF(最佳化斷筋點!N560="","",最佳化斷筋點!N560)</f>
        <v/>
      </c>
      <c r="AM560" s="6" t="str">
        <f>IF(最佳化斷筋點!O560="","",最佳化斷筋點!O560)</f>
        <v/>
      </c>
      <c r="AN560" s="6" t="str">
        <f>IF(最佳化斷筋點!P560="","",最佳化斷筋點!P560)</f>
        <v/>
      </c>
      <c r="AO560" s="6" t="str">
        <f>IF(最佳化斷筋點!Q560="","",最佳化斷筋點!Q560)</f>
        <v/>
      </c>
      <c r="AP560" s="6" t="str">
        <f>IF(最佳化斷筋點!R560="","",最佳化斷筋點!R560)</f>
        <v/>
      </c>
      <c r="AQ560" s="6" t="str">
        <f>IF(最佳化斷筋點!S560="","",最佳化斷筋點!S560)</f>
        <v/>
      </c>
      <c r="AR560" s="6" t="str">
        <f>IF(最佳化斷筋點!T560="","",最佳化斷筋點!T560)</f>
        <v/>
      </c>
      <c r="AS560" s="6" t="str">
        <f>IF(最佳化斷筋點!U560="","",最佳化斷筋點!U560)</f>
        <v/>
      </c>
      <c r="AT560" s="6" t="str">
        <f>IF(最佳化斷筋點!V560="","",最佳化斷筋點!V560)</f>
        <v/>
      </c>
      <c r="AU560" s="6" t="str">
        <f>IF(最佳化斷筋點!W560="","",最佳化斷筋點!W560)</f>
        <v/>
      </c>
      <c r="AV560" s="6" t="str">
        <f>IF(最佳化斷筋點!X560="","",最佳化斷筋點!X560)</f>
        <v/>
      </c>
    </row>
    <row r="561" spans="4:71" x14ac:dyDescent="0.25">
      <c r="D561" s="6" t="s">
        <v>51</v>
      </c>
      <c r="E561" s="6">
        <f t="shared" si="169"/>
        <v>0</v>
      </c>
      <c r="F561" s="6">
        <f t="shared" si="170"/>
        <v>0</v>
      </c>
      <c r="G561" s="6">
        <f t="shared" si="171"/>
        <v>0</v>
      </c>
      <c r="H561" s="6">
        <f t="shared" si="172"/>
        <v>0</v>
      </c>
      <c r="I561" s="6">
        <f t="shared" si="173"/>
        <v>0</v>
      </c>
      <c r="J561" s="6">
        <f t="shared" si="174"/>
        <v>0</v>
      </c>
      <c r="K561" s="6">
        <f t="shared" si="175"/>
        <v>0</v>
      </c>
      <c r="L561" s="6">
        <f t="shared" si="176"/>
        <v>0</v>
      </c>
      <c r="M561" s="6">
        <f t="shared" si="177"/>
        <v>0</v>
      </c>
      <c r="N561" s="6">
        <f t="shared" si="178"/>
        <v>0</v>
      </c>
      <c r="O561" s="6">
        <f t="shared" si="179"/>
        <v>0</v>
      </c>
      <c r="P561" s="6">
        <f t="shared" si="180"/>
        <v>0</v>
      </c>
      <c r="Q561" s="6">
        <f t="shared" si="181"/>
        <v>0</v>
      </c>
      <c r="R561" s="6">
        <f t="shared" si="182"/>
        <v>0</v>
      </c>
      <c r="S561" s="6">
        <f t="shared" si="183"/>
        <v>0</v>
      </c>
      <c r="T561" s="6">
        <f t="shared" si="184"/>
        <v>0</v>
      </c>
      <c r="U561" s="6">
        <f t="shared" si="185"/>
        <v>0</v>
      </c>
      <c r="V561" s="6">
        <f t="shared" si="186"/>
        <v>0</v>
      </c>
      <c r="W561" s="6">
        <f t="shared" si="187"/>
        <v>0</v>
      </c>
      <c r="X561" s="6">
        <f t="shared" si="188"/>
        <v>0</v>
      </c>
      <c r="Y561" s="6">
        <f t="shared" si="189"/>
        <v>0</v>
      </c>
      <c r="AA561" s="6" t="str">
        <f>IF(最佳化斷筋點!C561="","",最佳化斷筋點!C561)</f>
        <v>下層</v>
      </c>
      <c r="AB561" s="6">
        <f>IF(最佳化斷筋點!D561="","",最佳化斷筋點!D561)</f>
        <v>5</v>
      </c>
      <c r="AC561" s="6">
        <f>IF(最佳化斷筋點!E561="","",最佳化斷筋點!E561)</f>
        <v>5</v>
      </c>
      <c r="AD561" s="6">
        <f>IF(最佳化斷筋點!F561="","",最佳化斷筋點!F561)</f>
        <v>4</v>
      </c>
      <c r="AE561" s="6">
        <f>IF(最佳化斷筋點!G561="","",最佳化斷筋點!G561)</f>
        <v>4</v>
      </c>
      <c r="AF561" s="6">
        <f>IF(最佳化斷筋點!H561="","",最佳化斷筋點!H561)</f>
        <v>4</v>
      </c>
      <c r="AG561" s="6">
        <f>IF(最佳化斷筋點!I561="","",最佳化斷筋點!I561)</f>
        <v>5</v>
      </c>
      <c r="AH561" s="6">
        <f>IF(最佳化斷筋點!J561="","",最佳化斷筋點!J561)</f>
        <v>6</v>
      </c>
      <c r="AI561" s="6">
        <f>IF(最佳化斷筋點!K561="","",最佳化斷筋點!K561)</f>
        <v>6</v>
      </c>
      <c r="AJ561" s="6">
        <f>IF(最佳化斷筋點!L561="","",最佳化斷筋點!L561)</f>
        <v>6</v>
      </c>
      <c r="AK561" s="6">
        <f>IF(最佳化斷筋點!M561="","",最佳化斷筋點!M561)</f>
        <v>6</v>
      </c>
      <c r="AL561" s="6">
        <f>IF(最佳化斷筋點!N561="","",最佳化斷筋點!N561)</f>
        <v>6</v>
      </c>
      <c r="AM561" s="6">
        <f>IF(最佳化斷筋點!O561="","",最佳化斷筋點!O561)</f>
        <v>6</v>
      </c>
      <c r="AN561" s="6">
        <f>IF(最佳化斷筋點!P561="","",最佳化斷筋點!P561)</f>
        <v>6</v>
      </c>
      <c r="AO561" s="6">
        <f>IF(最佳化斷筋點!Q561="","",最佳化斷筋點!Q561)</f>
        <v>6</v>
      </c>
      <c r="AP561" s="6">
        <f>IF(最佳化斷筋點!R561="","",最佳化斷筋點!R561)</f>
        <v>6</v>
      </c>
      <c r="AQ561" s="6">
        <f>IF(最佳化斷筋點!S561="","",最佳化斷筋點!S561)</f>
        <v>5</v>
      </c>
      <c r="AR561" s="6">
        <f>IF(最佳化斷筋點!T561="","",最佳化斷筋點!T561)</f>
        <v>4</v>
      </c>
      <c r="AS561" s="6">
        <f>IF(最佳化斷筋點!U561="","",最佳化斷筋點!U561)</f>
        <v>4</v>
      </c>
      <c r="AT561" s="6">
        <f>IF(最佳化斷筋點!V561="","",最佳化斷筋點!V561)</f>
        <v>4</v>
      </c>
      <c r="AU561" s="6">
        <f>IF(最佳化斷筋點!W561="","",最佳化斷筋點!W561)</f>
        <v>5</v>
      </c>
      <c r="AV561" s="6">
        <f>IF(最佳化斷筋點!X561="","",最佳化斷筋點!X561)</f>
        <v>5</v>
      </c>
      <c r="AX561" s="6" t="s">
        <v>51</v>
      </c>
      <c r="AY561" s="6">
        <v>5</v>
      </c>
      <c r="AZ561" s="6">
        <v>5</v>
      </c>
      <c r="BA561" s="6">
        <v>4</v>
      </c>
      <c r="BB561" s="6">
        <v>4</v>
      </c>
      <c r="BC561" s="6">
        <v>4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5</v>
      </c>
      <c r="BO561" s="6">
        <v>4</v>
      </c>
      <c r="BP561" s="6">
        <v>4</v>
      </c>
      <c r="BQ561" s="6">
        <v>4</v>
      </c>
      <c r="BR561" s="6">
        <v>5</v>
      </c>
      <c r="BS561" s="6">
        <v>5</v>
      </c>
    </row>
    <row r="562" spans="4:71" x14ac:dyDescent="0.25">
      <c r="E562" s="6">
        <f t="shared" si="169"/>
        <v>0</v>
      </c>
      <c r="F562" s="6">
        <f t="shared" si="170"/>
        <v>0</v>
      </c>
      <c r="G562" s="6">
        <f t="shared" si="171"/>
        <v>0</v>
      </c>
      <c r="H562" s="6">
        <f t="shared" si="172"/>
        <v>0</v>
      </c>
      <c r="I562" s="6">
        <f t="shared" si="173"/>
        <v>0</v>
      </c>
      <c r="J562" s="6">
        <f t="shared" si="174"/>
        <v>0</v>
      </c>
      <c r="K562" s="6">
        <f t="shared" si="175"/>
        <v>0</v>
      </c>
      <c r="L562" s="6">
        <f t="shared" si="176"/>
        <v>0</v>
      </c>
      <c r="M562" s="6">
        <f t="shared" si="177"/>
        <v>0</v>
      </c>
      <c r="N562" s="6">
        <f t="shared" si="178"/>
        <v>0</v>
      </c>
      <c r="O562" s="6">
        <f t="shared" si="179"/>
        <v>0</v>
      </c>
      <c r="P562" s="6">
        <f t="shared" si="180"/>
        <v>0</v>
      </c>
      <c r="Q562" s="6">
        <f t="shared" si="181"/>
        <v>0</v>
      </c>
      <c r="R562" s="6">
        <f t="shared" si="182"/>
        <v>0</v>
      </c>
      <c r="S562" s="6">
        <f t="shared" si="183"/>
        <v>0</v>
      </c>
      <c r="T562" s="6">
        <f t="shared" si="184"/>
        <v>0</v>
      </c>
      <c r="U562" s="6">
        <f t="shared" si="185"/>
        <v>0</v>
      </c>
      <c r="V562" s="6">
        <f t="shared" si="186"/>
        <v>0</v>
      </c>
      <c r="W562" s="6">
        <f t="shared" si="187"/>
        <v>0</v>
      </c>
      <c r="X562" s="6">
        <f t="shared" si="188"/>
        <v>0</v>
      </c>
      <c r="Y562" s="6">
        <f t="shared" si="189"/>
        <v>0</v>
      </c>
      <c r="AA562" s="6" t="str">
        <f>IF(最佳化斷筋點!C562="","",最佳化斷筋點!C562)</f>
        <v/>
      </c>
      <c r="AB562" s="6" t="str">
        <f>IF(最佳化斷筋點!D562="","",最佳化斷筋點!D562)</f>
        <v/>
      </c>
      <c r="AC562" s="6" t="str">
        <f>IF(最佳化斷筋點!E562="","",最佳化斷筋點!E562)</f>
        <v/>
      </c>
      <c r="AD562" s="6" t="str">
        <f>IF(最佳化斷筋點!F562="","",最佳化斷筋點!F562)</f>
        <v/>
      </c>
      <c r="AE562" s="6" t="str">
        <f>IF(最佳化斷筋點!G562="","",最佳化斷筋點!G562)</f>
        <v/>
      </c>
      <c r="AF562" s="6" t="str">
        <f>IF(最佳化斷筋點!H562="","",最佳化斷筋點!H562)</f>
        <v/>
      </c>
      <c r="AG562" s="6" t="str">
        <f>IF(最佳化斷筋點!I562="","",最佳化斷筋點!I562)</f>
        <v/>
      </c>
      <c r="AH562" s="6" t="str">
        <f>IF(最佳化斷筋點!J562="","",最佳化斷筋點!J562)</f>
        <v/>
      </c>
      <c r="AI562" s="6" t="str">
        <f>IF(最佳化斷筋點!K562="","",最佳化斷筋點!K562)</f>
        <v/>
      </c>
      <c r="AJ562" s="6" t="str">
        <f>IF(最佳化斷筋點!L562="","",最佳化斷筋點!L562)</f>
        <v/>
      </c>
      <c r="AK562" s="6" t="str">
        <f>IF(最佳化斷筋點!M562="","",最佳化斷筋點!M562)</f>
        <v/>
      </c>
      <c r="AL562" s="6" t="str">
        <f>IF(最佳化斷筋點!N562="","",最佳化斷筋點!N562)</f>
        <v/>
      </c>
      <c r="AM562" s="6" t="str">
        <f>IF(最佳化斷筋點!O562="","",最佳化斷筋點!O562)</f>
        <v/>
      </c>
      <c r="AN562" s="6" t="str">
        <f>IF(最佳化斷筋點!P562="","",最佳化斷筋點!P562)</f>
        <v/>
      </c>
      <c r="AO562" s="6" t="str">
        <f>IF(最佳化斷筋點!Q562="","",最佳化斷筋點!Q562)</f>
        <v/>
      </c>
      <c r="AP562" s="6" t="str">
        <f>IF(最佳化斷筋點!R562="","",最佳化斷筋點!R562)</f>
        <v/>
      </c>
      <c r="AQ562" s="6" t="str">
        <f>IF(最佳化斷筋點!S562="","",最佳化斷筋點!S562)</f>
        <v/>
      </c>
      <c r="AR562" s="6" t="str">
        <f>IF(最佳化斷筋點!T562="","",最佳化斷筋點!T562)</f>
        <v/>
      </c>
      <c r="AS562" s="6" t="str">
        <f>IF(最佳化斷筋點!U562="","",最佳化斷筋點!U562)</f>
        <v/>
      </c>
      <c r="AT562" s="6" t="str">
        <f>IF(最佳化斷筋點!V562="","",最佳化斷筋點!V562)</f>
        <v/>
      </c>
      <c r="AU562" s="6" t="str">
        <f>IF(最佳化斷筋點!W562="","",最佳化斷筋點!W562)</f>
        <v/>
      </c>
      <c r="AV562" s="6" t="str">
        <f>IF(最佳化斷筋點!X562="","",最佳化斷筋點!X562)</f>
        <v/>
      </c>
    </row>
    <row r="563" spans="4:71" x14ac:dyDescent="0.25">
      <c r="D563" s="6" t="s">
        <v>50</v>
      </c>
      <c r="E563" s="6">
        <f t="shared" si="169"/>
        <v>0</v>
      </c>
      <c r="F563" s="6">
        <f t="shared" si="170"/>
        <v>0</v>
      </c>
      <c r="G563" s="6">
        <f t="shared" si="171"/>
        <v>0</v>
      </c>
      <c r="H563" s="6">
        <f t="shared" si="172"/>
        <v>0</v>
      </c>
      <c r="I563" s="6">
        <f t="shared" si="173"/>
        <v>0</v>
      </c>
      <c r="J563" s="6">
        <f t="shared" si="174"/>
        <v>0</v>
      </c>
      <c r="K563" s="6">
        <f t="shared" si="175"/>
        <v>0</v>
      </c>
      <c r="L563" s="6">
        <f t="shared" si="176"/>
        <v>0</v>
      </c>
      <c r="M563" s="6">
        <f t="shared" si="177"/>
        <v>0</v>
      </c>
      <c r="N563" s="6">
        <f t="shared" si="178"/>
        <v>0</v>
      </c>
      <c r="O563" s="6">
        <f t="shared" si="179"/>
        <v>0</v>
      </c>
      <c r="P563" s="6">
        <f t="shared" si="180"/>
        <v>0</v>
      </c>
      <c r="Q563" s="6">
        <f t="shared" si="181"/>
        <v>0</v>
      </c>
      <c r="R563" s="6">
        <f t="shared" si="182"/>
        <v>0</v>
      </c>
      <c r="S563" s="6">
        <f t="shared" si="183"/>
        <v>0</v>
      </c>
      <c r="T563" s="6">
        <f t="shared" si="184"/>
        <v>0</v>
      </c>
      <c r="U563" s="6">
        <f t="shared" si="185"/>
        <v>0</v>
      </c>
      <c r="V563" s="6">
        <f t="shared" si="186"/>
        <v>0</v>
      </c>
      <c r="W563" s="6">
        <f t="shared" si="187"/>
        <v>0</v>
      </c>
      <c r="X563" s="6">
        <f t="shared" si="188"/>
        <v>0</v>
      </c>
      <c r="Y563" s="6">
        <f t="shared" si="189"/>
        <v>0</v>
      </c>
      <c r="AA563" s="6" t="str">
        <f>IF(最佳化斷筋點!C563="","",最佳化斷筋點!C563)</f>
        <v>上層</v>
      </c>
      <c r="AB563" s="6">
        <f>IF(最佳化斷筋點!D563="","",最佳化斷筋點!D563)</f>
        <v>2</v>
      </c>
      <c r="AC563" s="6">
        <f>IF(最佳化斷筋點!E563="","",最佳化斷筋點!E563)</f>
        <v>2</v>
      </c>
      <c r="AD563" s="6">
        <f>IF(最佳化斷筋點!F563="","",最佳化斷筋點!F563)</f>
        <v>2</v>
      </c>
      <c r="AE563" s="6">
        <f>IF(最佳化斷筋點!G563="","",最佳化斷筋點!G563)</f>
        <v>2</v>
      </c>
      <c r="AF563" s="6">
        <f>IF(最佳化斷筋點!H563="","",最佳化斷筋點!H563)</f>
        <v>2</v>
      </c>
      <c r="AG563" s="6">
        <f>IF(最佳化斷筋點!I563="","",最佳化斷筋點!I563)</f>
        <v>2</v>
      </c>
      <c r="AH563" s="6">
        <f>IF(最佳化斷筋點!J563="","",最佳化斷筋點!J563)</f>
        <v>2</v>
      </c>
      <c r="AI563" s="6">
        <f>IF(最佳化斷筋點!K563="","",最佳化斷筋點!K563)</f>
        <v>2</v>
      </c>
      <c r="AJ563" s="6">
        <f>IF(最佳化斷筋點!L563="","",最佳化斷筋點!L563)</f>
        <v>2</v>
      </c>
      <c r="AK563" s="6">
        <f>IF(最佳化斷筋點!M563="","",最佳化斷筋點!M563)</f>
        <v>2</v>
      </c>
      <c r="AL563" s="6">
        <f>IF(最佳化斷筋點!N563="","",最佳化斷筋點!N563)</f>
        <v>2</v>
      </c>
      <c r="AM563" s="6">
        <f>IF(最佳化斷筋點!O563="","",最佳化斷筋點!O563)</f>
        <v>2</v>
      </c>
      <c r="AN563" s="6">
        <f>IF(最佳化斷筋點!P563="","",最佳化斷筋點!P563)</f>
        <v>2</v>
      </c>
      <c r="AO563" s="6">
        <f>IF(最佳化斷筋點!Q563="","",最佳化斷筋點!Q563)</f>
        <v>2</v>
      </c>
      <c r="AP563" s="6">
        <f>IF(最佳化斷筋點!R563="","",最佳化斷筋點!R563)</f>
        <v>2</v>
      </c>
      <c r="AQ563" s="6">
        <f>IF(最佳化斷筋點!S563="","",最佳化斷筋點!S563)</f>
        <v>3</v>
      </c>
      <c r="AR563" s="6">
        <f>IF(最佳化斷筋點!T563="","",最佳化斷筋點!T563)</f>
        <v>3</v>
      </c>
      <c r="AS563" s="6">
        <f>IF(最佳化斷筋點!U563="","",最佳化斷筋點!U563)</f>
        <v>4</v>
      </c>
      <c r="AT563" s="6">
        <f>IF(最佳化斷筋點!V563="","",最佳化斷筋點!V563)</f>
        <v>4</v>
      </c>
      <c r="AU563" s="6">
        <f>IF(最佳化斷筋點!W563="","",最佳化斷筋點!W563)</f>
        <v>5</v>
      </c>
      <c r="AV563" s="6">
        <f>IF(最佳化斷筋點!X563="","",最佳化斷筋點!X563)</f>
        <v>5</v>
      </c>
      <c r="AX563" s="6" t="s">
        <v>50</v>
      </c>
      <c r="AY563" s="6">
        <v>2</v>
      </c>
      <c r="AZ563" s="6">
        <v>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</row>
    <row r="564" spans="4:71" x14ac:dyDescent="0.25">
      <c r="E564" s="6">
        <f t="shared" si="169"/>
        <v>0</v>
      </c>
      <c r="F564" s="6">
        <f t="shared" si="170"/>
        <v>0</v>
      </c>
      <c r="G564" s="6">
        <f t="shared" si="171"/>
        <v>0</v>
      </c>
      <c r="H564" s="6">
        <f t="shared" si="172"/>
        <v>0</v>
      </c>
      <c r="I564" s="6">
        <f t="shared" si="173"/>
        <v>0</v>
      </c>
      <c r="J564" s="6">
        <f t="shared" si="174"/>
        <v>0</v>
      </c>
      <c r="K564" s="6">
        <f t="shared" si="175"/>
        <v>0</v>
      </c>
      <c r="L564" s="6">
        <f t="shared" si="176"/>
        <v>0</v>
      </c>
      <c r="M564" s="6">
        <f t="shared" si="177"/>
        <v>0</v>
      </c>
      <c r="N564" s="6">
        <f t="shared" si="178"/>
        <v>0</v>
      </c>
      <c r="O564" s="6">
        <f t="shared" si="179"/>
        <v>0</v>
      </c>
      <c r="P564" s="6">
        <f t="shared" si="180"/>
        <v>0</v>
      </c>
      <c r="Q564" s="6">
        <f t="shared" si="181"/>
        <v>0</v>
      </c>
      <c r="R564" s="6">
        <f t="shared" si="182"/>
        <v>0</v>
      </c>
      <c r="S564" s="6">
        <f t="shared" si="183"/>
        <v>0</v>
      </c>
      <c r="T564" s="6">
        <f t="shared" si="184"/>
        <v>0</v>
      </c>
      <c r="U564" s="6">
        <f t="shared" si="185"/>
        <v>0</v>
      </c>
      <c r="V564" s="6">
        <f t="shared" si="186"/>
        <v>0</v>
      </c>
      <c r="W564" s="6">
        <f t="shared" si="187"/>
        <v>0</v>
      </c>
      <c r="X564" s="6">
        <f t="shared" si="188"/>
        <v>0</v>
      </c>
      <c r="Y564" s="6">
        <f t="shared" si="189"/>
        <v>0</v>
      </c>
      <c r="AA564" s="6" t="str">
        <f>IF(最佳化斷筋點!C564="","",最佳化斷筋點!C564)</f>
        <v/>
      </c>
      <c r="AB564" s="6" t="str">
        <f>IF(最佳化斷筋點!D564="","",最佳化斷筋點!D564)</f>
        <v/>
      </c>
      <c r="AC564" s="6" t="str">
        <f>IF(最佳化斷筋點!E564="","",最佳化斷筋點!E564)</f>
        <v/>
      </c>
      <c r="AD564" s="6" t="str">
        <f>IF(最佳化斷筋點!F564="","",最佳化斷筋點!F564)</f>
        <v/>
      </c>
      <c r="AE564" s="6" t="str">
        <f>IF(最佳化斷筋點!G564="","",最佳化斷筋點!G564)</f>
        <v/>
      </c>
      <c r="AF564" s="6" t="str">
        <f>IF(最佳化斷筋點!H564="","",最佳化斷筋點!H564)</f>
        <v/>
      </c>
      <c r="AG564" s="6" t="str">
        <f>IF(最佳化斷筋點!I564="","",最佳化斷筋點!I564)</f>
        <v/>
      </c>
      <c r="AH564" s="6" t="str">
        <f>IF(最佳化斷筋點!J564="","",最佳化斷筋點!J564)</f>
        <v/>
      </c>
      <c r="AI564" s="6" t="str">
        <f>IF(最佳化斷筋點!K564="","",最佳化斷筋點!K564)</f>
        <v/>
      </c>
      <c r="AJ564" s="6" t="str">
        <f>IF(最佳化斷筋點!L564="","",最佳化斷筋點!L564)</f>
        <v/>
      </c>
      <c r="AK564" s="6" t="str">
        <f>IF(最佳化斷筋點!M564="","",最佳化斷筋點!M564)</f>
        <v/>
      </c>
      <c r="AL564" s="6" t="str">
        <f>IF(最佳化斷筋點!N564="","",最佳化斷筋點!N564)</f>
        <v/>
      </c>
      <c r="AM564" s="6" t="str">
        <f>IF(最佳化斷筋點!O564="","",最佳化斷筋點!O564)</f>
        <v/>
      </c>
      <c r="AN564" s="6" t="str">
        <f>IF(最佳化斷筋點!P564="","",最佳化斷筋點!P564)</f>
        <v/>
      </c>
      <c r="AO564" s="6" t="str">
        <f>IF(最佳化斷筋點!Q564="","",最佳化斷筋點!Q564)</f>
        <v/>
      </c>
      <c r="AP564" s="6" t="str">
        <f>IF(最佳化斷筋點!R564="","",最佳化斷筋點!R564)</f>
        <v/>
      </c>
      <c r="AQ564" s="6" t="str">
        <f>IF(最佳化斷筋點!S564="","",最佳化斷筋點!S564)</f>
        <v/>
      </c>
      <c r="AR564" s="6" t="str">
        <f>IF(最佳化斷筋點!T564="","",最佳化斷筋點!T564)</f>
        <v/>
      </c>
      <c r="AS564" s="6" t="str">
        <f>IF(最佳化斷筋點!U564="","",最佳化斷筋點!U564)</f>
        <v/>
      </c>
      <c r="AT564" s="6" t="str">
        <f>IF(最佳化斷筋點!V564="","",最佳化斷筋點!V564)</f>
        <v/>
      </c>
      <c r="AU564" s="6" t="str">
        <f>IF(最佳化斷筋點!W564="","",最佳化斷筋點!W564)</f>
        <v/>
      </c>
      <c r="AV564" s="6" t="str">
        <f>IF(最佳化斷筋點!X564="","",最佳化斷筋點!X564)</f>
        <v/>
      </c>
    </row>
    <row r="565" spans="4:71" x14ac:dyDescent="0.25">
      <c r="D565" s="6" t="s">
        <v>51</v>
      </c>
      <c r="E565" s="6">
        <f t="shared" si="169"/>
        <v>0</v>
      </c>
      <c r="F565" s="6">
        <f t="shared" si="170"/>
        <v>0</v>
      </c>
      <c r="G565" s="6">
        <f t="shared" si="171"/>
        <v>0</v>
      </c>
      <c r="H565" s="6">
        <f t="shared" si="172"/>
        <v>0</v>
      </c>
      <c r="I565" s="6">
        <f t="shared" si="173"/>
        <v>0</v>
      </c>
      <c r="J565" s="6">
        <f t="shared" si="174"/>
        <v>0</v>
      </c>
      <c r="K565" s="6">
        <f t="shared" si="175"/>
        <v>0</v>
      </c>
      <c r="L565" s="6">
        <f t="shared" si="176"/>
        <v>0</v>
      </c>
      <c r="M565" s="6">
        <f t="shared" si="177"/>
        <v>0</v>
      </c>
      <c r="N565" s="6">
        <f t="shared" si="178"/>
        <v>0</v>
      </c>
      <c r="O565" s="6">
        <f t="shared" si="179"/>
        <v>0</v>
      </c>
      <c r="P565" s="6">
        <f t="shared" si="180"/>
        <v>0</v>
      </c>
      <c r="Q565" s="6">
        <f t="shared" si="181"/>
        <v>0</v>
      </c>
      <c r="R565" s="6">
        <f t="shared" si="182"/>
        <v>0</v>
      </c>
      <c r="S565" s="6">
        <f t="shared" si="183"/>
        <v>0</v>
      </c>
      <c r="T565" s="6">
        <f t="shared" si="184"/>
        <v>0</v>
      </c>
      <c r="U565" s="6">
        <f t="shared" si="185"/>
        <v>0</v>
      </c>
      <c r="V565" s="6">
        <f t="shared" si="186"/>
        <v>0</v>
      </c>
      <c r="W565" s="6">
        <f t="shared" si="187"/>
        <v>0</v>
      </c>
      <c r="X565" s="6">
        <f t="shared" si="188"/>
        <v>0</v>
      </c>
      <c r="Y565" s="6">
        <f t="shared" si="189"/>
        <v>0</v>
      </c>
      <c r="AA565" s="6" t="str">
        <f>IF(最佳化斷筋點!C565="","",最佳化斷筋點!C565)</f>
        <v>下層</v>
      </c>
      <c r="AB565" s="6">
        <f>IF(最佳化斷筋點!D565="","",最佳化斷筋點!D565)</f>
        <v>5</v>
      </c>
      <c r="AC565" s="6">
        <f>IF(最佳化斷筋點!E565="","",最佳化斷筋點!E565)</f>
        <v>5</v>
      </c>
      <c r="AD565" s="6">
        <f>IF(最佳化斷筋點!F565="","",最佳化斷筋點!F565)</f>
        <v>4</v>
      </c>
      <c r="AE565" s="6">
        <f>IF(最佳化斷筋點!G565="","",最佳化斷筋點!G565)</f>
        <v>4</v>
      </c>
      <c r="AF565" s="6">
        <f>IF(最佳化斷筋點!H565="","",最佳化斷筋點!H565)</f>
        <v>4</v>
      </c>
      <c r="AG565" s="6">
        <f>IF(最佳化斷筋點!I565="","",最佳化斷筋點!I565)</f>
        <v>5</v>
      </c>
      <c r="AH565" s="6">
        <f>IF(最佳化斷筋點!J565="","",最佳化斷筋點!J565)</f>
        <v>6</v>
      </c>
      <c r="AI565" s="6">
        <f>IF(最佳化斷筋點!K565="","",最佳化斷筋點!K565)</f>
        <v>6</v>
      </c>
      <c r="AJ565" s="6">
        <f>IF(最佳化斷筋點!L565="","",最佳化斷筋點!L565)</f>
        <v>6</v>
      </c>
      <c r="AK565" s="6">
        <f>IF(最佳化斷筋點!M565="","",最佳化斷筋點!M565)</f>
        <v>6</v>
      </c>
      <c r="AL565" s="6">
        <f>IF(最佳化斷筋點!N565="","",最佳化斷筋點!N565)</f>
        <v>6</v>
      </c>
      <c r="AM565" s="6">
        <f>IF(最佳化斷筋點!O565="","",最佳化斷筋點!O565)</f>
        <v>6</v>
      </c>
      <c r="AN565" s="6">
        <f>IF(最佳化斷筋點!P565="","",最佳化斷筋點!P565)</f>
        <v>6</v>
      </c>
      <c r="AO565" s="6">
        <f>IF(最佳化斷筋點!Q565="","",最佳化斷筋點!Q565)</f>
        <v>6</v>
      </c>
      <c r="AP565" s="6">
        <f>IF(最佳化斷筋點!R565="","",最佳化斷筋點!R565)</f>
        <v>6</v>
      </c>
      <c r="AQ565" s="6">
        <f>IF(最佳化斷筋點!S565="","",最佳化斷筋點!S565)</f>
        <v>5</v>
      </c>
      <c r="AR565" s="6">
        <f>IF(最佳化斷筋點!T565="","",最佳化斷筋點!T565)</f>
        <v>4</v>
      </c>
      <c r="AS565" s="6">
        <f>IF(最佳化斷筋點!U565="","",最佳化斷筋點!U565)</f>
        <v>4</v>
      </c>
      <c r="AT565" s="6">
        <f>IF(最佳化斷筋點!V565="","",最佳化斷筋點!V565)</f>
        <v>4</v>
      </c>
      <c r="AU565" s="6">
        <f>IF(最佳化斷筋點!W565="","",最佳化斷筋點!W565)</f>
        <v>4</v>
      </c>
      <c r="AV565" s="6">
        <f>IF(最佳化斷筋點!X565="","",最佳化斷筋點!X565)</f>
        <v>4</v>
      </c>
      <c r="AX565" s="6" t="s">
        <v>51</v>
      </c>
      <c r="AY565" s="6">
        <v>5</v>
      </c>
      <c r="AZ565" s="6">
        <v>5</v>
      </c>
      <c r="BA565" s="6">
        <v>4</v>
      </c>
      <c r="BB565" s="6">
        <v>4</v>
      </c>
      <c r="BC565" s="6">
        <v>4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5</v>
      </c>
      <c r="BO565" s="6">
        <v>4</v>
      </c>
      <c r="BP565" s="6">
        <v>4</v>
      </c>
      <c r="BQ565" s="6">
        <v>4</v>
      </c>
      <c r="BR565" s="6">
        <v>4</v>
      </c>
      <c r="BS565" s="6">
        <v>4</v>
      </c>
    </row>
    <row r="566" spans="4:71" x14ac:dyDescent="0.25">
      <c r="E566" s="6">
        <f t="shared" si="169"/>
        <v>0</v>
      </c>
      <c r="F566" s="6">
        <f t="shared" si="170"/>
        <v>0</v>
      </c>
      <c r="G566" s="6">
        <f t="shared" si="171"/>
        <v>0</v>
      </c>
      <c r="H566" s="6">
        <f t="shared" si="172"/>
        <v>0</v>
      </c>
      <c r="I566" s="6">
        <f t="shared" si="173"/>
        <v>0</v>
      </c>
      <c r="J566" s="6">
        <f t="shared" si="174"/>
        <v>0</v>
      </c>
      <c r="K566" s="6">
        <f t="shared" si="175"/>
        <v>0</v>
      </c>
      <c r="L566" s="6">
        <f t="shared" si="176"/>
        <v>0</v>
      </c>
      <c r="M566" s="6">
        <f t="shared" si="177"/>
        <v>0</v>
      </c>
      <c r="N566" s="6">
        <f t="shared" si="178"/>
        <v>0</v>
      </c>
      <c r="O566" s="6">
        <f t="shared" si="179"/>
        <v>0</v>
      </c>
      <c r="P566" s="6">
        <f t="shared" si="180"/>
        <v>0</v>
      </c>
      <c r="Q566" s="6">
        <f t="shared" si="181"/>
        <v>0</v>
      </c>
      <c r="R566" s="6">
        <f t="shared" si="182"/>
        <v>0</v>
      </c>
      <c r="S566" s="6">
        <f t="shared" si="183"/>
        <v>0</v>
      </c>
      <c r="T566" s="6">
        <f t="shared" si="184"/>
        <v>0</v>
      </c>
      <c r="U566" s="6">
        <f t="shared" si="185"/>
        <v>0</v>
      </c>
      <c r="V566" s="6">
        <f t="shared" si="186"/>
        <v>0</v>
      </c>
      <c r="W566" s="6">
        <f t="shared" si="187"/>
        <v>0</v>
      </c>
      <c r="X566" s="6">
        <f t="shared" si="188"/>
        <v>0</v>
      </c>
      <c r="Y566" s="6">
        <f t="shared" si="189"/>
        <v>0</v>
      </c>
      <c r="AA566" s="6" t="str">
        <f>IF(最佳化斷筋點!C566="","",最佳化斷筋點!C566)</f>
        <v/>
      </c>
      <c r="AB566" s="6" t="str">
        <f>IF(最佳化斷筋點!D566="","",最佳化斷筋點!D566)</f>
        <v/>
      </c>
      <c r="AC566" s="6" t="str">
        <f>IF(最佳化斷筋點!E566="","",最佳化斷筋點!E566)</f>
        <v/>
      </c>
      <c r="AD566" s="6" t="str">
        <f>IF(最佳化斷筋點!F566="","",最佳化斷筋點!F566)</f>
        <v/>
      </c>
      <c r="AE566" s="6" t="str">
        <f>IF(最佳化斷筋點!G566="","",最佳化斷筋點!G566)</f>
        <v/>
      </c>
      <c r="AF566" s="6" t="str">
        <f>IF(最佳化斷筋點!H566="","",最佳化斷筋點!H566)</f>
        <v/>
      </c>
      <c r="AG566" s="6" t="str">
        <f>IF(最佳化斷筋點!I566="","",最佳化斷筋點!I566)</f>
        <v/>
      </c>
      <c r="AH566" s="6" t="str">
        <f>IF(最佳化斷筋點!J566="","",最佳化斷筋點!J566)</f>
        <v/>
      </c>
      <c r="AI566" s="6" t="str">
        <f>IF(最佳化斷筋點!K566="","",最佳化斷筋點!K566)</f>
        <v/>
      </c>
      <c r="AJ566" s="6" t="str">
        <f>IF(最佳化斷筋點!L566="","",最佳化斷筋點!L566)</f>
        <v/>
      </c>
      <c r="AK566" s="6" t="str">
        <f>IF(最佳化斷筋點!M566="","",最佳化斷筋點!M566)</f>
        <v/>
      </c>
      <c r="AL566" s="6" t="str">
        <f>IF(最佳化斷筋點!N566="","",最佳化斷筋點!N566)</f>
        <v/>
      </c>
      <c r="AM566" s="6" t="str">
        <f>IF(最佳化斷筋點!O566="","",最佳化斷筋點!O566)</f>
        <v/>
      </c>
      <c r="AN566" s="6" t="str">
        <f>IF(最佳化斷筋點!P566="","",最佳化斷筋點!P566)</f>
        <v/>
      </c>
      <c r="AO566" s="6" t="str">
        <f>IF(最佳化斷筋點!Q566="","",最佳化斷筋點!Q566)</f>
        <v/>
      </c>
      <c r="AP566" s="6" t="str">
        <f>IF(最佳化斷筋點!R566="","",最佳化斷筋點!R566)</f>
        <v/>
      </c>
      <c r="AQ566" s="6" t="str">
        <f>IF(最佳化斷筋點!S566="","",最佳化斷筋點!S566)</f>
        <v/>
      </c>
      <c r="AR566" s="6" t="str">
        <f>IF(最佳化斷筋點!T566="","",最佳化斷筋點!T566)</f>
        <v/>
      </c>
      <c r="AS566" s="6" t="str">
        <f>IF(最佳化斷筋點!U566="","",最佳化斷筋點!U566)</f>
        <v/>
      </c>
      <c r="AT566" s="6" t="str">
        <f>IF(最佳化斷筋點!V566="","",最佳化斷筋點!V566)</f>
        <v/>
      </c>
      <c r="AU566" s="6" t="str">
        <f>IF(最佳化斷筋點!W566="","",最佳化斷筋點!W566)</f>
        <v/>
      </c>
      <c r="AV566" s="6" t="str">
        <f>IF(最佳化斷筋點!X566="","",最佳化斷筋點!X566)</f>
        <v/>
      </c>
    </row>
    <row r="567" spans="4:71" x14ac:dyDescent="0.25">
      <c r="D567" s="6" t="s">
        <v>50</v>
      </c>
      <c r="E567" s="6">
        <f t="shared" si="169"/>
        <v>0</v>
      </c>
      <c r="F567" s="6">
        <f t="shared" si="170"/>
        <v>0</v>
      </c>
      <c r="G567" s="6">
        <f t="shared" si="171"/>
        <v>0</v>
      </c>
      <c r="H567" s="6">
        <f t="shared" si="172"/>
        <v>0</v>
      </c>
      <c r="I567" s="6">
        <f t="shared" si="173"/>
        <v>0</v>
      </c>
      <c r="J567" s="6">
        <f t="shared" si="174"/>
        <v>0</v>
      </c>
      <c r="K567" s="6">
        <f t="shared" si="175"/>
        <v>0</v>
      </c>
      <c r="L567" s="6">
        <f t="shared" si="176"/>
        <v>0</v>
      </c>
      <c r="M567" s="6">
        <f t="shared" si="177"/>
        <v>0</v>
      </c>
      <c r="N567" s="6">
        <f t="shared" si="178"/>
        <v>0</v>
      </c>
      <c r="O567" s="6">
        <f t="shared" si="179"/>
        <v>0</v>
      </c>
      <c r="P567" s="6">
        <f t="shared" si="180"/>
        <v>0</v>
      </c>
      <c r="Q567" s="6">
        <f t="shared" si="181"/>
        <v>0</v>
      </c>
      <c r="R567" s="6">
        <f t="shared" si="182"/>
        <v>0</v>
      </c>
      <c r="S567" s="6">
        <f t="shared" si="183"/>
        <v>0</v>
      </c>
      <c r="T567" s="6">
        <f t="shared" si="184"/>
        <v>0</v>
      </c>
      <c r="U567" s="6">
        <f t="shared" si="185"/>
        <v>0</v>
      </c>
      <c r="V567" s="6">
        <f t="shared" si="186"/>
        <v>0</v>
      </c>
      <c r="W567" s="6">
        <f t="shared" si="187"/>
        <v>0</v>
      </c>
      <c r="X567" s="6">
        <f t="shared" si="188"/>
        <v>0</v>
      </c>
      <c r="Y567" s="6">
        <f t="shared" si="189"/>
        <v>0</v>
      </c>
      <c r="AA567" s="6" t="str">
        <f>IF(最佳化斷筋點!C567="","",最佳化斷筋點!C567)</f>
        <v>上層</v>
      </c>
      <c r="AB567" s="6">
        <f>IF(最佳化斷筋點!D567="","",最佳化斷筋點!D567)</f>
        <v>5</v>
      </c>
      <c r="AC567" s="6">
        <f>IF(最佳化斷筋點!E567="","",最佳化斷筋點!E567)</f>
        <v>5</v>
      </c>
      <c r="AD567" s="6">
        <f>IF(最佳化斷筋點!F567="","",最佳化斷筋點!F567)</f>
        <v>4</v>
      </c>
      <c r="AE567" s="6">
        <f>IF(最佳化斷筋點!G567="","",最佳化斷筋點!G567)</f>
        <v>4</v>
      </c>
      <c r="AF567" s="6">
        <f>IF(最佳化斷筋點!H567="","",最佳化斷筋點!H567)</f>
        <v>4</v>
      </c>
      <c r="AG567" s="6">
        <f>IF(最佳化斷筋點!I567="","",最佳化斷筋點!I567)</f>
        <v>3</v>
      </c>
      <c r="AH567" s="6">
        <f>IF(最佳化斷筋點!J567="","",最佳化斷筋點!J567)</f>
        <v>3</v>
      </c>
      <c r="AI567" s="6">
        <f>IF(最佳化斷筋點!K567="","",最佳化斷筋點!K567)</f>
        <v>2</v>
      </c>
      <c r="AJ567" s="6">
        <f>IF(最佳化斷筋點!L567="","",最佳化斷筋點!L567)</f>
        <v>2</v>
      </c>
      <c r="AK567" s="6">
        <f>IF(最佳化斷筋點!M567="","",最佳化斷筋點!M567)</f>
        <v>2</v>
      </c>
      <c r="AL567" s="6">
        <f>IF(最佳化斷筋點!N567="","",最佳化斷筋點!N567)</f>
        <v>2</v>
      </c>
      <c r="AM567" s="6">
        <f>IF(最佳化斷筋點!O567="","",最佳化斷筋點!O567)</f>
        <v>2</v>
      </c>
      <c r="AN567" s="6">
        <f>IF(最佳化斷筋點!P567="","",最佳化斷筋點!P567)</f>
        <v>2</v>
      </c>
      <c r="AO567" s="6">
        <f>IF(最佳化斷筋點!Q567="","",最佳化斷筋點!Q567)</f>
        <v>2</v>
      </c>
      <c r="AP567" s="6">
        <f>IF(最佳化斷筋點!R567="","",最佳化斷筋點!R567)</f>
        <v>2</v>
      </c>
      <c r="AQ567" s="6">
        <f>IF(最佳化斷筋點!S567="","",最佳化斷筋點!S567)</f>
        <v>3</v>
      </c>
      <c r="AR567" s="6">
        <f>IF(最佳化斷筋點!T567="","",最佳化斷筋點!T567)</f>
        <v>3</v>
      </c>
      <c r="AS567" s="6">
        <f>IF(最佳化斷筋點!U567="","",最佳化斷筋點!U567)</f>
        <v>4</v>
      </c>
      <c r="AT567" s="6">
        <f>IF(最佳化斷筋點!V567="","",最佳化斷筋點!V567)</f>
        <v>4</v>
      </c>
      <c r="AU567" s="6">
        <f>IF(最佳化斷筋點!W567="","",最佳化斷筋點!W567)</f>
        <v>5</v>
      </c>
      <c r="AV567" s="6">
        <f>IF(最佳化斷筋點!X567="","",最佳化斷筋點!X567)</f>
        <v>5</v>
      </c>
      <c r="AX567" s="6" t="s">
        <v>50</v>
      </c>
      <c r="AY567" s="6">
        <v>5</v>
      </c>
      <c r="AZ567" s="6">
        <v>5</v>
      </c>
      <c r="BA567" s="6">
        <v>4</v>
      </c>
      <c r="BB567" s="6">
        <v>4</v>
      </c>
      <c r="BC567" s="6">
        <v>4</v>
      </c>
      <c r="BD567" s="6">
        <v>3</v>
      </c>
      <c r="BE567" s="6">
        <v>3</v>
      </c>
      <c r="BF567" s="6">
        <v>2</v>
      </c>
      <c r="BG567" s="6">
        <v>2</v>
      </c>
      <c r="BH567" s="6">
        <v>2</v>
      </c>
      <c r="BI567" s="6">
        <v>2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</row>
    <row r="568" spans="4:71" x14ac:dyDescent="0.25">
      <c r="E568" s="6">
        <f t="shared" si="169"/>
        <v>0</v>
      </c>
      <c r="F568" s="6">
        <f t="shared" si="170"/>
        <v>0</v>
      </c>
      <c r="G568" s="6">
        <f t="shared" si="171"/>
        <v>0</v>
      </c>
      <c r="H568" s="6">
        <f t="shared" si="172"/>
        <v>0</v>
      </c>
      <c r="I568" s="6">
        <f t="shared" si="173"/>
        <v>0</v>
      </c>
      <c r="J568" s="6">
        <f t="shared" si="174"/>
        <v>0</v>
      </c>
      <c r="K568" s="6">
        <f t="shared" si="175"/>
        <v>0</v>
      </c>
      <c r="L568" s="6">
        <f t="shared" si="176"/>
        <v>0</v>
      </c>
      <c r="M568" s="6">
        <f t="shared" si="177"/>
        <v>0</v>
      </c>
      <c r="N568" s="6">
        <f t="shared" si="178"/>
        <v>0</v>
      </c>
      <c r="O568" s="6">
        <f t="shared" si="179"/>
        <v>0</v>
      </c>
      <c r="P568" s="6">
        <f t="shared" si="180"/>
        <v>0</v>
      </c>
      <c r="Q568" s="6">
        <f t="shared" si="181"/>
        <v>0</v>
      </c>
      <c r="R568" s="6">
        <f t="shared" si="182"/>
        <v>0</v>
      </c>
      <c r="S568" s="6">
        <f t="shared" si="183"/>
        <v>0</v>
      </c>
      <c r="T568" s="6">
        <f t="shared" si="184"/>
        <v>0</v>
      </c>
      <c r="U568" s="6">
        <f t="shared" si="185"/>
        <v>0</v>
      </c>
      <c r="V568" s="6">
        <f t="shared" si="186"/>
        <v>0</v>
      </c>
      <c r="W568" s="6">
        <f t="shared" si="187"/>
        <v>0</v>
      </c>
      <c r="X568" s="6">
        <f t="shared" si="188"/>
        <v>0</v>
      </c>
      <c r="Y568" s="6">
        <f t="shared" si="189"/>
        <v>0</v>
      </c>
      <c r="AA568" s="6" t="str">
        <f>IF(最佳化斷筋點!C568="","",最佳化斷筋點!C568)</f>
        <v/>
      </c>
      <c r="AB568" s="6" t="str">
        <f>IF(最佳化斷筋點!D568="","",最佳化斷筋點!D568)</f>
        <v/>
      </c>
      <c r="AC568" s="6" t="str">
        <f>IF(最佳化斷筋點!E568="","",最佳化斷筋點!E568)</f>
        <v/>
      </c>
      <c r="AD568" s="6" t="str">
        <f>IF(最佳化斷筋點!F568="","",最佳化斷筋點!F568)</f>
        <v/>
      </c>
      <c r="AE568" s="6" t="str">
        <f>IF(最佳化斷筋點!G568="","",最佳化斷筋點!G568)</f>
        <v/>
      </c>
      <c r="AF568" s="6" t="str">
        <f>IF(最佳化斷筋點!H568="","",最佳化斷筋點!H568)</f>
        <v/>
      </c>
      <c r="AG568" s="6" t="str">
        <f>IF(最佳化斷筋點!I568="","",最佳化斷筋點!I568)</f>
        <v/>
      </c>
      <c r="AH568" s="6" t="str">
        <f>IF(最佳化斷筋點!J568="","",最佳化斷筋點!J568)</f>
        <v/>
      </c>
      <c r="AI568" s="6" t="str">
        <f>IF(最佳化斷筋點!K568="","",最佳化斷筋點!K568)</f>
        <v/>
      </c>
      <c r="AJ568" s="6" t="str">
        <f>IF(最佳化斷筋點!L568="","",最佳化斷筋點!L568)</f>
        <v/>
      </c>
      <c r="AK568" s="6" t="str">
        <f>IF(最佳化斷筋點!M568="","",最佳化斷筋點!M568)</f>
        <v/>
      </c>
      <c r="AL568" s="6" t="str">
        <f>IF(最佳化斷筋點!N568="","",最佳化斷筋點!N568)</f>
        <v/>
      </c>
      <c r="AM568" s="6" t="str">
        <f>IF(最佳化斷筋點!O568="","",最佳化斷筋點!O568)</f>
        <v/>
      </c>
      <c r="AN568" s="6" t="str">
        <f>IF(最佳化斷筋點!P568="","",最佳化斷筋點!P568)</f>
        <v/>
      </c>
      <c r="AO568" s="6" t="str">
        <f>IF(最佳化斷筋點!Q568="","",最佳化斷筋點!Q568)</f>
        <v/>
      </c>
      <c r="AP568" s="6" t="str">
        <f>IF(最佳化斷筋點!R568="","",最佳化斷筋點!R568)</f>
        <v/>
      </c>
      <c r="AQ568" s="6" t="str">
        <f>IF(最佳化斷筋點!S568="","",最佳化斷筋點!S568)</f>
        <v/>
      </c>
      <c r="AR568" s="6" t="str">
        <f>IF(最佳化斷筋點!T568="","",最佳化斷筋點!T568)</f>
        <v/>
      </c>
      <c r="AS568" s="6" t="str">
        <f>IF(最佳化斷筋點!U568="","",最佳化斷筋點!U568)</f>
        <v/>
      </c>
      <c r="AT568" s="6" t="str">
        <f>IF(最佳化斷筋點!V568="","",最佳化斷筋點!V568)</f>
        <v/>
      </c>
      <c r="AU568" s="6" t="str">
        <f>IF(最佳化斷筋點!W568="","",最佳化斷筋點!W568)</f>
        <v/>
      </c>
      <c r="AV568" s="6" t="str">
        <f>IF(最佳化斷筋點!X568="","",最佳化斷筋點!X568)</f>
        <v/>
      </c>
    </row>
    <row r="569" spans="4:71" x14ac:dyDescent="0.25">
      <c r="D569" s="6" t="s">
        <v>51</v>
      </c>
      <c r="E569" s="6">
        <f t="shared" si="169"/>
        <v>0</v>
      </c>
      <c r="F569" s="6">
        <f t="shared" si="170"/>
        <v>0</v>
      </c>
      <c r="G569" s="6">
        <f t="shared" si="171"/>
        <v>0</v>
      </c>
      <c r="H569" s="6">
        <f t="shared" si="172"/>
        <v>0</v>
      </c>
      <c r="I569" s="6">
        <f t="shared" si="173"/>
        <v>0</v>
      </c>
      <c r="J569" s="6">
        <f t="shared" si="174"/>
        <v>0</v>
      </c>
      <c r="K569" s="6">
        <f t="shared" si="175"/>
        <v>0</v>
      </c>
      <c r="L569" s="6">
        <f t="shared" si="176"/>
        <v>0</v>
      </c>
      <c r="M569" s="6">
        <f t="shared" si="177"/>
        <v>0</v>
      </c>
      <c r="N569" s="6">
        <f t="shared" si="178"/>
        <v>0</v>
      </c>
      <c r="O569" s="6">
        <f t="shared" si="179"/>
        <v>0</v>
      </c>
      <c r="P569" s="6">
        <f t="shared" si="180"/>
        <v>0</v>
      </c>
      <c r="Q569" s="6">
        <f t="shared" si="181"/>
        <v>0</v>
      </c>
      <c r="R569" s="6">
        <f t="shared" si="182"/>
        <v>0</v>
      </c>
      <c r="S569" s="6">
        <f t="shared" si="183"/>
        <v>0</v>
      </c>
      <c r="T569" s="6">
        <f t="shared" si="184"/>
        <v>0</v>
      </c>
      <c r="U569" s="6">
        <f t="shared" si="185"/>
        <v>0</v>
      </c>
      <c r="V569" s="6">
        <f t="shared" si="186"/>
        <v>0</v>
      </c>
      <c r="W569" s="6">
        <f t="shared" si="187"/>
        <v>0</v>
      </c>
      <c r="X569" s="6">
        <f t="shared" si="188"/>
        <v>0</v>
      </c>
      <c r="Y569" s="6">
        <f t="shared" si="189"/>
        <v>0</v>
      </c>
      <c r="AA569" s="6" t="str">
        <f>IF(最佳化斷筋點!C569="","",最佳化斷筋點!C569)</f>
        <v>下層</v>
      </c>
      <c r="AB569" s="6">
        <f>IF(最佳化斷筋點!D569="","",最佳化斷筋點!D569)</f>
        <v>4</v>
      </c>
      <c r="AC569" s="6">
        <f>IF(最佳化斷筋點!E569="","",最佳化斷筋點!E569)</f>
        <v>4</v>
      </c>
      <c r="AD569" s="6">
        <f>IF(最佳化斷筋點!F569="","",最佳化斷筋點!F569)</f>
        <v>4</v>
      </c>
      <c r="AE569" s="6">
        <f>IF(最佳化斷筋點!G569="","",最佳化斷筋點!G569)</f>
        <v>3</v>
      </c>
      <c r="AF569" s="6">
        <f>IF(最佳化斷筋點!H569="","",最佳化斷筋點!H569)</f>
        <v>3</v>
      </c>
      <c r="AG569" s="6">
        <f>IF(最佳化斷筋點!I569="","",最佳化斷筋點!I569)</f>
        <v>3</v>
      </c>
      <c r="AH569" s="6">
        <f>IF(最佳化斷筋點!J569="","",最佳化斷筋點!J569)</f>
        <v>4</v>
      </c>
      <c r="AI569" s="6">
        <f>IF(最佳化斷筋點!K569="","",最佳化斷筋點!K569)</f>
        <v>4</v>
      </c>
      <c r="AJ569" s="6">
        <f>IF(最佳化斷筋點!L569="","",最佳化斷筋點!L569)</f>
        <v>4</v>
      </c>
      <c r="AK569" s="6">
        <f>IF(最佳化斷筋點!M569="","",最佳化斷筋點!M569)</f>
        <v>4</v>
      </c>
      <c r="AL569" s="6">
        <f>IF(最佳化斷筋點!N569="","",最佳化斷筋點!N569)</f>
        <v>4</v>
      </c>
      <c r="AM569" s="6">
        <f>IF(最佳化斷筋點!O569="","",最佳化斷筋點!O569)</f>
        <v>4</v>
      </c>
      <c r="AN569" s="6">
        <f>IF(最佳化斷筋點!P569="","",最佳化斷筋點!P569)</f>
        <v>4</v>
      </c>
      <c r="AO569" s="6">
        <f>IF(最佳化斷筋點!Q569="","",最佳化斷筋點!Q569)</f>
        <v>4</v>
      </c>
      <c r="AP569" s="6">
        <f>IF(最佳化斷筋點!R569="","",最佳化斷筋點!R569)</f>
        <v>4</v>
      </c>
      <c r="AQ569" s="6">
        <f>IF(最佳化斷筋點!S569="","",最佳化斷筋點!S569)</f>
        <v>3</v>
      </c>
      <c r="AR569" s="6">
        <f>IF(最佳化斷筋點!T569="","",最佳化斷筋點!T569)</f>
        <v>3</v>
      </c>
      <c r="AS569" s="6">
        <f>IF(最佳化斷筋點!U569="","",最佳化斷筋點!U569)</f>
        <v>3</v>
      </c>
      <c r="AT569" s="6">
        <f>IF(最佳化斷筋點!V569="","",最佳化斷筋點!V569)</f>
        <v>3</v>
      </c>
      <c r="AU569" s="6">
        <f>IF(最佳化斷筋點!W569="","",最佳化斷筋點!W569)</f>
        <v>3</v>
      </c>
      <c r="AV569" s="6">
        <f>IF(最佳化斷筋點!X569="","",最佳化斷筋點!X569)</f>
        <v>3</v>
      </c>
      <c r="AX569" s="6" t="s">
        <v>51</v>
      </c>
      <c r="AY569" s="6">
        <v>4</v>
      </c>
      <c r="AZ569" s="6">
        <v>4</v>
      </c>
      <c r="BA569" s="6">
        <v>4</v>
      </c>
      <c r="BB569" s="6">
        <v>3</v>
      </c>
      <c r="BC569" s="6">
        <v>3</v>
      </c>
      <c r="BD569" s="6">
        <v>3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3</v>
      </c>
      <c r="BO569" s="6">
        <v>3</v>
      </c>
      <c r="BP569" s="6">
        <v>3</v>
      </c>
      <c r="BQ569" s="6">
        <v>3</v>
      </c>
      <c r="BR569" s="6">
        <v>3</v>
      </c>
      <c r="BS569" s="6">
        <v>3</v>
      </c>
    </row>
    <row r="570" spans="4:71" x14ac:dyDescent="0.25">
      <c r="E570" s="6">
        <f t="shared" si="169"/>
        <v>0</v>
      </c>
      <c r="F570" s="6">
        <f t="shared" si="170"/>
        <v>0</v>
      </c>
      <c r="G570" s="6">
        <f t="shared" si="171"/>
        <v>0</v>
      </c>
      <c r="H570" s="6">
        <f t="shared" si="172"/>
        <v>0</v>
      </c>
      <c r="I570" s="6">
        <f t="shared" si="173"/>
        <v>0</v>
      </c>
      <c r="J570" s="6">
        <f t="shared" si="174"/>
        <v>0</v>
      </c>
      <c r="K570" s="6">
        <f t="shared" si="175"/>
        <v>0</v>
      </c>
      <c r="L570" s="6">
        <f t="shared" si="176"/>
        <v>0</v>
      </c>
      <c r="M570" s="6">
        <f t="shared" si="177"/>
        <v>0</v>
      </c>
      <c r="N570" s="6">
        <f t="shared" si="178"/>
        <v>0</v>
      </c>
      <c r="O570" s="6">
        <f t="shared" si="179"/>
        <v>0</v>
      </c>
      <c r="P570" s="6">
        <f t="shared" si="180"/>
        <v>0</v>
      </c>
      <c r="Q570" s="6">
        <f t="shared" si="181"/>
        <v>0</v>
      </c>
      <c r="R570" s="6">
        <f t="shared" si="182"/>
        <v>0</v>
      </c>
      <c r="S570" s="6">
        <f t="shared" si="183"/>
        <v>0</v>
      </c>
      <c r="T570" s="6">
        <f t="shared" si="184"/>
        <v>0</v>
      </c>
      <c r="U570" s="6">
        <f t="shared" si="185"/>
        <v>0</v>
      </c>
      <c r="V570" s="6">
        <f t="shared" si="186"/>
        <v>0</v>
      </c>
      <c r="W570" s="6">
        <f t="shared" si="187"/>
        <v>0</v>
      </c>
      <c r="X570" s="6">
        <f t="shared" si="188"/>
        <v>0</v>
      </c>
      <c r="Y570" s="6">
        <f t="shared" si="189"/>
        <v>0</v>
      </c>
      <c r="AA570" s="6" t="str">
        <f>IF(最佳化斷筋點!C570="","",最佳化斷筋點!C570)</f>
        <v/>
      </c>
      <c r="AB570" s="6" t="str">
        <f>IF(最佳化斷筋點!D570="","",最佳化斷筋點!D570)</f>
        <v/>
      </c>
      <c r="AC570" s="6" t="str">
        <f>IF(最佳化斷筋點!E570="","",最佳化斷筋點!E570)</f>
        <v/>
      </c>
      <c r="AD570" s="6" t="str">
        <f>IF(最佳化斷筋點!F570="","",最佳化斷筋點!F570)</f>
        <v/>
      </c>
      <c r="AE570" s="6" t="str">
        <f>IF(最佳化斷筋點!G570="","",最佳化斷筋點!G570)</f>
        <v/>
      </c>
      <c r="AF570" s="6" t="str">
        <f>IF(最佳化斷筋點!H570="","",最佳化斷筋點!H570)</f>
        <v/>
      </c>
      <c r="AG570" s="6" t="str">
        <f>IF(最佳化斷筋點!I570="","",最佳化斷筋點!I570)</f>
        <v/>
      </c>
      <c r="AH570" s="6" t="str">
        <f>IF(最佳化斷筋點!J570="","",最佳化斷筋點!J570)</f>
        <v/>
      </c>
      <c r="AI570" s="6" t="str">
        <f>IF(最佳化斷筋點!K570="","",最佳化斷筋點!K570)</f>
        <v/>
      </c>
      <c r="AJ570" s="6" t="str">
        <f>IF(最佳化斷筋點!L570="","",最佳化斷筋點!L570)</f>
        <v/>
      </c>
      <c r="AK570" s="6" t="str">
        <f>IF(最佳化斷筋點!M570="","",最佳化斷筋點!M570)</f>
        <v/>
      </c>
      <c r="AL570" s="6" t="str">
        <f>IF(最佳化斷筋點!N570="","",最佳化斷筋點!N570)</f>
        <v/>
      </c>
      <c r="AM570" s="6" t="str">
        <f>IF(最佳化斷筋點!O570="","",最佳化斷筋點!O570)</f>
        <v/>
      </c>
      <c r="AN570" s="6" t="str">
        <f>IF(最佳化斷筋點!P570="","",最佳化斷筋點!P570)</f>
        <v/>
      </c>
      <c r="AO570" s="6" t="str">
        <f>IF(最佳化斷筋點!Q570="","",最佳化斷筋點!Q570)</f>
        <v/>
      </c>
      <c r="AP570" s="6" t="str">
        <f>IF(最佳化斷筋點!R570="","",最佳化斷筋點!R570)</f>
        <v/>
      </c>
      <c r="AQ570" s="6" t="str">
        <f>IF(最佳化斷筋點!S570="","",最佳化斷筋點!S570)</f>
        <v/>
      </c>
      <c r="AR570" s="6" t="str">
        <f>IF(最佳化斷筋點!T570="","",最佳化斷筋點!T570)</f>
        <v/>
      </c>
      <c r="AS570" s="6" t="str">
        <f>IF(最佳化斷筋點!U570="","",最佳化斷筋點!U570)</f>
        <v/>
      </c>
      <c r="AT570" s="6" t="str">
        <f>IF(最佳化斷筋點!V570="","",最佳化斷筋點!V570)</f>
        <v/>
      </c>
      <c r="AU570" s="6" t="str">
        <f>IF(最佳化斷筋點!W570="","",最佳化斷筋點!W570)</f>
        <v/>
      </c>
      <c r="AV570" s="6" t="str">
        <f>IF(最佳化斷筋點!X570="","",最佳化斷筋點!X570)</f>
        <v/>
      </c>
    </row>
    <row r="571" spans="4:71" x14ac:dyDescent="0.25">
      <c r="D571" s="6" t="s">
        <v>50</v>
      </c>
      <c r="E571" s="6">
        <f t="shared" si="169"/>
        <v>0</v>
      </c>
      <c r="F571" s="6">
        <f t="shared" si="170"/>
        <v>0</v>
      </c>
      <c r="G571" s="6">
        <f t="shared" si="171"/>
        <v>0</v>
      </c>
      <c r="H571" s="6">
        <f t="shared" si="172"/>
        <v>0</v>
      </c>
      <c r="I571" s="6">
        <f t="shared" si="173"/>
        <v>0</v>
      </c>
      <c r="J571" s="6">
        <f t="shared" si="174"/>
        <v>0</v>
      </c>
      <c r="K571" s="6">
        <f t="shared" si="175"/>
        <v>0</v>
      </c>
      <c r="L571" s="6">
        <f t="shared" si="176"/>
        <v>0</v>
      </c>
      <c r="M571" s="6">
        <f t="shared" si="177"/>
        <v>0</v>
      </c>
      <c r="N571" s="6">
        <f t="shared" si="178"/>
        <v>0</v>
      </c>
      <c r="O571" s="6">
        <f t="shared" si="179"/>
        <v>0</v>
      </c>
      <c r="P571" s="6">
        <f t="shared" si="180"/>
        <v>0</v>
      </c>
      <c r="Q571" s="6">
        <f t="shared" si="181"/>
        <v>0</v>
      </c>
      <c r="R571" s="6">
        <f t="shared" si="182"/>
        <v>0</v>
      </c>
      <c r="S571" s="6">
        <f t="shared" si="183"/>
        <v>0</v>
      </c>
      <c r="T571" s="6">
        <f t="shared" si="184"/>
        <v>0</v>
      </c>
      <c r="U571" s="6">
        <f t="shared" si="185"/>
        <v>0</v>
      </c>
      <c r="V571" s="6">
        <f t="shared" si="186"/>
        <v>0</v>
      </c>
      <c r="W571" s="6">
        <f t="shared" si="187"/>
        <v>0</v>
      </c>
      <c r="X571" s="6">
        <f t="shared" si="188"/>
        <v>0</v>
      </c>
      <c r="Y571" s="6">
        <f t="shared" si="189"/>
        <v>0</v>
      </c>
      <c r="AA571" s="6" t="str">
        <f>IF(最佳化斷筋點!C571="","",最佳化斷筋點!C571)</f>
        <v>上層</v>
      </c>
      <c r="AB571" s="6">
        <f>IF(最佳化斷筋點!D571="","",最佳化斷筋點!D571)</f>
        <v>5</v>
      </c>
      <c r="AC571" s="6">
        <f>IF(最佳化斷筋點!E571="","",最佳化斷筋點!E571)</f>
        <v>5</v>
      </c>
      <c r="AD571" s="6">
        <f>IF(最佳化斷筋點!F571="","",最佳化斷筋點!F571)</f>
        <v>4</v>
      </c>
      <c r="AE571" s="6">
        <f>IF(最佳化斷筋點!G571="","",最佳化斷筋點!G571)</f>
        <v>4</v>
      </c>
      <c r="AF571" s="6">
        <f>IF(最佳化斷筋點!H571="","",最佳化斷筋點!H571)</f>
        <v>4</v>
      </c>
      <c r="AG571" s="6">
        <f>IF(最佳化斷筋點!I571="","",最佳化斷筋點!I571)</f>
        <v>3</v>
      </c>
      <c r="AH571" s="6">
        <f>IF(最佳化斷筋點!J571="","",最佳化斷筋點!J571)</f>
        <v>3</v>
      </c>
      <c r="AI571" s="6">
        <f>IF(最佳化斷筋點!K571="","",最佳化斷筋點!K571)</f>
        <v>2</v>
      </c>
      <c r="AJ571" s="6">
        <f>IF(最佳化斷筋點!L571="","",最佳化斷筋點!L571)</f>
        <v>2</v>
      </c>
      <c r="AK571" s="6">
        <f>IF(最佳化斷筋點!M571="","",最佳化斷筋點!M571)</f>
        <v>2</v>
      </c>
      <c r="AL571" s="6">
        <f>IF(最佳化斷筋點!N571="","",最佳化斷筋點!N571)</f>
        <v>2</v>
      </c>
      <c r="AM571" s="6">
        <f>IF(最佳化斷筋點!O571="","",最佳化斷筋點!O571)</f>
        <v>2</v>
      </c>
      <c r="AN571" s="6">
        <f>IF(最佳化斷筋點!P571="","",最佳化斷筋點!P571)</f>
        <v>2</v>
      </c>
      <c r="AO571" s="6">
        <f>IF(最佳化斷筋點!Q571="","",最佳化斷筋點!Q571)</f>
        <v>2</v>
      </c>
      <c r="AP571" s="6">
        <f>IF(最佳化斷筋點!R571="","",最佳化斷筋點!R571)</f>
        <v>2</v>
      </c>
      <c r="AQ571" s="6">
        <f>IF(最佳化斷筋點!S571="","",最佳化斷筋點!S571)</f>
        <v>3</v>
      </c>
      <c r="AR571" s="6">
        <f>IF(最佳化斷筋點!T571="","",最佳化斷筋點!T571)</f>
        <v>3</v>
      </c>
      <c r="AS571" s="6">
        <f>IF(最佳化斷筋點!U571="","",最佳化斷筋點!U571)</f>
        <v>4</v>
      </c>
      <c r="AT571" s="6">
        <f>IF(最佳化斷筋點!V571="","",最佳化斷筋點!V571)</f>
        <v>4</v>
      </c>
      <c r="AU571" s="6">
        <f>IF(最佳化斷筋點!W571="","",最佳化斷筋點!W571)</f>
        <v>5</v>
      </c>
      <c r="AV571" s="6">
        <f>IF(最佳化斷筋點!X571="","",最佳化斷筋點!X571)</f>
        <v>5</v>
      </c>
      <c r="AX571" s="6" t="s">
        <v>50</v>
      </c>
      <c r="AY571" s="6">
        <v>5</v>
      </c>
      <c r="AZ571" s="6">
        <v>5</v>
      </c>
      <c r="BA571" s="6">
        <v>4</v>
      </c>
      <c r="BB571" s="6">
        <v>4</v>
      </c>
      <c r="BC571" s="6">
        <v>4</v>
      </c>
      <c r="BD571" s="6">
        <v>3</v>
      </c>
      <c r="BE571" s="6">
        <v>3</v>
      </c>
      <c r="BF571" s="6">
        <v>2</v>
      </c>
      <c r="BG571" s="6">
        <v>2</v>
      </c>
      <c r="BH571" s="6">
        <v>2</v>
      </c>
      <c r="BI571" s="6">
        <v>2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</row>
    <row r="572" spans="4:71" x14ac:dyDescent="0.25">
      <c r="E572" s="6">
        <f t="shared" si="169"/>
        <v>0</v>
      </c>
      <c r="F572" s="6">
        <f t="shared" si="170"/>
        <v>0</v>
      </c>
      <c r="G572" s="6">
        <f t="shared" si="171"/>
        <v>0</v>
      </c>
      <c r="H572" s="6">
        <f t="shared" si="172"/>
        <v>0</v>
      </c>
      <c r="I572" s="6">
        <f t="shared" si="173"/>
        <v>0</v>
      </c>
      <c r="J572" s="6">
        <f t="shared" si="174"/>
        <v>0</v>
      </c>
      <c r="K572" s="6">
        <f t="shared" si="175"/>
        <v>0</v>
      </c>
      <c r="L572" s="6">
        <f t="shared" si="176"/>
        <v>0</v>
      </c>
      <c r="M572" s="6">
        <f t="shared" si="177"/>
        <v>0</v>
      </c>
      <c r="N572" s="6">
        <f t="shared" si="178"/>
        <v>0</v>
      </c>
      <c r="O572" s="6">
        <f t="shared" si="179"/>
        <v>0</v>
      </c>
      <c r="P572" s="6">
        <f t="shared" si="180"/>
        <v>0</v>
      </c>
      <c r="Q572" s="6">
        <f t="shared" si="181"/>
        <v>0</v>
      </c>
      <c r="R572" s="6">
        <f t="shared" si="182"/>
        <v>0</v>
      </c>
      <c r="S572" s="6">
        <f t="shared" si="183"/>
        <v>0</v>
      </c>
      <c r="T572" s="6">
        <f t="shared" si="184"/>
        <v>0</v>
      </c>
      <c r="U572" s="6">
        <f t="shared" si="185"/>
        <v>0</v>
      </c>
      <c r="V572" s="6">
        <f t="shared" si="186"/>
        <v>0</v>
      </c>
      <c r="W572" s="6">
        <f t="shared" si="187"/>
        <v>0</v>
      </c>
      <c r="X572" s="6">
        <f t="shared" si="188"/>
        <v>0</v>
      </c>
      <c r="Y572" s="6">
        <f t="shared" si="189"/>
        <v>0</v>
      </c>
      <c r="AA572" s="6" t="str">
        <f>IF(最佳化斷筋點!C572="","",最佳化斷筋點!C572)</f>
        <v/>
      </c>
      <c r="AB572" s="6" t="str">
        <f>IF(最佳化斷筋點!D572="","",最佳化斷筋點!D572)</f>
        <v/>
      </c>
      <c r="AC572" s="6" t="str">
        <f>IF(最佳化斷筋點!E572="","",最佳化斷筋點!E572)</f>
        <v/>
      </c>
      <c r="AD572" s="6" t="str">
        <f>IF(最佳化斷筋點!F572="","",最佳化斷筋點!F572)</f>
        <v/>
      </c>
      <c r="AE572" s="6" t="str">
        <f>IF(最佳化斷筋點!G572="","",最佳化斷筋點!G572)</f>
        <v/>
      </c>
      <c r="AF572" s="6" t="str">
        <f>IF(最佳化斷筋點!H572="","",最佳化斷筋點!H572)</f>
        <v/>
      </c>
      <c r="AG572" s="6" t="str">
        <f>IF(最佳化斷筋點!I572="","",最佳化斷筋點!I572)</f>
        <v/>
      </c>
      <c r="AH572" s="6" t="str">
        <f>IF(最佳化斷筋點!J572="","",最佳化斷筋點!J572)</f>
        <v/>
      </c>
      <c r="AI572" s="6" t="str">
        <f>IF(最佳化斷筋點!K572="","",最佳化斷筋點!K572)</f>
        <v/>
      </c>
      <c r="AJ572" s="6" t="str">
        <f>IF(最佳化斷筋點!L572="","",最佳化斷筋點!L572)</f>
        <v/>
      </c>
      <c r="AK572" s="6" t="str">
        <f>IF(最佳化斷筋點!M572="","",最佳化斷筋點!M572)</f>
        <v/>
      </c>
      <c r="AL572" s="6" t="str">
        <f>IF(最佳化斷筋點!N572="","",最佳化斷筋點!N572)</f>
        <v/>
      </c>
      <c r="AM572" s="6" t="str">
        <f>IF(最佳化斷筋點!O572="","",最佳化斷筋點!O572)</f>
        <v/>
      </c>
      <c r="AN572" s="6" t="str">
        <f>IF(最佳化斷筋點!P572="","",最佳化斷筋點!P572)</f>
        <v/>
      </c>
      <c r="AO572" s="6" t="str">
        <f>IF(最佳化斷筋點!Q572="","",最佳化斷筋點!Q572)</f>
        <v/>
      </c>
      <c r="AP572" s="6" t="str">
        <f>IF(最佳化斷筋點!R572="","",最佳化斷筋點!R572)</f>
        <v/>
      </c>
      <c r="AQ572" s="6" t="str">
        <f>IF(最佳化斷筋點!S572="","",最佳化斷筋點!S572)</f>
        <v/>
      </c>
      <c r="AR572" s="6" t="str">
        <f>IF(最佳化斷筋點!T572="","",最佳化斷筋點!T572)</f>
        <v/>
      </c>
      <c r="AS572" s="6" t="str">
        <f>IF(最佳化斷筋點!U572="","",最佳化斷筋點!U572)</f>
        <v/>
      </c>
      <c r="AT572" s="6" t="str">
        <f>IF(最佳化斷筋點!V572="","",最佳化斷筋點!V572)</f>
        <v/>
      </c>
      <c r="AU572" s="6" t="str">
        <f>IF(最佳化斷筋點!W572="","",最佳化斷筋點!W572)</f>
        <v/>
      </c>
      <c r="AV572" s="6" t="str">
        <f>IF(最佳化斷筋點!X572="","",最佳化斷筋點!X572)</f>
        <v/>
      </c>
    </row>
    <row r="573" spans="4:71" x14ac:dyDescent="0.25">
      <c r="D573" s="6" t="s">
        <v>51</v>
      </c>
      <c r="E573" s="6">
        <f t="shared" si="169"/>
        <v>0</v>
      </c>
      <c r="F573" s="6">
        <f t="shared" si="170"/>
        <v>0</v>
      </c>
      <c r="G573" s="6">
        <f t="shared" si="171"/>
        <v>0</v>
      </c>
      <c r="H573" s="6">
        <f t="shared" si="172"/>
        <v>0</v>
      </c>
      <c r="I573" s="6">
        <f t="shared" si="173"/>
        <v>0</v>
      </c>
      <c r="J573" s="6">
        <f t="shared" si="174"/>
        <v>0</v>
      </c>
      <c r="K573" s="6">
        <f t="shared" si="175"/>
        <v>0</v>
      </c>
      <c r="L573" s="6">
        <f t="shared" si="176"/>
        <v>0</v>
      </c>
      <c r="M573" s="6">
        <f t="shared" si="177"/>
        <v>0</v>
      </c>
      <c r="N573" s="6">
        <f t="shared" si="178"/>
        <v>0</v>
      </c>
      <c r="O573" s="6">
        <f t="shared" si="179"/>
        <v>0</v>
      </c>
      <c r="P573" s="6">
        <f t="shared" si="180"/>
        <v>0</v>
      </c>
      <c r="Q573" s="6">
        <f t="shared" si="181"/>
        <v>0</v>
      </c>
      <c r="R573" s="6">
        <f t="shared" si="182"/>
        <v>0</v>
      </c>
      <c r="S573" s="6">
        <f t="shared" si="183"/>
        <v>0</v>
      </c>
      <c r="T573" s="6">
        <f t="shared" si="184"/>
        <v>0</v>
      </c>
      <c r="U573" s="6">
        <f t="shared" si="185"/>
        <v>0</v>
      </c>
      <c r="V573" s="6">
        <f t="shared" si="186"/>
        <v>0</v>
      </c>
      <c r="W573" s="6">
        <f t="shared" si="187"/>
        <v>0</v>
      </c>
      <c r="X573" s="6">
        <f t="shared" si="188"/>
        <v>0</v>
      </c>
      <c r="Y573" s="6">
        <f t="shared" si="189"/>
        <v>0</v>
      </c>
      <c r="AA573" s="6" t="str">
        <f>IF(最佳化斷筋點!C573="","",最佳化斷筋點!C573)</f>
        <v>下層</v>
      </c>
      <c r="AB573" s="6">
        <f>IF(最佳化斷筋點!D573="","",最佳化斷筋點!D573)</f>
        <v>3</v>
      </c>
      <c r="AC573" s="6">
        <f>IF(最佳化斷筋點!E573="","",最佳化斷筋點!E573)</f>
        <v>3</v>
      </c>
      <c r="AD573" s="6">
        <f>IF(最佳化斷筋點!F573="","",最佳化斷筋點!F573)</f>
        <v>3</v>
      </c>
      <c r="AE573" s="6">
        <f>IF(最佳化斷筋點!G573="","",最佳化斷筋點!G573)</f>
        <v>3</v>
      </c>
      <c r="AF573" s="6">
        <f>IF(最佳化斷筋點!H573="","",最佳化斷筋點!H573)</f>
        <v>3</v>
      </c>
      <c r="AG573" s="6">
        <f>IF(最佳化斷筋點!I573="","",最佳化斷筋點!I573)</f>
        <v>3</v>
      </c>
      <c r="AH573" s="6">
        <f>IF(最佳化斷筋點!J573="","",最佳化斷筋點!J573)</f>
        <v>4</v>
      </c>
      <c r="AI573" s="6">
        <f>IF(最佳化斷筋點!K573="","",最佳化斷筋點!K573)</f>
        <v>4</v>
      </c>
      <c r="AJ573" s="6">
        <f>IF(最佳化斷筋點!L573="","",最佳化斷筋點!L573)</f>
        <v>4</v>
      </c>
      <c r="AK573" s="6">
        <f>IF(最佳化斷筋點!M573="","",最佳化斷筋點!M573)</f>
        <v>4</v>
      </c>
      <c r="AL573" s="6">
        <f>IF(最佳化斷筋點!N573="","",最佳化斷筋點!N573)</f>
        <v>4</v>
      </c>
      <c r="AM573" s="6">
        <f>IF(最佳化斷筋點!O573="","",最佳化斷筋點!O573)</f>
        <v>4</v>
      </c>
      <c r="AN573" s="6">
        <f>IF(最佳化斷筋點!P573="","",最佳化斷筋點!P573)</f>
        <v>4</v>
      </c>
      <c r="AO573" s="6">
        <f>IF(最佳化斷筋點!Q573="","",最佳化斷筋點!Q573)</f>
        <v>4</v>
      </c>
      <c r="AP573" s="6">
        <f>IF(最佳化斷筋點!R573="","",最佳化斷筋點!R573)</f>
        <v>4</v>
      </c>
      <c r="AQ573" s="6">
        <f>IF(最佳化斷筋點!S573="","",最佳化斷筋點!S573)</f>
        <v>3</v>
      </c>
      <c r="AR573" s="6">
        <f>IF(最佳化斷筋點!T573="","",最佳化斷筋點!T573)</f>
        <v>3</v>
      </c>
      <c r="AS573" s="6">
        <f>IF(最佳化斷筋點!U573="","",最佳化斷筋點!U573)</f>
        <v>3</v>
      </c>
      <c r="AT573" s="6">
        <f>IF(最佳化斷筋點!V573="","",最佳化斷筋點!V573)</f>
        <v>3</v>
      </c>
      <c r="AU573" s="6">
        <f>IF(最佳化斷筋點!W573="","",最佳化斷筋點!W573)</f>
        <v>3</v>
      </c>
      <c r="AV573" s="6">
        <f>IF(最佳化斷筋點!X573="","",最佳化斷筋點!X573)</f>
        <v>3</v>
      </c>
      <c r="AX573" s="6" t="s">
        <v>51</v>
      </c>
      <c r="AY573" s="6">
        <v>3</v>
      </c>
      <c r="AZ573" s="6">
        <v>3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3</v>
      </c>
      <c r="BO573" s="6">
        <v>3</v>
      </c>
      <c r="BP573" s="6">
        <v>3</v>
      </c>
      <c r="BQ573" s="6">
        <v>3</v>
      </c>
      <c r="BR573" s="6">
        <v>3</v>
      </c>
      <c r="BS573" s="6">
        <v>3</v>
      </c>
    </row>
    <row r="574" spans="4:71" x14ac:dyDescent="0.25">
      <c r="E574" s="6">
        <f t="shared" si="169"/>
        <v>0</v>
      </c>
      <c r="F574" s="6">
        <f t="shared" si="170"/>
        <v>0</v>
      </c>
      <c r="G574" s="6">
        <f t="shared" si="171"/>
        <v>0</v>
      </c>
      <c r="H574" s="6">
        <f t="shared" si="172"/>
        <v>0</v>
      </c>
      <c r="I574" s="6">
        <f t="shared" si="173"/>
        <v>0</v>
      </c>
      <c r="J574" s="6">
        <f t="shared" si="174"/>
        <v>0</v>
      </c>
      <c r="K574" s="6">
        <f t="shared" si="175"/>
        <v>0</v>
      </c>
      <c r="L574" s="6">
        <f t="shared" si="176"/>
        <v>0</v>
      </c>
      <c r="M574" s="6">
        <f t="shared" si="177"/>
        <v>0</v>
      </c>
      <c r="N574" s="6">
        <f t="shared" si="178"/>
        <v>0</v>
      </c>
      <c r="O574" s="6">
        <f t="shared" si="179"/>
        <v>0</v>
      </c>
      <c r="P574" s="6">
        <f t="shared" si="180"/>
        <v>0</v>
      </c>
      <c r="Q574" s="6">
        <f t="shared" si="181"/>
        <v>0</v>
      </c>
      <c r="R574" s="6">
        <f t="shared" si="182"/>
        <v>0</v>
      </c>
      <c r="S574" s="6">
        <f t="shared" si="183"/>
        <v>0</v>
      </c>
      <c r="T574" s="6">
        <f t="shared" si="184"/>
        <v>0</v>
      </c>
      <c r="U574" s="6">
        <f t="shared" si="185"/>
        <v>0</v>
      </c>
      <c r="V574" s="6">
        <f t="shared" si="186"/>
        <v>0</v>
      </c>
      <c r="W574" s="6">
        <f t="shared" si="187"/>
        <v>0</v>
      </c>
      <c r="X574" s="6">
        <f t="shared" si="188"/>
        <v>0</v>
      </c>
      <c r="Y574" s="6">
        <f t="shared" si="189"/>
        <v>0</v>
      </c>
      <c r="AA574" s="6" t="str">
        <f>IF(最佳化斷筋點!C574="","",最佳化斷筋點!C574)</f>
        <v/>
      </c>
      <c r="AB574" s="6" t="str">
        <f>IF(最佳化斷筋點!D574="","",最佳化斷筋點!D574)</f>
        <v/>
      </c>
      <c r="AC574" s="6" t="str">
        <f>IF(最佳化斷筋點!E574="","",最佳化斷筋點!E574)</f>
        <v/>
      </c>
      <c r="AD574" s="6" t="str">
        <f>IF(最佳化斷筋點!F574="","",最佳化斷筋點!F574)</f>
        <v/>
      </c>
      <c r="AE574" s="6" t="str">
        <f>IF(最佳化斷筋點!G574="","",最佳化斷筋點!G574)</f>
        <v/>
      </c>
      <c r="AF574" s="6" t="str">
        <f>IF(最佳化斷筋點!H574="","",最佳化斷筋點!H574)</f>
        <v/>
      </c>
      <c r="AG574" s="6" t="str">
        <f>IF(最佳化斷筋點!I574="","",最佳化斷筋點!I574)</f>
        <v/>
      </c>
      <c r="AH574" s="6" t="str">
        <f>IF(最佳化斷筋點!J574="","",最佳化斷筋點!J574)</f>
        <v/>
      </c>
      <c r="AI574" s="6" t="str">
        <f>IF(最佳化斷筋點!K574="","",最佳化斷筋點!K574)</f>
        <v/>
      </c>
      <c r="AJ574" s="6" t="str">
        <f>IF(最佳化斷筋點!L574="","",最佳化斷筋點!L574)</f>
        <v/>
      </c>
      <c r="AK574" s="6" t="str">
        <f>IF(最佳化斷筋點!M574="","",最佳化斷筋點!M574)</f>
        <v/>
      </c>
      <c r="AL574" s="6" t="str">
        <f>IF(最佳化斷筋點!N574="","",最佳化斷筋點!N574)</f>
        <v/>
      </c>
      <c r="AM574" s="6" t="str">
        <f>IF(最佳化斷筋點!O574="","",最佳化斷筋點!O574)</f>
        <v/>
      </c>
      <c r="AN574" s="6" t="str">
        <f>IF(最佳化斷筋點!P574="","",最佳化斷筋點!P574)</f>
        <v/>
      </c>
      <c r="AO574" s="6" t="str">
        <f>IF(最佳化斷筋點!Q574="","",最佳化斷筋點!Q574)</f>
        <v/>
      </c>
      <c r="AP574" s="6" t="str">
        <f>IF(最佳化斷筋點!R574="","",最佳化斷筋點!R574)</f>
        <v/>
      </c>
      <c r="AQ574" s="6" t="str">
        <f>IF(最佳化斷筋點!S574="","",最佳化斷筋點!S574)</f>
        <v/>
      </c>
      <c r="AR574" s="6" t="str">
        <f>IF(最佳化斷筋點!T574="","",最佳化斷筋點!T574)</f>
        <v/>
      </c>
      <c r="AS574" s="6" t="str">
        <f>IF(最佳化斷筋點!U574="","",最佳化斷筋點!U574)</f>
        <v/>
      </c>
      <c r="AT574" s="6" t="str">
        <f>IF(最佳化斷筋點!V574="","",最佳化斷筋點!V574)</f>
        <v/>
      </c>
      <c r="AU574" s="6" t="str">
        <f>IF(最佳化斷筋點!W574="","",最佳化斷筋點!W574)</f>
        <v/>
      </c>
      <c r="AV574" s="6" t="str">
        <f>IF(最佳化斷筋點!X574="","",最佳化斷筋點!X574)</f>
        <v/>
      </c>
    </row>
    <row r="575" spans="4:71" x14ac:dyDescent="0.25">
      <c r="D575" s="6" t="s">
        <v>50</v>
      </c>
      <c r="E575" s="6">
        <f t="shared" si="169"/>
        <v>0</v>
      </c>
      <c r="F575" s="6">
        <f t="shared" si="170"/>
        <v>0</v>
      </c>
      <c r="G575" s="6">
        <f t="shared" si="171"/>
        <v>0</v>
      </c>
      <c r="H575" s="6">
        <f t="shared" si="172"/>
        <v>0</v>
      </c>
      <c r="I575" s="6">
        <f t="shared" si="173"/>
        <v>0</v>
      </c>
      <c r="J575" s="6">
        <f t="shared" si="174"/>
        <v>0</v>
      </c>
      <c r="K575" s="6">
        <f t="shared" si="175"/>
        <v>0</v>
      </c>
      <c r="L575" s="6">
        <f t="shared" si="176"/>
        <v>0</v>
      </c>
      <c r="M575" s="6">
        <f t="shared" si="177"/>
        <v>0</v>
      </c>
      <c r="N575" s="6">
        <f t="shared" si="178"/>
        <v>0</v>
      </c>
      <c r="O575" s="6">
        <f t="shared" si="179"/>
        <v>0</v>
      </c>
      <c r="P575" s="6">
        <f t="shared" si="180"/>
        <v>0</v>
      </c>
      <c r="Q575" s="6">
        <f t="shared" si="181"/>
        <v>0</v>
      </c>
      <c r="R575" s="6">
        <f t="shared" si="182"/>
        <v>0</v>
      </c>
      <c r="S575" s="6">
        <f t="shared" si="183"/>
        <v>0</v>
      </c>
      <c r="T575" s="6">
        <f t="shared" si="184"/>
        <v>0</v>
      </c>
      <c r="U575" s="6">
        <f t="shared" si="185"/>
        <v>0</v>
      </c>
      <c r="V575" s="6">
        <f t="shared" si="186"/>
        <v>0</v>
      </c>
      <c r="W575" s="6">
        <f t="shared" si="187"/>
        <v>0</v>
      </c>
      <c r="X575" s="6">
        <f t="shared" si="188"/>
        <v>0</v>
      </c>
      <c r="Y575" s="6">
        <f t="shared" si="189"/>
        <v>0</v>
      </c>
      <c r="AA575" s="6" t="str">
        <f>IF(最佳化斷筋點!C575="","",最佳化斷筋點!C575)</f>
        <v>上層</v>
      </c>
      <c r="AB575" s="6">
        <f>IF(最佳化斷筋點!D575="","",最佳化斷筋點!D575)</f>
        <v>5</v>
      </c>
      <c r="AC575" s="6">
        <f>IF(最佳化斷筋點!E575="","",最佳化斷筋點!E575)</f>
        <v>5</v>
      </c>
      <c r="AD575" s="6">
        <f>IF(最佳化斷筋點!F575="","",最佳化斷筋點!F575)</f>
        <v>4</v>
      </c>
      <c r="AE575" s="6">
        <f>IF(最佳化斷筋點!G575="","",最佳化斷筋點!G575)</f>
        <v>4</v>
      </c>
      <c r="AF575" s="6">
        <f>IF(最佳化斷筋點!H575="","",最佳化斷筋點!H575)</f>
        <v>4</v>
      </c>
      <c r="AG575" s="6">
        <f>IF(最佳化斷筋點!I575="","",最佳化斷筋點!I575)</f>
        <v>3</v>
      </c>
      <c r="AH575" s="6">
        <f>IF(最佳化斷筋點!J575="","",最佳化斷筋點!J575)</f>
        <v>3</v>
      </c>
      <c r="AI575" s="6">
        <f>IF(最佳化斷筋點!K575="","",最佳化斷筋點!K575)</f>
        <v>2</v>
      </c>
      <c r="AJ575" s="6">
        <f>IF(最佳化斷筋點!L575="","",最佳化斷筋點!L575)</f>
        <v>2</v>
      </c>
      <c r="AK575" s="6">
        <f>IF(最佳化斷筋點!M575="","",最佳化斷筋點!M575)</f>
        <v>2</v>
      </c>
      <c r="AL575" s="6">
        <f>IF(最佳化斷筋點!N575="","",最佳化斷筋點!N575)</f>
        <v>2</v>
      </c>
      <c r="AM575" s="6">
        <f>IF(最佳化斷筋點!O575="","",最佳化斷筋點!O575)</f>
        <v>2</v>
      </c>
      <c r="AN575" s="6">
        <f>IF(最佳化斷筋點!P575="","",最佳化斷筋點!P575)</f>
        <v>2</v>
      </c>
      <c r="AO575" s="6">
        <f>IF(最佳化斷筋點!Q575="","",最佳化斷筋點!Q575)</f>
        <v>2</v>
      </c>
      <c r="AP575" s="6">
        <f>IF(最佳化斷筋點!R575="","",最佳化斷筋點!R575)</f>
        <v>2</v>
      </c>
      <c r="AQ575" s="6">
        <f>IF(最佳化斷筋點!S575="","",最佳化斷筋點!S575)</f>
        <v>3</v>
      </c>
      <c r="AR575" s="6">
        <f>IF(最佳化斷筋點!T575="","",最佳化斷筋點!T575)</f>
        <v>3</v>
      </c>
      <c r="AS575" s="6">
        <f>IF(最佳化斷筋點!U575="","",最佳化斷筋點!U575)</f>
        <v>4</v>
      </c>
      <c r="AT575" s="6">
        <f>IF(最佳化斷筋點!V575="","",最佳化斷筋點!V575)</f>
        <v>4</v>
      </c>
      <c r="AU575" s="6">
        <f>IF(最佳化斷筋點!W575="","",最佳化斷筋點!W575)</f>
        <v>5</v>
      </c>
      <c r="AV575" s="6">
        <f>IF(最佳化斷筋點!X575="","",最佳化斷筋點!X575)</f>
        <v>5</v>
      </c>
      <c r="AX575" s="6" t="s">
        <v>50</v>
      </c>
      <c r="AY575" s="6">
        <v>5</v>
      </c>
      <c r="AZ575" s="6">
        <v>5</v>
      </c>
      <c r="BA575" s="6">
        <v>4</v>
      </c>
      <c r="BB575" s="6">
        <v>4</v>
      </c>
      <c r="BC575" s="6">
        <v>4</v>
      </c>
      <c r="BD575" s="6">
        <v>3</v>
      </c>
      <c r="BE575" s="6">
        <v>3</v>
      </c>
      <c r="BF575" s="6">
        <v>2</v>
      </c>
      <c r="BG575" s="6">
        <v>2</v>
      </c>
      <c r="BH575" s="6">
        <v>2</v>
      </c>
      <c r="BI575" s="6">
        <v>2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</row>
    <row r="576" spans="4:71" x14ac:dyDescent="0.25">
      <c r="E576" s="6">
        <f t="shared" si="169"/>
        <v>0</v>
      </c>
      <c r="F576" s="6">
        <f t="shared" si="170"/>
        <v>0</v>
      </c>
      <c r="G576" s="6">
        <f t="shared" si="171"/>
        <v>0</v>
      </c>
      <c r="H576" s="6">
        <f t="shared" si="172"/>
        <v>0</v>
      </c>
      <c r="I576" s="6">
        <f t="shared" si="173"/>
        <v>0</v>
      </c>
      <c r="J576" s="6">
        <f t="shared" si="174"/>
        <v>0</v>
      </c>
      <c r="K576" s="6">
        <f t="shared" si="175"/>
        <v>0</v>
      </c>
      <c r="L576" s="6">
        <f t="shared" si="176"/>
        <v>0</v>
      </c>
      <c r="M576" s="6">
        <f t="shared" si="177"/>
        <v>0</v>
      </c>
      <c r="N576" s="6">
        <f t="shared" si="178"/>
        <v>0</v>
      </c>
      <c r="O576" s="6">
        <f t="shared" si="179"/>
        <v>0</v>
      </c>
      <c r="P576" s="6">
        <f t="shared" si="180"/>
        <v>0</v>
      </c>
      <c r="Q576" s="6">
        <f t="shared" si="181"/>
        <v>0</v>
      </c>
      <c r="R576" s="6">
        <f t="shared" si="182"/>
        <v>0</v>
      </c>
      <c r="S576" s="6">
        <f t="shared" si="183"/>
        <v>0</v>
      </c>
      <c r="T576" s="6">
        <f t="shared" si="184"/>
        <v>0</v>
      </c>
      <c r="U576" s="6">
        <f t="shared" si="185"/>
        <v>0</v>
      </c>
      <c r="V576" s="6">
        <f t="shared" si="186"/>
        <v>0</v>
      </c>
      <c r="W576" s="6">
        <f t="shared" si="187"/>
        <v>0</v>
      </c>
      <c r="X576" s="6">
        <f t="shared" si="188"/>
        <v>0</v>
      </c>
      <c r="Y576" s="6">
        <f t="shared" si="189"/>
        <v>0</v>
      </c>
      <c r="AA576" s="6" t="str">
        <f>IF(最佳化斷筋點!C576="","",最佳化斷筋點!C576)</f>
        <v/>
      </c>
      <c r="AB576" s="6" t="str">
        <f>IF(最佳化斷筋點!D576="","",最佳化斷筋點!D576)</f>
        <v/>
      </c>
      <c r="AC576" s="6" t="str">
        <f>IF(最佳化斷筋點!E576="","",最佳化斷筋點!E576)</f>
        <v/>
      </c>
      <c r="AD576" s="6" t="str">
        <f>IF(最佳化斷筋點!F576="","",最佳化斷筋點!F576)</f>
        <v/>
      </c>
      <c r="AE576" s="6" t="str">
        <f>IF(最佳化斷筋點!G576="","",最佳化斷筋點!G576)</f>
        <v/>
      </c>
      <c r="AF576" s="6" t="str">
        <f>IF(最佳化斷筋點!H576="","",最佳化斷筋點!H576)</f>
        <v/>
      </c>
      <c r="AG576" s="6" t="str">
        <f>IF(最佳化斷筋點!I576="","",最佳化斷筋點!I576)</f>
        <v/>
      </c>
      <c r="AH576" s="6" t="str">
        <f>IF(最佳化斷筋點!J576="","",最佳化斷筋點!J576)</f>
        <v/>
      </c>
      <c r="AI576" s="6" t="str">
        <f>IF(最佳化斷筋點!K576="","",最佳化斷筋點!K576)</f>
        <v/>
      </c>
      <c r="AJ576" s="6" t="str">
        <f>IF(最佳化斷筋點!L576="","",最佳化斷筋點!L576)</f>
        <v/>
      </c>
      <c r="AK576" s="6" t="str">
        <f>IF(最佳化斷筋點!M576="","",最佳化斷筋點!M576)</f>
        <v/>
      </c>
      <c r="AL576" s="6" t="str">
        <f>IF(最佳化斷筋點!N576="","",最佳化斷筋點!N576)</f>
        <v/>
      </c>
      <c r="AM576" s="6" t="str">
        <f>IF(最佳化斷筋點!O576="","",最佳化斷筋點!O576)</f>
        <v/>
      </c>
      <c r="AN576" s="6" t="str">
        <f>IF(最佳化斷筋點!P576="","",最佳化斷筋點!P576)</f>
        <v/>
      </c>
      <c r="AO576" s="6" t="str">
        <f>IF(最佳化斷筋點!Q576="","",最佳化斷筋點!Q576)</f>
        <v/>
      </c>
      <c r="AP576" s="6" t="str">
        <f>IF(最佳化斷筋點!R576="","",最佳化斷筋點!R576)</f>
        <v/>
      </c>
      <c r="AQ576" s="6" t="str">
        <f>IF(最佳化斷筋點!S576="","",最佳化斷筋點!S576)</f>
        <v/>
      </c>
      <c r="AR576" s="6" t="str">
        <f>IF(最佳化斷筋點!T576="","",最佳化斷筋點!T576)</f>
        <v/>
      </c>
      <c r="AS576" s="6" t="str">
        <f>IF(最佳化斷筋點!U576="","",最佳化斷筋點!U576)</f>
        <v/>
      </c>
      <c r="AT576" s="6" t="str">
        <f>IF(最佳化斷筋點!V576="","",最佳化斷筋點!V576)</f>
        <v/>
      </c>
      <c r="AU576" s="6" t="str">
        <f>IF(最佳化斷筋點!W576="","",最佳化斷筋點!W576)</f>
        <v/>
      </c>
      <c r="AV576" s="6" t="str">
        <f>IF(最佳化斷筋點!X576="","",最佳化斷筋點!X576)</f>
        <v/>
      </c>
    </row>
    <row r="577" spans="4:71" x14ac:dyDescent="0.25">
      <c r="D577" s="6" t="s">
        <v>51</v>
      </c>
      <c r="E577" s="6">
        <f t="shared" si="169"/>
        <v>0</v>
      </c>
      <c r="F577" s="6">
        <f t="shared" si="170"/>
        <v>0</v>
      </c>
      <c r="G577" s="6">
        <f t="shared" si="171"/>
        <v>0</v>
      </c>
      <c r="H577" s="6">
        <f t="shared" si="172"/>
        <v>0</v>
      </c>
      <c r="I577" s="6">
        <f t="shared" si="173"/>
        <v>0</v>
      </c>
      <c r="J577" s="6">
        <f t="shared" si="174"/>
        <v>0</v>
      </c>
      <c r="K577" s="6">
        <f t="shared" si="175"/>
        <v>0</v>
      </c>
      <c r="L577" s="6">
        <f t="shared" si="176"/>
        <v>0</v>
      </c>
      <c r="M577" s="6">
        <f t="shared" si="177"/>
        <v>0</v>
      </c>
      <c r="N577" s="6">
        <f t="shared" si="178"/>
        <v>0</v>
      </c>
      <c r="O577" s="6">
        <f t="shared" si="179"/>
        <v>0</v>
      </c>
      <c r="P577" s="6">
        <f t="shared" si="180"/>
        <v>0</v>
      </c>
      <c r="Q577" s="6">
        <f t="shared" si="181"/>
        <v>0</v>
      </c>
      <c r="R577" s="6">
        <f t="shared" si="182"/>
        <v>0</v>
      </c>
      <c r="S577" s="6">
        <f t="shared" si="183"/>
        <v>0</v>
      </c>
      <c r="T577" s="6">
        <f t="shared" si="184"/>
        <v>0</v>
      </c>
      <c r="U577" s="6">
        <f t="shared" si="185"/>
        <v>0</v>
      </c>
      <c r="V577" s="6">
        <f t="shared" si="186"/>
        <v>0</v>
      </c>
      <c r="W577" s="6">
        <f t="shared" si="187"/>
        <v>0</v>
      </c>
      <c r="X577" s="6">
        <f t="shared" si="188"/>
        <v>0</v>
      </c>
      <c r="Y577" s="6">
        <f t="shared" si="189"/>
        <v>0</v>
      </c>
      <c r="AA577" s="6" t="str">
        <f>IF(最佳化斷筋點!C577="","",最佳化斷筋點!C577)</f>
        <v>下層</v>
      </c>
      <c r="AB577" s="6">
        <f>IF(最佳化斷筋點!D577="","",最佳化斷筋點!D577)</f>
        <v>3</v>
      </c>
      <c r="AC577" s="6">
        <f>IF(最佳化斷筋點!E577="","",最佳化斷筋點!E577)</f>
        <v>3</v>
      </c>
      <c r="AD577" s="6">
        <f>IF(最佳化斷筋點!F577="","",最佳化斷筋點!F577)</f>
        <v>3</v>
      </c>
      <c r="AE577" s="6">
        <f>IF(最佳化斷筋點!G577="","",最佳化斷筋點!G577)</f>
        <v>3</v>
      </c>
      <c r="AF577" s="6">
        <f>IF(最佳化斷筋點!H577="","",最佳化斷筋點!H577)</f>
        <v>3</v>
      </c>
      <c r="AG577" s="6">
        <f>IF(最佳化斷筋點!I577="","",最佳化斷筋點!I577)</f>
        <v>3</v>
      </c>
      <c r="AH577" s="6">
        <f>IF(最佳化斷筋點!J577="","",最佳化斷筋點!J577)</f>
        <v>4</v>
      </c>
      <c r="AI577" s="6">
        <f>IF(最佳化斷筋點!K577="","",最佳化斷筋點!K577)</f>
        <v>4</v>
      </c>
      <c r="AJ577" s="6">
        <f>IF(最佳化斷筋點!L577="","",最佳化斷筋點!L577)</f>
        <v>4</v>
      </c>
      <c r="AK577" s="6">
        <f>IF(最佳化斷筋點!M577="","",最佳化斷筋點!M577)</f>
        <v>4</v>
      </c>
      <c r="AL577" s="6">
        <f>IF(最佳化斷筋點!N577="","",最佳化斷筋點!N577)</f>
        <v>4</v>
      </c>
      <c r="AM577" s="6">
        <f>IF(最佳化斷筋點!O577="","",最佳化斷筋點!O577)</f>
        <v>4</v>
      </c>
      <c r="AN577" s="6">
        <f>IF(最佳化斷筋點!P577="","",最佳化斷筋點!P577)</f>
        <v>4</v>
      </c>
      <c r="AO577" s="6">
        <f>IF(最佳化斷筋點!Q577="","",最佳化斷筋點!Q577)</f>
        <v>4</v>
      </c>
      <c r="AP577" s="6">
        <f>IF(最佳化斷筋點!R577="","",最佳化斷筋點!R577)</f>
        <v>4</v>
      </c>
      <c r="AQ577" s="6">
        <f>IF(最佳化斷筋點!S577="","",最佳化斷筋點!S577)</f>
        <v>3</v>
      </c>
      <c r="AR577" s="6">
        <f>IF(最佳化斷筋點!T577="","",最佳化斷筋點!T577)</f>
        <v>3</v>
      </c>
      <c r="AS577" s="6">
        <f>IF(最佳化斷筋點!U577="","",最佳化斷筋點!U577)</f>
        <v>3</v>
      </c>
      <c r="AT577" s="6">
        <f>IF(最佳化斷筋點!V577="","",最佳化斷筋點!V577)</f>
        <v>3</v>
      </c>
      <c r="AU577" s="6">
        <f>IF(最佳化斷筋點!W577="","",最佳化斷筋點!W577)</f>
        <v>3</v>
      </c>
      <c r="AV577" s="6">
        <f>IF(最佳化斷筋點!X577="","",最佳化斷筋點!X577)</f>
        <v>3</v>
      </c>
      <c r="AX577" s="6" t="s">
        <v>51</v>
      </c>
      <c r="AY577" s="6">
        <v>3</v>
      </c>
      <c r="AZ577" s="6">
        <v>3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3</v>
      </c>
      <c r="BO577" s="6">
        <v>3</v>
      </c>
      <c r="BP577" s="6">
        <v>3</v>
      </c>
      <c r="BQ577" s="6">
        <v>3</v>
      </c>
      <c r="BR577" s="6">
        <v>3</v>
      </c>
      <c r="BS577" s="6">
        <v>3</v>
      </c>
    </row>
    <row r="578" spans="4:71" x14ac:dyDescent="0.25">
      <c r="E578" s="6">
        <f t="shared" si="169"/>
        <v>0</v>
      </c>
      <c r="F578" s="6">
        <f t="shared" si="170"/>
        <v>0</v>
      </c>
      <c r="G578" s="6">
        <f t="shared" si="171"/>
        <v>0</v>
      </c>
      <c r="H578" s="6">
        <f t="shared" si="172"/>
        <v>0</v>
      </c>
      <c r="I578" s="6">
        <f t="shared" si="173"/>
        <v>0</v>
      </c>
      <c r="J578" s="6">
        <f t="shared" si="174"/>
        <v>0</v>
      </c>
      <c r="K578" s="6">
        <f t="shared" si="175"/>
        <v>0</v>
      </c>
      <c r="L578" s="6">
        <f t="shared" si="176"/>
        <v>0</v>
      </c>
      <c r="M578" s="6">
        <f t="shared" si="177"/>
        <v>0</v>
      </c>
      <c r="N578" s="6">
        <f t="shared" si="178"/>
        <v>0</v>
      </c>
      <c r="O578" s="6">
        <f t="shared" si="179"/>
        <v>0</v>
      </c>
      <c r="P578" s="6">
        <f t="shared" si="180"/>
        <v>0</v>
      </c>
      <c r="Q578" s="6">
        <f t="shared" si="181"/>
        <v>0</v>
      </c>
      <c r="R578" s="6">
        <f t="shared" si="182"/>
        <v>0</v>
      </c>
      <c r="S578" s="6">
        <f t="shared" si="183"/>
        <v>0</v>
      </c>
      <c r="T578" s="6">
        <f t="shared" si="184"/>
        <v>0</v>
      </c>
      <c r="U578" s="6">
        <f t="shared" si="185"/>
        <v>0</v>
      </c>
      <c r="V578" s="6">
        <f t="shared" si="186"/>
        <v>0</v>
      </c>
      <c r="W578" s="6">
        <f t="shared" si="187"/>
        <v>0</v>
      </c>
      <c r="X578" s="6">
        <f t="shared" si="188"/>
        <v>0</v>
      </c>
      <c r="Y578" s="6">
        <f t="shared" si="189"/>
        <v>0</v>
      </c>
      <c r="AA578" s="6" t="str">
        <f>IF(最佳化斷筋點!C578="","",最佳化斷筋點!C578)</f>
        <v/>
      </c>
      <c r="AB578" s="6" t="str">
        <f>IF(最佳化斷筋點!D578="","",最佳化斷筋點!D578)</f>
        <v/>
      </c>
      <c r="AC578" s="6" t="str">
        <f>IF(最佳化斷筋點!E578="","",最佳化斷筋點!E578)</f>
        <v/>
      </c>
      <c r="AD578" s="6" t="str">
        <f>IF(最佳化斷筋點!F578="","",最佳化斷筋點!F578)</f>
        <v/>
      </c>
      <c r="AE578" s="6" t="str">
        <f>IF(最佳化斷筋點!G578="","",最佳化斷筋點!G578)</f>
        <v/>
      </c>
      <c r="AF578" s="6" t="str">
        <f>IF(最佳化斷筋點!H578="","",最佳化斷筋點!H578)</f>
        <v/>
      </c>
      <c r="AG578" s="6" t="str">
        <f>IF(最佳化斷筋點!I578="","",最佳化斷筋點!I578)</f>
        <v/>
      </c>
      <c r="AH578" s="6" t="str">
        <f>IF(最佳化斷筋點!J578="","",最佳化斷筋點!J578)</f>
        <v/>
      </c>
      <c r="AI578" s="6" t="str">
        <f>IF(最佳化斷筋點!K578="","",最佳化斷筋點!K578)</f>
        <v/>
      </c>
      <c r="AJ578" s="6" t="str">
        <f>IF(最佳化斷筋點!L578="","",最佳化斷筋點!L578)</f>
        <v/>
      </c>
      <c r="AK578" s="6" t="str">
        <f>IF(最佳化斷筋點!M578="","",最佳化斷筋點!M578)</f>
        <v/>
      </c>
      <c r="AL578" s="6" t="str">
        <f>IF(最佳化斷筋點!N578="","",最佳化斷筋點!N578)</f>
        <v/>
      </c>
      <c r="AM578" s="6" t="str">
        <f>IF(最佳化斷筋點!O578="","",最佳化斷筋點!O578)</f>
        <v/>
      </c>
      <c r="AN578" s="6" t="str">
        <f>IF(最佳化斷筋點!P578="","",最佳化斷筋點!P578)</f>
        <v/>
      </c>
      <c r="AO578" s="6" t="str">
        <f>IF(最佳化斷筋點!Q578="","",最佳化斷筋點!Q578)</f>
        <v/>
      </c>
      <c r="AP578" s="6" t="str">
        <f>IF(最佳化斷筋點!R578="","",最佳化斷筋點!R578)</f>
        <v/>
      </c>
      <c r="AQ578" s="6" t="str">
        <f>IF(最佳化斷筋點!S578="","",最佳化斷筋點!S578)</f>
        <v/>
      </c>
      <c r="AR578" s="6" t="str">
        <f>IF(最佳化斷筋點!T578="","",最佳化斷筋點!T578)</f>
        <v/>
      </c>
      <c r="AS578" s="6" t="str">
        <f>IF(最佳化斷筋點!U578="","",最佳化斷筋點!U578)</f>
        <v/>
      </c>
      <c r="AT578" s="6" t="str">
        <f>IF(最佳化斷筋點!V578="","",最佳化斷筋點!V578)</f>
        <v/>
      </c>
      <c r="AU578" s="6" t="str">
        <f>IF(最佳化斷筋點!W578="","",最佳化斷筋點!W578)</f>
        <v/>
      </c>
      <c r="AV578" s="6" t="str">
        <f>IF(最佳化斷筋點!X578="","",最佳化斷筋點!X578)</f>
        <v/>
      </c>
    </row>
    <row r="579" spans="4:71" x14ac:dyDescent="0.25">
      <c r="D579" s="6" t="s">
        <v>50</v>
      </c>
      <c r="E579" s="6">
        <f t="shared" si="169"/>
        <v>0</v>
      </c>
      <c r="F579" s="6">
        <f t="shared" si="170"/>
        <v>0</v>
      </c>
      <c r="G579" s="6">
        <f t="shared" si="171"/>
        <v>0</v>
      </c>
      <c r="H579" s="6">
        <f t="shared" si="172"/>
        <v>0</v>
      </c>
      <c r="I579" s="6">
        <f t="shared" si="173"/>
        <v>0</v>
      </c>
      <c r="J579" s="6">
        <f t="shared" si="174"/>
        <v>0</v>
      </c>
      <c r="K579" s="6">
        <f t="shared" si="175"/>
        <v>0</v>
      </c>
      <c r="L579" s="6">
        <f t="shared" si="176"/>
        <v>0</v>
      </c>
      <c r="M579" s="6">
        <f t="shared" si="177"/>
        <v>0</v>
      </c>
      <c r="N579" s="6">
        <f t="shared" si="178"/>
        <v>0</v>
      </c>
      <c r="O579" s="6">
        <f t="shared" si="179"/>
        <v>0</v>
      </c>
      <c r="P579" s="6">
        <f t="shared" si="180"/>
        <v>0</v>
      </c>
      <c r="Q579" s="6">
        <f t="shared" si="181"/>
        <v>0</v>
      </c>
      <c r="R579" s="6">
        <f t="shared" si="182"/>
        <v>0</v>
      </c>
      <c r="S579" s="6">
        <f t="shared" si="183"/>
        <v>0</v>
      </c>
      <c r="T579" s="6">
        <f t="shared" si="184"/>
        <v>0</v>
      </c>
      <c r="U579" s="6">
        <f t="shared" si="185"/>
        <v>0</v>
      </c>
      <c r="V579" s="6">
        <f t="shared" si="186"/>
        <v>0</v>
      </c>
      <c r="W579" s="6">
        <f t="shared" si="187"/>
        <v>0</v>
      </c>
      <c r="X579" s="6">
        <f t="shared" si="188"/>
        <v>0</v>
      </c>
      <c r="Y579" s="6">
        <f t="shared" si="189"/>
        <v>0</v>
      </c>
      <c r="AA579" s="6" t="str">
        <f>IF(最佳化斷筋點!C579="","",最佳化斷筋點!C579)</f>
        <v>上層</v>
      </c>
      <c r="AB579" s="6">
        <f>IF(最佳化斷筋點!D579="","",最佳化斷筋點!D579)</f>
        <v>5</v>
      </c>
      <c r="AC579" s="6">
        <f>IF(最佳化斷筋點!E579="","",最佳化斷筋點!E579)</f>
        <v>5</v>
      </c>
      <c r="AD579" s="6">
        <f>IF(最佳化斷筋點!F579="","",最佳化斷筋點!F579)</f>
        <v>4</v>
      </c>
      <c r="AE579" s="6">
        <f>IF(最佳化斷筋點!G579="","",最佳化斷筋點!G579)</f>
        <v>4</v>
      </c>
      <c r="AF579" s="6">
        <f>IF(最佳化斷筋點!H579="","",最佳化斷筋點!H579)</f>
        <v>4</v>
      </c>
      <c r="AG579" s="6">
        <f>IF(最佳化斷筋點!I579="","",最佳化斷筋點!I579)</f>
        <v>3</v>
      </c>
      <c r="AH579" s="6">
        <f>IF(最佳化斷筋點!J579="","",最佳化斷筋點!J579)</f>
        <v>3</v>
      </c>
      <c r="AI579" s="6">
        <f>IF(最佳化斷筋點!K579="","",最佳化斷筋點!K579)</f>
        <v>2</v>
      </c>
      <c r="AJ579" s="6">
        <f>IF(最佳化斷筋點!L579="","",最佳化斷筋點!L579)</f>
        <v>2</v>
      </c>
      <c r="AK579" s="6">
        <f>IF(最佳化斷筋點!M579="","",最佳化斷筋點!M579)</f>
        <v>2</v>
      </c>
      <c r="AL579" s="6">
        <f>IF(最佳化斷筋點!N579="","",最佳化斷筋點!N579)</f>
        <v>2</v>
      </c>
      <c r="AM579" s="6">
        <f>IF(最佳化斷筋點!O579="","",最佳化斷筋點!O579)</f>
        <v>2</v>
      </c>
      <c r="AN579" s="6">
        <f>IF(最佳化斷筋點!P579="","",最佳化斷筋點!P579)</f>
        <v>2</v>
      </c>
      <c r="AO579" s="6">
        <f>IF(最佳化斷筋點!Q579="","",最佳化斷筋點!Q579)</f>
        <v>2</v>
      </c>
      <c r="AP579" s="6">
        <f>IF(最佳化斷筋點!R579="","",最佳化斷筋點!R579)</f>
        <v>2</v>
      </c>
      <c r="AQ579" s="6">
        <f>IF(最佳化斷筋點!S579="","",最佳化斷筋點!S579)</f>
        <v>3</v>
      </c>
      <c r="AR579" s="6">
        <f>IF(最佳化斷筋點!T579="","",最佳化斷筋點!T579)</f>
        <v>3</v>
      </c>
      <c r="AS579" s="6">
        <f>IF(最佳化斷筋點!U579="","",最佳化斷筋點!U579)</f>
        <v>4</v>
      </c>
      <c r="AT579" s="6">
        <f>IF(最佳化斷筋點!V579="","",最佳化斷筋點!V579)</f>
        <v>4</v>
      </c>
      <c r="AU579" s="6">
        <f>IF(最佳化斷筋點!W579="","",最佳化斷筋點!W579)</f>
        <v>5</v>
      </c>
      <c r="AV579" s="6">
        <f>IF(最佳化斷筋點!X579="","",最佳化斷筋點!X579)</f>
        <v>5</v>
      </c>
      <c r="AX579" s="6" t="s">
        <v>50</v>
      </c>
      <c r="AY579" s="6">
        <v>5</v>
      </c>
      <c r="AZ579" s="6">
        <v>5</v>
      </c>
      <c r="BA579" s="6">
        <v>4</v>
      </c>
      <c r="BB579" s="6">
        <v>4</v>
      </c>
      <c r="BC579" s="6">
        <v>4</v>
      </c>
      <c r="BD579" s="6">
        <v>3</v>
      </c>
      <c r="BE579" s="6">
        <v>3</v>
      </c>
      <c r="BF579" s="6">
        <v>2</v>
      </c>
      <c r="BG579" s="6">
        <v>2</v>
      </c>
      <c r="BH579" s="6">
        <v>2</v>
      </c>
      <c r="BI579" s="6">
        <v>2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</row>
    <row r="580" spans="4:71" x14ac:dyDescent="0.25">
      <c r="E580" s="6">
        <f t="shared" ref="E580:E633" si="190">IF(AB580=AY580,0,1)</f>
        <v>0</v>
      </c>
      <c r="F580" s="6">
        <f t="shared" ref="F580:F633" si="191">IF(AC580=AZ580,0,1)</f>
        <v>0</v>
      </c>
      <c r="G580" s="6">
        <f t="shared" ref="G580:G633" si="192">IF(AD580=BA580,0,1)</f>
        <v>0</v>
      </c>
      <c r="H580" s="6">
        <f t="shared" ref="H580:H633" si="193">IF(AE580=BB580,0,1)</f>
        <v>0</v>
      </c>
      <c r="I580" s="6">
        <f t="shared" ref="I580:I633" si="194">IF(AF580=BC580,0,1)</f>
        <v>0</v>
      </c>
      <c r="J580" s="6">
        <f t="shared" ref="J580:J633" si="195">IF(AG580=BD580,0,1)</f>
        <v>0</v>
      </c>
      <c r="K580" s="6">
        <f t="shared" ref="K580:K633" si="196">IF(AH580=BE580,0,1)</f>
        <v>0</v>
      </c>
      <c r="L580" s="6">
        <f t="shared" ref="L580:L633" si="197">IF(AI580=BF580,0,1)</f>
        <v>0</v>
      </c>
      <c r="M580" s="6">
        <f t="shared" ref="M580:M633" si="198">IF(AJ580=BG580,0,1)</f>
        <v>0</v>
      </c>
      <c r="N580" s="6">
        <f t="shared" ref="N580:N633" si="199">IF(AK580=BH580,0,1)</f>
        <v>0</v>
      </c>
      <c r="O580" s="6">
        <f t="shared" ref="O580:O633" si="200">IF(AL580=BI580,0,1)</f>
        <v>0</v>
      </c>
      <c r="P580" s="6">
        <f t="shared" ref="P580:P633" si="201">IF(AM580=BJ580,0,1)</f>
        <v>0</v>
      </c>
      <c r="Q580" s="6">
        <f t="shared" ref="Q580:Q633" si="202">IF(AN580=BK580,0,1)</f>
        <v>0</v>
      </c>
      <c r="R580" s="6">
        <f t="shared" ref="R580:R633" si="203">IF(AO580=BL580,0,1)</f>
        <v>0</v>
      </c>
      <c r="S580" s="6">
        <f t="shared" ref="S580:S633" si="204">IF(AP580=BM580,0,1)</f>
        <v>0</v>
      </c>
      <c r="T580" s="6">
        <f t="shared" ref="T580:T633" si="205">IF(AQ580=BN580,0,1)</f>
        <v>0</v>
      </c>
      <c r="U580" s="6">
        <f t="shared" ref="U580:U633" si="206">IF(AR580=BO580,0,1)</f>
        <v>0</v>
      </c>
      <c r="V580" s="6">
        <f t="shared" ref="V580:V633" si="207">IF(AS580=BP580,0,1)</f>
        <v>0</v>
      </c>
      <c r="W580" s="6">
        <f t="shared" ref="W580:W633" si="208">IF(AT580=BQ580,0,1)</f>
        <v>0</v>
      </c>
      <c r="X580" s="6">
        <f t="shared" ref="X580:X633" si="209">IF(AU580=BR580,0,1)</f>
        <v>0</v>
      </c>
      <c r="Y580" s="6">
        <f t="shared" ref="Y580:Y633" si="210">IF(AV580=BS580,0,1)</f>
        <v>0</v>
      </c>
      <c r="AA580" s="6" t="str">
        <f>IF(最佳化斷筋點!C580="","",最佳化斷筋點!C580)</f>
        <v/>
      </c>
      <c r="AB580" s="6" t="str">
        <f>IF(最佳化斷筋點!D580="","",最佳化斷筋點!D580)</f>
        <v/>
      </c>
      <c r="AC580" s="6" t="str">
        <f>IF(最佳化斷筋點!E580="","",最佳化斷筋點!E580)</f>
        <v/>
      </c>
      <c r="AD580" s="6" t="str">
        <f>IF(最佳化斷筋點!F580="","",最佳化斷筋點!F580)</f>
        <v/>
      </c>
      <c r="AE580" s="6" t="str">
        <f>IF(最佳化斷筋點!G580="","",最佳化斷筋點!G580)</f>
        <v/>
      </c>
      <c r="AF580" s="6" t="str">
        <f>IF(最佳化斷筋點!H580="","",最佳化斷筋點!H580)</f>
        <v/>
      </c>
      <c r="AG580" s="6" t="str">
        <f>IF(最佳化斷筋點!I580="","",最佳化斷筋點!I580)</f>
        <v/>
      </c>
      <c r="AH580" s="6" t="str">
        <f>IF(最佳化斷筋點!J580="","",最佳化斷筋點!J580)</f>
        <v/>
      </c>
      <c r="AI580" s="6" t="str">
        <f>IF(最佳化斷筋點!K580="","",最佳化斷筋點!K580)</f>
        <v/>
      </c>
      <c r="AJ580" s="6" t="str">
        <f>IF(最佳化斷筋點!L580="","",最佳化斷筋點!L580)</f>
        <v/>
      </c>
      <c r="AK580" s="6" t="str">
        <f>IF(最佳化斷筋點!M580="","",最佳化斷筋點!M580)</f>
        <v/>
      </c>
      <c r="AL580" s="6" t="str">
        <f>IF(最佳化斷筋點!N580="","",最佳化斷筋點!N580)</f>
        <v/>
      </c>
      <c r="AM580" s="6" t="str">
        <f>IF(最佳化斷筋點!O580="","",最佳化斷筋點!O580)</f>
        <v/>
      </c>
      <c r="AN580" s="6" t="str">
        <f>IF(最佳化斷筋點!P580="","",最佳化斷筋點!P580)</f>
        <v/>
      </c>
      <c r="AO580" s="6" t="str">
        <f>IF(最佳化斷筋點!Q580="","",最佳化斷筋點!Q580)</f>
        <v/>
      </c>
      <c r="AP580" s="6" t="str">
        <f>IF(最佳化斷筋點!R580="","",最佳化斷筋點!R580)</f>
        <v/>
      </c>
      <c r="AQ580" s="6" t="str">
        <f>IF(最佳化斷筋點!S580="","",最佳化斷筋點!S580)</f>
        <v/>
      </c>
      <c r="AR580" s="6" t="str">
        <f>IF(最佳化斷筋點!T580="","",最佳化斷筋點!T580)</f>
        <v/>
      </c>
      <c r="AS580" s="6" t="str">
        <f>IF(最佳化斷筋點!U580="","",最佳化斷筋點!U580)</f>
        <v/>
      </c>
      <c r="AT580" s="6" t="str">
        <f>IF(最佳化斷筋點!V580="","",最佳化斷筋點!V580)</f>
        <v/>
      </c>
      <c r="AU580" s="6" t="str">
        <f>IF(最佳化斷筋點!W580="","",最佳化斷筋點!W580)</f>
        <v/>
      </c>
      <c r="AV580" s="6" t="str">
        <f>IF(最佳化斷筋點!X580="","",最佳化斷筋點!X580)</f>
        <v/>
      </c>
    </row>
    <row r="581" spans="4:71" x14ac:dyDescent="0.25">
      <c r="D581" s="6" t="s">
        <v>51</v>
      </c>
      <c r="E581" s="6">
        <f t="shared" si="190"/>
        <v>0</v>
      </c>
      <c r="F581" s="6">
        <f t="shared" si="191"/>
        <v>0</v>
      </c>
      <c r="G581" s="6">
        <f t="shared" si="192"/>
        <v>0</v>
      </c>
      <c r="H581" s="6">
        <f t="shared" si="193"/>
        <v>0</v>
      </c>
      <c r="I581" s="6">
        <f t="shared" si="194"/>
        <v>0</v>
      </c>
      <c r="J581" s="6">
        <f t="shared" si="195"/>
        <v>0</v>
      </c>
      <c r="K581" s="6">
        <f t="shared" si="196"/>
        <v>0</v>
      </c>
      <c r="L581" s="6">
        <f t="shared" si="197"/>
        <v>0</v>
      </c>
      <c r="M581" s="6">
        <f t="shared" si="198"/>
        <v>0</v>
      </c>
      <c r="N581" s="6">
        <f t="shared" si="199"/>
        <v>0</v>
      </c>
      <c r="O581" s="6">
        <f t="shared" si="200"/>
        <v>0</v>
      </c>
      <c r="P581" s="6">
        <f t="shared" si="201"/>
        <v>0</v>
      </c>
      <c r="Q581" s="6">
        <f t="shared" si="202"/>
        <v>0</v>
      </c>
      <c r="R581" s="6">
        <f t="shared" si="203"/>
        <v>0</v>
      </c>
      <c r="S581" s="6">
        <f t="shared" si="204"/>
        <v>0</v>
      </c>
      <c r="T581" s="6">
        <f t="shared" si="205"/>
        <v>0</v>
      </c>
      <c r="U581" s="6">
        <f t="shared" si="206"/>
        <v>0</v>
      </c>
      <c r="V581" s="6">
        <f t="shared" si="207"/>
        <v>0</v>
      </c>
      <c r="W581" s="6">
        <f t="shared" si="208"/>
        <v>0</v>
      </c>
      <c r="X581" s="6">
        <f t="shared" si="209"/>
        <v>0</v>
      </c>
      <c r="Y581" s="6">
        <f t="shared" si="210"/>
        <v>0</v>
      </c>
      <c r="AA581" s="6" t="str">
        <f>IF(最佳化斷筋點!C581="","",最佳化斷筋點!C581)</f>
        <v>下層</v>
      </c>
      <c r="AB581" s="6">
        <f>IF(最佳化斷筋點!D581="","",最佳化斷筋點!D581)</f>
        <v>3</v>
      </c>
      <c r="AC581" s="6">
        <f>IF(最佳化斷筋點!E581="","",最佳化斷筋點!E581)</f>
        <v>3</v>
      </c>
      <c r="AD581" s="6">
        <f>IF(最佳化斷筋點!F581="","",最佳化斷筋點!F581)</f>
        <v>3</v>
      </c>
      <c r="AE581" s="6">
        <f>IF(最佳化斷筋點!G581="","",最佳化斷筋點!G581)</f>
        <v>3</v>
      </c>
      <c r="AF581" s="6">
        <f>IF(最佳化斷筋點!H581="","",最佳化斷筋點!H581)</f>
        <v>3</v>
      </c>
      <c r="AG581" s="6">
        <f>IF(最佳化斷筋點!I581="","",最佳化斷筋點!I581)</f>
        <v>3</v>
      </c>
      <c r="AH581" s="6">
        <f>IF(最佳化斷筋點!J581="","",最佳化斷筋點!J581)</f>
        <v>4</v>
      </c>
      <c r="AI581" s="6">
        <f>IF(最佳化斷筋點!K581="","",最佳化斷筋點!K581)</f>
        <v>4</v>
      </c>
      <c r="AJ581" s="6">
        <f>IF(最佳化斷筋點!L581="","",最佳化斷筋點!L581)</f>
        <v>4</v>
      </c>
      <c r="AK581" s="6">
        <f>IF(最佳化斷筋點!M581="","",最佳化斷筋點!M581)</f>
        <v>4</v>
      </c>
      <c r="AL581" s="6">
        <f>IF(最佳化斷筋點!N581="","",最佳化斷筋點!N581)</f>
        <v>4</v>
      </c>
      <c r="AM581" s="6">
        <f>IF(最佳化斷筋點!O581="","",最佳化斷筋點!O581)</f>
        <v>4</v>
      </c>
      <c r="AN581" s="6">
        <f>IF(最佳化斷筋點!P581="","",最佳化斷筋點!P581)</f>
        <v>4</v>
      </c>
      <c r="AO581" s="6">
        <f>IF(最佳化斷筋點!Q581="","",最佳化斷筋點!Q581)</f>
        <v>4</v>
      </c>
      <c r="AP581" s="6">
        <f>IF(最佳化斷筋點!R581="","",最佳化斷筋點!R581)</f>
        <v>4</v>
      </c>
      <c r="AQ581" s="6">
        <f>IF(最佳化斷筋點!S581="","",最佳化斷筋點!S581)</f>
        <v>3</v>
      </c>
      <c r="AR581" s="6">
        <f>IF(最佳化斷筋點!T581="","",最佳化斷筋點!T581)</f>
        <v>3</v>
      </c>
      <c r="AS581" s="6">
        <f>IF(最佳化斷筋點!U581="","",最佳化斷筋點!U581)</f>
        <v>3</v>
      </c>
      <c r="AT581" s="6">
        <f>IF(最佳化斷筋點!V581="","",最佳化斷筋點!V581)</f>
        <v>3</v>
      </c>
      <c r="AU581" s="6">
        <f>IF(最佳化斷筋點!W581="","",最佳化斷筋點!W581)</f>
        <v>3</v>
      </c>
      <c r="AV581" s="6">
        <f>IF(最佳化斷筋點!X581="","",最佳化斷筋點!X581)</f>
        <v>3</v>
      </c>
      <c r="AX581" s="6" t="s">
        <v>51</v>
      </c>
      <c r="AY581" s="6">
        <v>3</v>
      </c>
      <c r="AZ581" s="6">
        <v>3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3</v>
      </c>
      <c r="BO581" s="6">
        <v>3</v>
      </c>
      <c r="BP581" s="6">
        <v>3</v>
      </c>
      <c r="BQ581" s="6">
        <v>3</v>
      </c>
      <c r="BR581" s="6">
        <v>3</v>
      </c>
      <c r="BS581" s="6">
        <v>3</v>
      </c>
    </row>
    <row r="582" spans="4:71" x14ac:dyDescent="0.25">
      <c r="E582" s="6">
        <f t="shared" si="190"/>
        <v>0</v>
      </c>
      <c r="F582" s="6">
        <f t="shared" si="191"/>
        <v>0</v>
      </c>
      <c r="G582" s="6">
        <f t="shared" si="192"/>
        <v>0</v>
      </c>
      <c r="H582" s="6">
        <f t="shared" si="193"/>
        <v>0</v>
      </c>
      <c r="I582" s="6">
        <f t="shared" si="194"/>
        <v>0</v>
      </c>
      <c r="J582" s="6">
        <f t="shared" si="195"/>
        <v>0</v>
      </c>
      <c r="K582" s="6">
        <f t="shared" si="196"/>
        <v>0</v>
      </c>
      <c r="L582" s="6">
        <f t="shared" si="197"/>
        <v>0</v>
      </c>
      <c r="M582" s="6">
        <f t="shared" si="198"/>
        <v>0</v>
      </c>
      <c r="N582" s="6">
        <f t="shared" si="199"/>
        <v>0</v>
      </c>
      <c r="O582" s="6">
        <f t="shared" si="200"/>
        <v>0</v>
      </c>
      <c r="P582" s="6">
        <f t="shared" si="201"/>
        <v>0</v>
      </c>
      <c r="Q582" s="6">
        <f t="shared" si="202"/>
        <v>0</v>
      </c>
      <c r="R582" s="6">
        <f t="shared" si="203"/>
        <v>0</v>
      </c>
      <c r="S582" s="6">
        <f t="shared" si="204"/>
        <v>0</v>
      </c>
      <c r="T582" s="6">
        <f t="shared" si="205"/>
        <v>0</v>
      </c>
      <c r="U582" s="6">
        <f t="shared" si="206"/>
        <v>0</v>
      </c>
      <c r="V582" s="6">
        <f t="shared" si="207"/>
        <v>0</v>
      </c>
      <c r="W582" s="6">
        <f t="shared" si="208"/>
        <v>0</v>
      </c>
      <c r="X582" s="6">
        <f t="shared" si="209"/>
        <v>0</v>
      </c>
      <c r="Y582" s="6">
        <f t="shared" si="210"/>
        <v>0</v>
      </c>
      <c r="AA582" s="6" t="str">
        <f>IF(最佳化斷筋點!C582="","",最佳化斷筋點!C582)</f>
        <v/>
      </c>
      <c r="AB582" s="6" t="str">
        <f>IF(最佳化斷筋點!D582="","",最佳化斷筋點!D582)</f>
        <v/>
      </c>
      <c r="AC582" s="6" t="str">
        <f>IF(最佳化斷筋點!E582="","",最佳化斷筋點!E582)</f>
        <v/>
      </c>
      <c r="AD582" s="6" t="str">
        <f>IF(最佳化斷筋點!F582="","",最佳化斷筋點!F582)</f>
        <v/>
      </c>
      <c r="AE582" s="6" t="str">
        <f>IF(最佳化斷筋點!G582="","",最佳化斷筋點!G582)</f>
        <v/>
      </c>
      <c r="AF582" s="6" t="str">
        <f>IF(最佳化斷筋點!H582="","",最佳化斷筋點!H582)</f>
        <v/>
      </c>
      <c r="AG582" s="6" t="str">
        <f>IF(最佳化斷筋點!I582="","",最佳化斷筋點!I582)</f>
        <v/>
      </c>
      <c r="AH582" s="6" t="str">
        <f>IF(最佳化斷筋點!J582="","",最佳化斷筋點!J582)</f>
        <v/>
      </c>
      <c r="AI582" s="6" t="str">
        <f>IF(最佳化斷筋點!K582="","",最佳化斷筋點!K582)</f>
        <v/>
      </c>
      <c r="AJ582" s="6" t="str">
        <f>IF(最佳化斷筋點!L582="","",最佳化斷筋點!L582)</f>
        <v/>
      </c>
      <c r="AK582" s="6" t="str">
        <f>IF(最佳化斷筋點!M582="","",最佳化斷筋點!M582)</f>
        <v/>
      </c>
      <c r="AL582" s="6" t="str">
        <f>IF(最佳化斷筋點!N582="","",最佳化斷筋點!N582)</f>
        <v/>
      </c>
      <c r="AM582" s="6" t="str">
        <f>IF(最佳化斷筋點!O582="","",最佳化斷筋點!O582)</f>
        <v/>
      </c>
      <c r="AN582" s="6" t="str">
        <f>IF(最佳化斷筋點!P582="","",最佳化斷筋點!P582)</f>
        <v/>
      </c>
      <c r="AO582" s="6" t="str">
        <f>IF(最佳化斷筋點!Q582="","",最佳化斷筋點!Q582)</f>
        <v/>
      </c>
      <c r="AP582" s="6" t="str">
        <f>IF(最佳化斷筋點!R582="","",最佳化斷筋點!R582)</f>
        <v/>
      </c>
      <c r="AQ582" s="6" t="str">
        <f>IF(最佳化斷筋點!S582="","",最佳化斷筋點!S582)</f>
        <v/>
      </c>
      <c r="AR582" s="6" t="str">
        <f>IF(最佳化斷筋點!T582="","",最佳化斷筋點!T582)</f>
        <v/>
      </c>
      <c r="AS582" s="6" t="str">
        <f>IF(最佳化斷筋點!U582="","",最佳化斷筋點!U582)</f>
        <v/>
      </c>
      <c r="AT582" s="6" t="str">
        <f>IF(最佳化斷筋點!V582="","",最佳化斷筋點!V582)</f>
        <v/>
      </c>
      <c r="AU582" s="6" t="str">
        <f>IF(最佳化斷筋點!W582="","",最佳化斷筋點!W582)</f>
        <v/>
      </c>
      <c r="AV582" s="6" t="str">
        <f>IF(最佳化斷筋點!X582="","",最佳化斷筋點!X582)</f>
        <v/>
      </c>
    </row>
    <row r="583" spans="4:71" x14ac:dyDescent="0.25">
      <c r="D583" s="6" t="s">
        <v>50</v>
      </c>
      <c r="E583" s="6">
        <f t="shared" si="190"/>
        <v>0</v>
      </c>
      <c r="F583" s="6">
        <f t="shared" si="191"/>
        <v>0</v>
      </c>
      <c r="G583" s="6">
        <f t="shared" si="192"/>
        <v>0</v>
      </c>
      <c r="H583" s="6">
        <f t="shared" si="193"/>
        <v>0</v>
      </c>
      <c r="I583" s="6">
        <f t="shared" si="194"/>
        <v>0</v>
      </c>
      <c r="J583" s="6">
        <f t="shared" si="195"/>
        <v>0</v>
      </c>
      <c r="K583" s="6">
        <f t="shared" si="196"/>
        <v>0</v>
      </c>
      <c r="L583" s="6">
        <f t="shared" si="197"/>
        <v>0</v>
      </c>
      <c r="M583" s="6">
        <f t="shared" si="198"/>
        <v>0</v>
      </c>
      <c r="N583" s="6">
        <f t="shared" si="199"/>
        <v>0</v>
      </c>
      <c r="O583" s="6">
        <f t="shared" si="200"/>
        <v>0</v>
      </c>
      <c r="P583" s="6">
        <f t="shared" si="201"/>
        <v>0</v>
      </c>
      <c r="Q583" s="6">
        <f t="shared" si="202"/>
        <v>0</v>
      </c>
      <c r="R583" s="6">
        <f t="shared" si="203"/>
        <v>0</v>
      </c>
      <c r="S583" s="6">
        <f t="shared" si="204"/>
        <v>0</v>
      </c>
      <c r="T583" s="6">
        <f t="shared" si="205"/>
        <v>0</v>
      </c>
      <c r="U583" s="6">
        <f t="shared" si="206"/>
        <v>0</v>
      </c>
      <c r="V583" s="6">
        <f t="shared" si="207"/>
        <v>0</v>
      </c>
      <c r="W583" s="6">
        <f t="shared" si="208"/>
        <v>0</v>
      </c>
      <c r="X583" s="6">
        <f t="shared" si="209"/>
        <v>0</v>
      </c>
      <c r="Y583" s="6">
        <f t="shared" si="210"/>
        <v>0</v>
      </c>
      <c r="AA583" s="6" t="str">
        <f>IF(最佳化斷筋點!C583="","",最佳化斷筋點!C583)</f>
        <v>上層</v>
      </c>
      <c r="AB583" s="6">
        <f>IF(最佳化斷筋點!D583="","",最佳化斷筋點!D583)</f>
        <v>5</v>
      </c>
      <c r="AC583" s="6">
        <f>IF(最佳化斷筋點!E583="","",最佳化斷筋點!E583)</f>
        <v>5</v>
      </c>
      <c r="AD583" s="6">
        <f>IF(最佳化斷筋點!F583="","",最佳化斷筋點!F583)</f>
        <v>4</v>
      </c>
      <c r="AE583" s="6">
        <f>IF(最佳化斷筋點!G583="","",最佳化斷筋點!G583)</f>
        <v>4</v>
      </c>
      <c r="AF583" s="6">
        <f>IF(最佳化斷筋點!H583="","",最佳化斷筋點!H583)</f>
        <v>4</v>
      </c>
      <c r="AG583" s="6">
        <f>IF(最佳化斷筋點!I583="","",最佳化斷筋點!I583)</f>
        <v>3</v>
      </c>
      <c r="AH583" s="6">
        <f>IF(最佳化斷筋點!J583="","",最佳化斷筋點!J583)</f>
        <v>3</v>
      </c>
      <c r="AI583" s="6">
        <f>IF(最佳化斷筋點!K583="","",最佳化斷筋點!K583)</f>
        <v>2</v>
      </c>
      <c r="AJ583" s="6">
        <f>IF(最佳化斷筋點!L583="","",最佳化斷筋點!L583)</f>
        <v>2</v>
      </c>
      <c r="AK583" s="6">
        <f>IF(最佳化斷筋點!M583="","",最佳化斷筋點!M583)</f>
        <v>2</v>
      </c>
      <c r="AL583" s="6">
        <f>IF(最佳化斷筋點!N583="","",最佳化斷筋點!N583)</f>
        <v>2</v>
      </c>
      <c r="AM583" s="6">
        <f>IF(最佳化斷筋點!O583="","",最佳化斷筋點!O583)</f>
        <v>2</v>
      </c>
      <c r="AN583" s="6">
        <f>IF(最佳化斷筋點!P583="","",最佳化斷筋點!P583)</f>
        <v>2</v>
      </c>
      <c r="AO583" s="6">
        <f>IF(最佳化斷筋點!Q583="","",最佳化斷筋點!Q583)</f>
        <v>2</v>
      </c>
      <c r="AP583" s="6">
        <f>IF(最佳化斷筋點!R583="","",最佳化斷筋點!R583)</f>
        <v>2</v>
      </c>
      <c r="AQ583" s="6">
        <f>IF(最佳化斷筋點!S583="","",最佳化斷筋點!S583)</f>
        <v>2</v>
      </c>
      <c r="AR583" s="6">
        <f>IF(最佳化斷筋點!T583="","",最佳化斷筋點!T583)</f>
        <v>2</v>
      </c>
      <c r="AS583" s="6">
        <f>IF(最佳化斷筋點!U583="","",最佳化斷筋點!U583)</f>
        <v>3</v>
      </c>
      <c r="AT583" s="6">
        <f>IF(最佳化斷筋點!V583="","",最佳化斷筋點!V583)</f>
        <v>3</v>
      </c>
      <c r="AU583" s="6">
        <f>IF(最佳化斷筋點!W583="","",最佳化斷筋點!W583)</f>
        <v>3</v>
      </c>
      <c r="AV583" s="6">
        <f>IF(最佳化斷筋點!X583="","",最佳化斷筋點!X583)</f>
        <v>3</v>
      </c>
      <c r="AX583" s="6" t="s">
        <v>50</v>
      </c>
      <c r="AY583" s="6">
        <v>5</v>
      </c>
      <c r="AZ583" s="6">
        <v>5</v>
      </c>
      <c r="BA583" s="6">
        <v>4</v>
      </c>
      <c r="BB583" s="6">
        <v>4</v>
      </c>
      <c r="BC583" s="6">
        <v>4</v>
      </c>
      <c r="BD583" s="6">
        <v>3</v>
      </c>
      <c r="BE583" s="6">
        <v>3</v>
      </c>
      <c r="BF583" s="6">
        <v>2</v>
      </c>
      <c r="BG583" s="6">
        <v>2</v>
      </c>
      <c r="BH583" s="6">
        <v>2</v>
      </c>
      <c r="BI583" s="6">
        <v>2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</row>
    <row r="584" spans="4:71" x14ac:dyDescent="0.25">
      <c r="E584" s="6">
        <f t="shared" si="190"/>
        <v>0</v>
      </c>
      <c r="F584" s="6">
        <f t="shared" si="191"/>
        <v>0</v>
      </c>
      <c r="G584" s="6">
        <f t="shared" si="192"/>
        <v>0</v>
      </c>
      <c r="H584" s="6">
        <f t="shared" si="193"/>
        <v>0</v>
      </c>
      <c r="I584" s="6">
        <f t="shared" si="194"/>
        <v>0</v>
      </c>
      <c r="J584" s="6">
        <f t="shared" si="195"/>
        <v>0</v>
      </c>
      <c r="K584" s="6">
        <f t="shared" si="196"/>
        <v>0</v>
      </c>
      <c r="L584" s="6">
        <f t="shared" si="197"/>
        <v>0</v>
      </c>
      <c r="M584" s="6">
        <f t="shared" si="198"/>
        <v>0</v>
      </c>
      <c r="N584" s="6">
        <f t="shared" si="199"/>
        <v>0</v>
      </c>
      <c r="O584" s="6">
        <f t="shared" si="200"/>
        <v>0</v>
      </c>
      <c r="P584" s="6">
        <f t="shared" si="201"/>
        <v>0</v>
      </c>
      <c r="Q584" s="6">
        <f t="shared" si="202"/>
        <v>0</v>
      </c>
      <c r="R584" s="6">
        <f t="shared" si="203"/>
        <v>0</v>
      </c>
      <c r="S584" s="6">
        <f t="shared" si="204"/>
        <v>0</v>
      </c>
      <c r="T584" s="6">
        <f t="shared" si="205"/>
        <v>0</v>
      </c>
      <c r="U584" s="6">
        <f t="shared" si="206"/>
        <v>0</v>
      </c>
      <c r="V584" s="6">
        <f t="shared" si="207"/>
        <v>0</v>
      </c>
      <c r="W584" s="6">
        <f t="shared" si="208"/>
        <v>0</v>
      </c>
      <c r="X584" s="6">
        <f t="shared" si="209"/>
        <v>0</v>
      </c>
      <c r="Y584" s="6">
        <f t="shared" si="210"/>
        <v>0</v>
      </c>
      <c r="AA584" s="6" t="str">
        <f>IF(最佳化斷筋點!C584="","",最佳化斷筋點!C584)</f>
        <v/>
      </c>
      <c r="AB584" s="6" t="str">
        <f>IF(最佳化斷筋點!D584="","",最佳化斷筋點!D584)</f>
        <v/>
      </c>
      <c r="AC584" s="6" t="str">
        <f>IF(最佳化斷筋點!E584="","",最佳化斷筋點!E584)</f>
        <v/>
      </c>
      <c r="AD584" s="6" t="str">
        <f>IF(最佳化斷筋點!F584="","",最佳化斷筋點!F584)</f>
        <v/>
      </c>
      <c r="AE584" s="6" t="str">
        <f>IF(最佳化斷筋點!G584="","",最佳化斷筋點!G584)</f>
        <v/>
      </c>
      <c r="AF584" s="6" t="str">
        <f>IF(最佳化斷筋點!H584="","",最佳化斷筋點!H584)</f>
        <v/>
      </c>
      <c r="AG584" s="6" t="str">
        <f>IF(最佳化斷筋點!I584="","",最佳化斷筋點!I584)</f>
        <v/>
      </c>
      <c r="AH584" s="6" t="str">
        <f>IF(最佳化斷筋點!J584="","",最佳化斷筋點!J584)</f>
        <v/>
      </c>
      <c r="AI584" s="6" t="str">
        <f>IF(最佳化斷筋點!K584="","",最佳化斷筋點!K584)</f>
        <v/>
      </c>
      <c r="AJ584" s="6" t="str">
        <f>IF(最佳化斷筋點!L584="","",最佳化斷筋點!L584)</f>
        <v/>
      </c>
      <c r="AK584" s="6" t="str">
        <f>IF(最佳化斷筋點!M584="","",最佳化斷筋點!M584)</f>
        <v/>
      </c>
      <c r="AL584" s="6" t="str">
        <f>IF(最佳化斷筋點!N584="","",最佳化斷筋點!N584)</f>
        <v/>
      </c>
      <c r="AM584" s="6" t="str">
        <f>IF(最佳化斷筋點!O584="","",最佳化斷筋點!O584)</f>
        <v/>
      </c>
      <c r="AN584" s="6" t="str">
        <f>IF(最佳化斷筋點!P584="","",最佳化斷筋點!P584)</f>
        <v/>
      </c>
      <c r="AO584" s="6" t="str">
        <f>IF(最佳化斷筋點!Q584="","",最佳化斷筋點!Q584)</f>
        <v/>
      </c>
      <c r="AP584" s="6" t="str">
        <f>IF(最佳化斷筋點!R584="","",最佳化斷筋點!R584)</f>
        <v/>
      </c>
      <c r="AQ584" s="6" t="str">
        <f>IF(最佳化斷筋點!S584="","",最佳化斷筋點!S584)</f>
        <v/>
      </c>
      <c r="AR584" s="6" t="str">
        <f>IF(最佳化斷筋點!T584="","",最佳化斷筋點!T584)</f>
        <v/>
      </c>
      <c r="AS584" s="6" t="str">
        <f>IF(最佳化斷筋點!U584="","",最佳化斷筋點!U584)</f>
        <v/>
      </c>
      <c r="AT584" s="6" t="str">
        <f>IF(最佳化斷筋點!V584="","",最佳化斷筋點!V584)</f>
        <v/>
      </c>
      <c r="AU584" s="6" t="str">
        <f>IF(最佳化斷筋點!W584="","",最佳化斷筋點!W584)</f>
        <v/>
      </c>
      <c r="AV584" s="6" t="str">
        <f>IF(最佳化斷筋點!X584="","",最佳化斷筋點!X584)</f>
        <v/>
      </c>
    </row>
    <row r="585" spans="4:71" x14ac:dyDescent="0.25">
      <c r="D585" s="6" t="s">
        <v>51</v>
      </c>
      <c r="E585" s="6">
        <f t="shared" si="190"/>
        <v>0</v>
      </c>
      <c r="F585" s="6">
        <f t="shared" si="191"/>
        <v>0</v>
      </c>
      <c r="G585" s="6">
        <f t="shared" si="192"/>
        <v>0</v>
      </c>
      <c r="H585" s="6">
        <f t="shared" si="193"/>
        <v>0</v>
      </c>
      <c r="I585" s="6">
        <f t="shared" si="194"/>
        <v>0</v>
      </c>
      <c r="J585" s="6">
        <f t="shared" si="195"/>
        <v>0</v>
      </c>
      <c r="K585" s="6">
        <f t="shared" si="196"/>
        <v>0</v>
      </c>
      <c r="L585" s="6">
        <f t="shared" si="197"/>
        <v>0</v>
      </c>
      <c r="M585" s="6">
        <f t="shared" si="198"/>
        <v>0</v>
      </c>
      <c r="N585" s="6">
        <f t="shared" si="199"/>
        <v>0</v>
      </c>
      <c r="O585" s="6">
        <f t="shared" si="200"/>
        <v>0</v>
      </c>
      <c r="P585" s="6">
        <f t="shared" si="201"/>
        <v>0</v>
      </c>
      <c r="Q585" s="6">
        <f t="shared" si="202"/>
        <v>0</v>
      </c>
      <c r="R585" s="6">
        <f t="shared" si="203"/>
        <v>0</v>
      </c>
      <c r="S585" s="6">
        <f t="shared" si="204"/>
        <v>0</v>
      </c>
      <c r="T585" s="6">
        <f t="shared" si="205"/>
        <v>0</v>
      </c>
      <c r="U585" s="6">
        <f t="shared" si="206"/>
        <v>0</v>
      </c>
      <c r="V585" s="6">
        <f t="shared" si="207"/>
        <v>0</v>
      </c>
      <c r="W585" s="6">
        <f t="shared" si="208"/>
        <v>0</v>
      </c>
      <c r="X585" s="6">
        <f t="shared" si="209"/>
        <v>0</v>
      </c>
      <c r="Y585" s="6">
        <f t="shared" si="210"/>
        <v>0</v>
      </c>
      <c r="AA585" s="6" t="str">
        <f>IF(最佳化斷筋點!C585="","",最佳化斷筋點!C585)</f>
        <v>下層</v>
      </c>
      <c r="AB585" s="6">
        <f>IF(最佳化斷筋點!D585="","",最佳化斷筋點!D585)</f>
        <v>3</v>
      </c>
      <c r="AC585" s="6">
        <f>IF(最佳化斷筋點!E585="","",最佳化斷筋點!E585)</f>
        <v>3</v>
      </c>
      <c r="AD585" s="6">
        <f>IF(最佳化斷筋點!F585="","",最佳化斷筋點!F585)</f>
        <v>3</v>
      </c>
      <c r="AE585" s="6">
        <f>IF(最佳化斷筋點!G585="","",最佳化斷筋點!G585)</f>
        <v>3</v>
      </c>
      <c r="AF585" s="6">
        <f>IF(最佳化斷筋點!H585="","",最佳化斷筋點!H585)</f>
        <v>3</v>
      </c>
      <c r="AG585" s="6">
        <f>IF(最佳化斷筋點!I585="","",最佳化斷筋點!I585)</f>
        <v>3</v>
      </c>
      <c r="AH585" s="6">
        <f>IF(最佳化斷筋點!J585="","",最佳化斷筋點!J585)</f>
        <v>4</v>
      </c>
      <c r="AI585" s="6">
        <f>IF(最佳化斷筋點!K585="","",最佳化斷筋點!K585)</f>
        <v>4</v>
      </c>
      <c r="AJ585" s="6">
        <f>IF(最佳化斷筋點!L585="","",最佳化斷筋點!L585)</f>
        <v>4</v>
      </c>
      <c r="AK585" s="6">
        <f>IF(最佳化斷筋點!M585="","",最佳化斷筋點!M585)</f>
        <v>4</v>
      </c>
      <c r="AL585" s="6">
        <f>IF(最佳化斷筋點!N585="","",最佳化斷筋點!N585)</f>
        <v>4</v>
      </c>
      <c r="AM585" s="6">
        <f>IF(最佳化斷筋點!O585="","",最佳化斷筋點!O585)</f>
        <v>4</v>
      </c>
      <c r="AN585" s="6">
        <f>IF(最佳化斷筋點!P585="","",最佳化斷筋點!P585)</f>
        <v>4</v>
      </c>
      <c r="AO585" s="6">
        <f>IF(最佳化斷筋點!Q585="","",最佳化斷筋點!Q585)</f>
        <v>4</v>
      </c>
      <c r="AP585" s="6">
        <f>IF(最佳化斷筋點!R585="","",最佳化斷筋點!R585)</f>
        <v>4</v>
      </c>
      <c r="AQ585" s="6">
        <f>IF(最佳化斷筋點!S585="","",最佳化斷筋點!S585)</f>
        <v>3</v>
      </c>
      <c r="AR585" s="6">
        <f>IF(最佳化斷筋點!T585="","",最佳化斷筋點!T585)</f>
        <v>3</v>
      </c>
      <c r="AS585" s="6">
        <f>IF(最佳化斷筋點!U585="","",最佳化斷筋點!U585)</f>
        <v>3</v>
      </c>
      <c r="AT585" s="6">
        <f>IF(最佳化斷筋點!V585="","",最佳化斷筋點!V585)</f>
        <v>3</v>
      </c>
      <c r="AU585" s="6">
        <f>IF(最佳化斷筋點!W585="","",最佳化斷筋點!W585)</f>
        <v>3</v>
      </c>
      <c r="AV585" s="6">
        <f>IF(最佳化斷筋點!X585="","",最佳化斷筋點!X585)</f>
        <v>3</v>
      </c>
      <c r="AX585" s="6" t="s">
        <v>51</v>
      </c>
      <c r="AY585" s="6">
        <v>3</v>
      </c>
      <c r="AZ585" s="6">
        <v>3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3</v>
      </c>
      <c r="BO585" s="6">
        <v>3</v>
      </c>
      <c r="BP585" s="6">
        <v>3</v>
      </c>
      <c r="BQ585" s="6">
        <v>3</v>
      </c>
      <c r="BR585" s="6">
        <v>3</v>
      </c>
      <c r="BS585" s="6">
        <v>3</v>
      </c>
    </row>
    <row r="586" spans="4:71" x14ac:dyDescent="0.25">
      <c r="E586" s="6">
        <f t="shared" si="190"/>
        <v>0</v>
      </c>
      <c r="F586" s="6">
        <f t="shared" si="191"/>
        <v>0</v>
      </c>
      <c r="G586" s="6">
        <f t="shared" si="192"/>
        <v>0</v>
      </c>
      <c r="H586" s="6">
        <f t="shared" si="193"/>
        <v>0</v>
      </c>
      <c r="I586" s="6">
        <f t="shared" si="194"/>
        <v>0</v>
      </c>
      <c r="J586" s="6">
        <f t="shared" si="195"/>
        <v>0</v>
      </c>
      <c r="K586" s="6">
        <f t="shared" si="196"/>
        <v>0</v>
      </c>
      <c r="L586" s="6">
        <f t="shared" si="197"/>
        <v>0</v>
      </c>
      <c r="M586" s="6">
        <f t="shared" si="198"/>
        <v>0</v>
      </c>
      <c r="N586" s="6">
        <f t="shared" si="199"/>
        <v>0</v>
      </c>
      <c r="O586" s="6">
        <f t="shared" si="200"/>
        <v>0</v>
      </c>
      <c r="P586" s="6">
        <f t="shared" si="201"/>
        <v>0</v>
      </c>
      <c r="Q586" s="6">
        <f t="shared" si="202"/>
        <v>0</v>
      </c>
      <c r="R586" s="6">
        <f t="shared" si="203"/>
        <v>0</v>
      </c>
      <c r="S586" s="6">
        <f t="shared" si="204"/>
        <v>0</v>
      </c>
      <c r="T586" s="6">
        <f t="shared" si="205"/>
        <v>0</v>
      </c>
      <c r="U586" s="6">
        <f t="shared" si="206"/>
        <v>0</v>
      </c>
      <c r="V586" s="6">
        <f t="shared" si="207"/>
        <v>0</v>
      </c>
      <c r="W586" s="6">
        <f t="shared" si="208"/>
        <v>0</v>
      </c>
      <c r="X586" s="6">
        <f t="shared" si="209"/>
        <v>0</v>
      </c>
      <c r="Y586" s="6">
        <f t="shared" si="210"/>
        <v>0</v>
      </c>
      <c r="AA586" s="6" t="str">
        <f>IF(最佳化斷筋點!C586="","",最佳化斷筋點!C586)</f>
        <v/>
      </c>
      <c r="AB586" s="6" t="str">
        <f>IF(最佳化斷筋點!D586="","",最佳化斷筋點!D586)</f>
        <v/>
      </c>
      <c r="AC586" s="6" t="str">
        <f>IF(最佳化斷筋點!E586="","",最佳化斷筋點!E586)</f>
        <v/>
      </c>
      <c r="AD586" s="6" t="str">
        <f>IF(最佳化斷筋點!F586="","",最佳化斷筋點!F586)</f>
        <v/>
      </c>
      <c r="AE586" s="6" t="str">
        <f>IF(最佳化斷筋點!G586="","",最佳化斷筋點!G586)</f>
        <v/>
      </c>
      <c r="AF586" s="6" t="str">
        <f>IF(最佳化斷筋點!H586="","",最佳化斷筋點!H586)</f>
        <v/>
      </c>
      <c r="AG586" s="6" t="str">
        <f>IF(最佳化斷筋點!I586="","",最佳化斷筋點!I586)</f>
        <v/>
      </c>
      <c r="AH586" s="6" t="str">
        <f>IF(最佳化斷筋點!J586="","",最佳化斷筋點!J586)</f>
        <v/>
      </c>
      <c r="AI586" s="6" t="str">
        <f>IF(最佳化斷筋點!K586="","",最佳化斷筋點!K586)</f>
        <v/>
      </c>
      <c r="AJ586" s="6" t="str">
        <f>IF(最佳化斷筋點!L586="","",最佳化斷筋點!L586)</f>
        <v/>
      </c>
      <c r="AK586" s="6" t="str">
        <f>IF(最佳化斷筋點!M586="","",最佳化斷筋點!M586)</f>
        <v/>
      </c>
      <c r="AL586" s="6" t="str">
        <f>IF(最佳化斷筋點!N586="","",最佳化斷筋點!N586)</f>
        <v/>
      </c>
      <c r="AM586" s="6" t="str">
        <f>IF(最佳化斷筋點!O586="","",最佳化斷筋點!O586)</f>
        <v/>
      </c>
      <c r="AN586" s="6" t="str">
        <f>IF(最佳化斷筋點!P586="","",最佳化斷筋點!P586)</f>
        <v/>
      </c>
      <c r="AO586" s="6" t="str">
        <f>IF(最佳化斷筋點!Q586="","",最佳化斷筋點!Q586)</f>
        <v/>
      </c>
      <c r="AP586" s="6" t="str">
        <f>IF(最佳化斷筋點!R586="","",最佳化斷筋點!R586)</f>
        <v/>
      </c>
      <c r="AQ586" s="6" t="str">
        <f>IF(最佳化斷筋點!S586="","",最佳化斷筋點!S586)</f>
        <v/>
      </c>
      <c r="AR586" s="6" t="str">
        <f>IF(最佳化斷筋點!T586="","",最佳化斷筋點!T586)</f>
        <v/>
      </c>
      <c r="AS586" s="6" t="str">
        <f>IF(最佳化斷筋點!U586="","",最佳化斷筋點!U586)</f>
        <v/>
      </c>
      <c r="AT586" s="6" t="str">
        <f>IF(最佳化斷筋點!V586="","",最佳化斷筋點!V586)</f>
        <v/>
      </c>
      <c r="AU586" s="6" t="str">
        <f>IF(最佳化斷筋點!W586="","",最佳化斷筋點!W586)</f>
        <v/>
      </c>
      <c r="AV586" s="6" t="str">
        <f>IF(最佳化斷筋點!X586="","",最佳化斷筋點!X586)</f>
        <v/>
      </c>
    </row>
    <row r="587" spans="4:71" x14ac:dyDescent="0.25">
      <c r="D587" s="6" t="s">
        <v>50</v>
      </c>
      <c r="E587" s="6">
        <f t="shared" si="190"/>
        <v>0</v>
      </c>
      <c r="F587" s="6">
        <f t="shared" si="191"/>
        <v>0</v>
      </c>
      <c r="G587" s="6">
        <f t="shared" si="192"/>
        <v>0</v>
      </c>
      <c r="H587" s="6">
        <f t="shared" si="193"/>
        <v>0</v>
      </c>
      <c r="I587" s="6">
        <f t="shared" si="194"/>
        <v>0</v>
      </c>
      <c r="J587" s="6">
        <f t="shared" si="195"/>
        <v>0</v>
      </c>
      <c r="K587" s="6">
        <f t="shared" si="196"/>
        <v>0</v>
      </c>
      <c r="L587" s="6">
        <f t="shared" si="197"/>
        <v>0</v>
      </c>
      <c r="M587" s="6">
        <f t="shared" si="198"/>
        <v>0</v>
      </c>
      <c r="N587" s="6">
        <f t="shared" si="199"/>
        <v>0</v>
      </c>
      <c r="O587" s="6">
        <f t="shared" si="200"/>
        <v>0</v>
      </c>
      <c r="P587" s="6">
        <f t="shared" si="201"/>
        <v>0</v>
      </c>
      <c r="Q587" s="6">
        <f t="shared" si="202"/>
        <v>0</v>
      </c>
      <c r="R587" s="6">
        <f t="shared" si="203"/>
        <v>0</v>
      </c>
      <c r="S587" s="6">
        <f t="shared" si="204"/>
        <v>0</v>
      </c>
      <c r="T587" s="6">
        <f t="shared" si="205"/>
        <v>0</v>
      </c>
      <c r="U587" s="6">
        <f t="shared" si="206"/>
        <v>0</v>
      </c>
      <c r="V587" s="6">
        <f t="shared" si="207"/>
        <v>0</v>
      </c>
      <c r="W587" s="6">
        <f t="shared" si="208"/>
        <v>0</v>
      </c>
      <c r="X587" s="6">
        <f t="shared" si="209"/>
        <v>0</v>
      </c>
      <c r="Y587" s="6">
        <f t="shared" si="210"/>
        <v>0</v>
      </c>
      <c r="AA587" s="6" t="str">
        <f>IF(最佳化斷筋點!C587="","",最佳化斷筋點!C587)</f>
        <v>上層</v>
      </c>
      <c r="AB587" s="6">
        <f>IF(最佳化斷筋點!D587="","",最佳化斷筋點!D587)</f>
        <v>3</v>
      </c>
      <c r="AC587" s="6">
        <f>IF(最佳化斷筋點!E587="","",最佳化斷筋點!E587)</f>
        <v>3</v>
      </c>
      <c r="AD587" s="6">
        <f>IF(最佳化斷筋點!F587="","",最佳化斷筋點!F587)</f>
        <v>3</v>
      </c>
      <c r="AE587" s="6">
        <f>IF(最佳化斷筋點!G587="","",最佳化斷筋點!G587)</f>
        <v>3</v>
      </c>
      <c r="AF587" s="6">
        <f>IF(最佳化斷筋點!H587="","",最佳化斷筋點!H587)</f>
        <v>2</v>
      </c>
      <c r="AG587" s="6">
        <f>IF(最佳化斷筋點!I587="","",最佳化斷筋點!I587)</f>
        <v>2</v>
      </c>
      <c r="AH587" s="6">
        <f>IF(最佳化斷筋點!J587="","",最佳化斷筋點!J587)</f>
        <v>2</v>
      </c>
      <c r="AI587" s="6">
        <f>IF(最佳化斷筋點!K587="","",最佳化斷筋點!K587)</f>
        <v>2</v>
      </c>
      <c r="AJ587" s="6">
        <f>IF(最佳化斷筋點!L587="","",最佳化斷筋點!L587)</f>
        <v>2</v>
      </c>
      <c r="AK587" s="6">
        <f>IF(最佳化斷筋點!M587="","",最佳化斷筋點!M587)</f>
        <v>2</v>
      </c>
      <c r="AL587" s="6">
        <f>IF(最佳化斷筋點!N587="","",最佳化斷筋點!N587)</f>
        <v>2</v>
      </c>
      <c r="AM587" s="6">
        <f>IF(最佳化斷筋點!O587="","",最佳化斷筋點!O587)</f>
        <v>2</v>
      </c>
      <c r="AN587" s="6">
        <f>IF(最佳化斷筋點!P587="","",最佳化斷筋點!P587)</f>
        <v>2</v>
      </c>
      <c r="AO587" s="6">
        <f>IF(最佳化斷筋點!Q587="","",最佳化斷筋點!Q587)</f>
        <v>2</v>
      </c>
      <c r="AP587" s="6">
        <f>IF(最佳化斷筋點!R587="","",最佳化斷筋點!R587)</f>
        <v>2</v>
      </c>
      <c r="AQ587" s="6">
        <f>IF(最佳化斷筋點!S587="","",最佳化斷筋點!S587)</f>
        <v>2</v>
      </c>
      <c r="AR587" s="6">
        <f>IF(最佳化斷筋點!T587="","",最佳化斷筋點!T587)</f>
        <v>2</v>
      </c>
      <c r="AS587" s="6">
        <f>IF(最佳化斷筋點!U587="","",最佳化斷筋點!U587)</f>
        <v>2</v>
      </c>
      <c r="AT587" s="6">
        <f>IF(最佳化斷筋點!V587="","",最佳化斷筋點!V587)</f>
        <v>2</v>
      </c>
      <c r="AU587" s="6">
        <f>IF(最佳化斷筋點!W587="","",最佳化斷筋點!W587)</f>
        <v>2</v>
      </c>
      <c r="AV587" s="6">
        <f>IF(最佳化斷筋點!X587="","",最佳化斷筋點!X587)</f>
        <v>2</v>
      </c>
      <c r="AX587" s="6" t="s">
        <v>50</v>
      </c>
      <c r="AY587" s="6">
        <v>3</v>
      </c>
      <c r="AZ587" s="6">
        <v>3</v>
      </c>
      <c r="BA587" s="6">
        <v>3</v>
      </c>
      <c r="BB587" s="6">
        <v>3</v>
      </c>
      <c r="BC587" s="6">
        <v>2</v>
      </c>
      <c r="BD587" s="6">
        <v>2</v>
      </c>
      <c r="BE587" s="6">
        <v>2</v>
      </c>
      <c r="BF587" s="6">
        <v>2</v>
      </c>
      <c r="BG587" s="6">
        <v>2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</row>
    <row r="588" spans="4:71" x14ac:dyDescent="0.25">
      <c r="E588" s="6">
        <f t="shared" si="190"/>
        <v>0</v>
      </c>
      <c r="F588" s="6">
        <f t="shared" si="191"/>
        <v>0</v>
      </c>
      <c r="G588" s="6">
        <f t="shared" si="192"/>
        <v>0</v>
      </c>
      <c r="H588" s="6">
        <f t="shared" si="193"/>
        <v>0</v>
      </c>
      <c r="I588" s="6">
        <f t="shared" si="194"/>
        <v>0</v>
      </c>
      <c r="J588" s="6">
        <f t="shared" si="195"/>
        <v>0</v>
      </c>
      <c r="K588" s="6">
        <f t="shared" si="196"/>
        <v>0</v>
      </c>
      <c r="L588" s="6">
        <f t="shared" si="197"/>
        <v>0</v>
      </c>
      <c r="M588" s="6">
        <f t="shared" si="198"/>
        <v>0</v>
      </c>
      <c r="N588" s="6">
        <f t="shared" si="199"/>
        <v>0</v>
      </c>
      <c r="O588" s="6">
        <f t="shared" si="200"/>
        <v>0</v>
      </c>
      <c r="P588" s="6">
        <f t="shared" si="201"/>
        <v>0</v>
      </c>
      <c r="Q588" s="6">
        <f t="shared" si="202"/>
        <v>0</v>
      </c>
      <c r="R588" s="6">
        <f t="shared" si="203"/>
        <v>0</v>
      </c>
      <c r="S588" s="6">
        <f t="shared" si="204"/>
        <v>0</v>
      </c>
      <c r="T588" s="6">
        <f t="shared" si="205"/>
        <v>0</v>
      </c>
      <c r="U588" s="6">
        <f t="shared" si="206"/>
        <v>0</v>
      </c>
      <c r="V588" s="6">
        <f t="shared" si="207"/>
        <v>0</v>
      </c>
      <c r="W588" s="6">
        <f t="shared" si="208"/>
        <v>0</v>
      </c>
      <c r="X588" s="6">
        <f t="shared" si="209"/>
        <v>0</v>
      </c>
      <c r="Y588" s="6">
        <f t="shared" si="210"/>
        <v>0</v>
      </c>
      <c r="AA588" s="6" t="str">
        <f>IF(最佳化斷筋點!C588="","",最佳化斷筋點!C588)</f>
        <v/>
      </c>
      <c r="AB588" s="6" t="str">
        <f>IF(最佳化斷筋點!D588="","",最佳化斷筋點!D588)</f>
        <v/>
      </c>
      <c r="AC588" s="6" t="str">
        <f>IF(最佳化斷筋點!E588="","",最佳化斷筋點!E588)</f>
        <v/>
      </c>
      <c r="AD588" s="6" t="str">
        <f>IF(最佳化斷筋點!F588="","",最佳化斷筋點!F588)</f>
        <v/>
      </c>
      <c r="AE588" s="6" t="str">
        <f>IF(最佳化斷筋點!G588="","",最佳化斷筋點!G588)</f>
        <v/>
      </c>
      <c r="AF588" s="6" t="str">
        <f>IF(最佳化斷筋點!H588="","",最佳化斷筋點!H588)</f>
        <v/>
      </c>
      <c r="AG588" s="6" t="str">
        <f>IF(最佳化斷筋點!I588="","",最佳化斷筋點!I588)</f>
        <v/>
      </c>
      <c r="AH588" s="6" t="str">
        <f>IF(最佳化斷筋點!J588="","",最佳化斷筋點!J588)</f>
        <v/>
      </c>
      <c r="AI588" s="6" t="str">
        <f>IF(最佳化斷筋點!K588="","",最佳化斷筋點!K588)</f>
        <v/>
      </c>
      <c r="AJ588" s="6" t="str">
        <f>IF(最佳化斷筋點!L588="","",最佳化斷筋點!L588)</f>
        <v/>
      </c>
      <c r="AK588" s="6" t="str">
        <f>IF(最佳化斷筋點!M588="","",最佳化斷筋點!M588)</f>
        <v/>
      </c>
      <c r="AL588" s="6" t="str">
        <f>IF(最佳化斷筋點!N588="","",最佳化斷筋點!N588)</f>
        <v/>
      </c>
      <c r="AM588" s="6" t="str">
        <f>IF(最佳化斷筋點!O588="","",最佳化斷筋點!O588)</f>
        <v/>
      </c>
      <c r="AN588" s="6" t="str">
        <f>IF(最佳化斷筋點!P588="","",最佳化斷筋點!P588)</f>
        <v/>
      </c>
      <c r="AO588" s="6" t="str">
        <f>IF(最佳化斷筋點!Q588="","",最佳化斷筋點!Q588)</f>
        <v/>
      </c>
      <c r="AP588" s="6" t="str">
        <f>IF(最佳化斷筋點!R588="","",最佳化斷筋點!R588)</f>
        <v/>
      </c>
      <c r="AQ588" s="6" t="str">
        <f>IF(最佳化斷筋點!S588="","",最佳化斷筋點!S588)</f>
        <v/>
      </c>
      <c r="AR588" s="6" t="str">
        <f>IF(最佳化斷筋點!T588="","",最佳化斷筋點!T588)</f>
        <v/>
      </c>
      <c r="AS588" s="6" t="str">
        <f>IF(最佳化斷筋點!U588="","",最佳化斷筋點!U588)</f>
        <v/>
      </c>
      <c r="AT588" s="6" t="str">
        <f>IF(最佳化斷筋點!V588="","",最佳化斷筋點!V588)</f>
        <v/>
      </c>
      <c r="AU588" s="6" t="str">
        <f>IF(最佳化斷筋點!W588="","",最佳化斷筋點!W588)</f>
        <v/>
      </c>
      <c r="AV588" s="6" t="str">
        <f>IF(最佳化斷筋點!X588="","",最佳化斷筋點!X588)</f>
        <v/>
      </c>
    </row>
    <row r="589" spans="4:71" x14ac:dyDescent="0.25">
      <c r="D589" s="6" t="s">
        <v>51</v>
      </c>
      <c r="E589" s="6">
        <f t="shared" si="190"/>
        <v>0</v>
      </c>
      <c r="F589" s="6">
        <f t="shared" si="191"/>
        <v>0</v>
      </c>
      <c r="G589" s="6">
        <f t="shared" si="192"/>
        <v>0</v>
      </c>
      <c r="H589" s="6">
        <f t="shared" si="193"/>
        <v>0</v>
      </c>
      <c r="I589" s="6">
        <f t="shared" si="194"/>
        <v>0</v>
      </c>
      <c r="J589" s="6">
        <f t="shared" si="195"/>
        <v>0</v>
      </c>
      <c r="K589" s="6">
        <f t="shared" si="196"/>
        <v>0</v>
      </c>
      <c r="L589" s="6">
        <f t="shared" si="197"/>
        <v>0</v>
      </c>
      <c r="M589" s="6">
        <f t="shared" si="198"/>
        <v>0</v>
      </c>
      <c r="N589" s="6">
        <f t="shared" si="199"/>
        <v>0</v>
      </c>
      <c r="O589" s="6">
        <f t="shared" si="200"/>
        <v>0</v>
      </c>
      <c r="P589" s="6">
        <f t="shared" si="201"/>
        <v>0</v>
      </c>
      <c r="Q589" s="6">
        <f t="shared" si="202"/>
        <v>0</v>
      </c>
      <c r="R589" s="6">
        <f t="shared" si="203"/>
        <v>0</v>
      </c>
      <c r="S589" s="6">
        <f t="shared" si="204"/>
        <v>0</v>
      </c>
      <c r="T589" s="6">
        <f t="shared" si="205"/>
        <v>0</v>
      </c>
      <c r="U589" s="6">
        <f t="shared" si="206"/>
        <v>0</v>
      </c>
      <c r="V589" s="6">
        <f t="shared" si="207"/>
        <v>0</v>
      </c>
      <c r="W589" s="6">
        <f t="shared" si="208"/>
        <v>0</v>
      </c>
      <c r="X589" s="6">
        <f t="shared" si="209"/>
        <v>0</v>
      </c>
      <c r="Y589" s="6">
        <f t="shared" si="210"/>
        <v>0</v>
      </c>
      <c r="AA589" s="6" t="str">
        <f>IF(最佳化斷筋點!C589="","",最佳化斷筋點!C589)</f>
        <v>下層</v>
      </c>
      <c r="AB589" s="6">
        <f>IF(最佳化斷筋點!D589="","",最佳化斷筋點!D589)</f>
        <v>3</v>
      </c>
      <c r="AC589" s="6">
        <f>IF(最佳化斷筋點!E589="","",最佳化斷筋點!E589)</f>
        <v>3</v>
      </c>
      <c r="AD589" s="6">
        <f>IF(最佳化斷筋點!F589="","",最佳化斷筋點!F589)</f>
        <v>3</v>
      </c>
      <c r="AE589" s="6">
        <f>IF(最佳化斷筋點!G589="","",最佳化斷筋點!G589)</f>
        <v>3</v>
      </c>
      <c r="AF589" s="6">
        <f>IF(最佳化斷筋點!H589="","",最佳化斷筋點!H589)</f>
        <v>3</v>
      </c>
      <c r="AG589" s="6">
        <f>IF(最佳化斷筋點!I589="","",最佳化斷筋點!I589)</f>
        <v>3</v>
      </c>
      <c r="AH589" s="6">
        <f>IF(最佳化斷筋點!J589="","",最佳化斷筋點!J589)</f>
        <v>4</v>
      </c>
      <c r="AI589" s="6">
        <f>IF(最佳化斷筋點!K589="","",最佳化斷筋點!K589)</f>
        <v>4</v>
      </c>
      <c r="AJ589" s="6">
        <f>IF(最佳化斷筋點!L589="","",最佳化斷筋點!L589)</f>
        <v>4</v>
      </c>
      <c r="AK589" s="6">
        <f>IF(最佳化斷筋點!M589="","",最佳化斷筋點!M589)</f>
        <v>4</v>
      </c>
      <c r="AL589" s="6">
        <f>IF(最佳化斷筋點!N589="","",最佳化斷筋點!N589)</f>
        <v>4</v>
      </c>
      <c r="AM589" s="6">
        <f>IF(最佳化斷筋點!O589="","",最佳化斷筋點!O589)</f>
        <v>4</v>
      </c>
      <c r="AN589" s="6">
        <f>IF(最佳化斷筋點!P589="","",最佳化斷筋點!P589)</f>
        <v>4</v>
      </c>
      <c r="AO589" s="6">
        <f>IF(最佳化斷筋點!Q589="","",最佳化斷筋點!Q589)</f>
        <v>4</v>
      </c>
      <c r="AP589" s="6">
        <f>IF(最佳化斷筋點!R589="","",最佳化斷筋點!R589)</f>
        <v>4</v>
      </c>
      <c r="AQ589" s="6">
        <f>IF(最佳化斷筋點!S589="","",最佳化斷筋點!S589)</f>
        <v>3</v>
      </c>
      <c r="AR589" s="6">
        <f>IF(最佳化斷筋點!T589="","",最佳化斷筋點!T589)</f>
        <v>3</v>
      </c>
      <c r="AS589" s="6">
        <f>IF(最佳化斷筋點!U589="","",最佳化斷筋點!U589)</f>
        <v>3</v>
      </c>
      <c r="AT589" s="6">
        <f>IF(最佳化斷筋點!V589="","",最佳化斷筋點!V589)</f>
        <v>3</v>
      </c>
      <c r="AU589" s="6">
        <f>IF(最佳化斷筋點!W589="","",最佳化斷筋點!W589)</f>
        <v>3</v>
      </c>
      <c r="AV589" s="6">
        <f>IF(最佳化斷筋點!X589="","",最佳化斷筋點!X589)</f>
        <v>3</v>
      </c>
      <c r="AX589" s="6" t="s">
        <v>51</v>
      </c>
      <c r="AY589" s="6">
        <v>3</v>
      </c>
      <c r="AZ589" s="6">
        <v>3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3</v>
      </c>
      <c r="BO589" s="6">
        <v>3</v>
      </c>
      <c r="BP589" s="6">
        <v>3</v>
      </c>
      <c r="BQ589" s="6">
        <v>3</v>
      </c>
      <c r="BR589" s="6">
        <v>3</v>
      </c>
      <c r="BS589" s="6">
        <v>3</v>
      </c>
    </row>
    <row r="590" spans="4:71" x14ac:dyDescent="0.25">
      <c r="E590" s="6">
        <f t="shared" si="190"/>
        <v>0</v>
      </c>
      <c r="F590" s="6">
        <f t="shared" si="191"/>
        <v>0</v>
      </c>
      <c r="G590" s="6">
        <f t="shared" si="192"/>
        <v>0</v>
      </c>
      <c r="H590" s="6">
        <f t="shared" si="193"/>
        <v>0</v>
      </c>
      <c r="I590" s="6">
        <f t="shared" si="194"/>
        <v>0</v>
      </c>
      <c r="J590" s="6">
        <f t="shared" si="195"/>
        <v>0</v>
      </c>
      <c r="K590" s="6">
        <f t="shared" si="196"/>
        <v>0</v>
      </c>
      <c r="L590" s="6">
        <f t="shared" si="197"/>
        <v>0</v>
      </c>
      <c r="M590" s="6">
        <f t="shared" si="198"/>
        <v>0</v>
      </c>
      <c r="N590" s="6">
        <f t="shared" si="199"/>
        <v>0</v>
      </c>
      <c r="O590" s="6">
        <f t="shared" si="200"/>
        <v>0</v>
      </c>
      <c r="P590" s="6">
        <f t="shared" si="201"/>
        <v>0</v>
      </c>
      <c r="Q590" s="6">
        <f t="shared" si="202"/>
        <v>0</v>
      </c>
      <c r="R590" s="6">
        <f t="shared" si="203"/>
        <v>0</v>
      </c>
      <c r="S590" s="6">
        <f t="shared" si="204"/>
        <v>0</v>
      </c>
      <c r="T590" s="6">
        <f t="shared" si="205"/>
        <v>0</v>
      </c>
      <c r="U590" s="6">
        <f t="shared" si="206"/>
        <v>0</v>
      </c>
      <c r="V590" s="6">
        <f t="shared" si="207"/>
        <v>0</v>
      </c>
      <c r="W590" s="6">
        <f t="shared" si="208"/>
        <v>0</v>
      </c>
      <c r="X590" s="6">
        <f t="shared" si="209"/>
        <v>0</v>
      </c>
      <c r="Y590" s="6">
        <f t="shared" si="210"/>
        <v>0</v>
      </c>
      <c r="AA590" s="6" t="str">
        <f>IF(最佳化斷筋點!C590="","",最佳化斷筋點!C590)</f>
        <v/>
      </c>
      <c r="AB590" s="6" t="str">
        <f>IF(最佳化斷筋點!D590="","",最佳化斷筋點!D590)</f>
        <v/>
      </c>
      <c r="AC590" s="6" t="str">
        <f>IF(最佳化斷筋點!E590="","",最佳化斷筋點!E590)</f>
        <v/>
      </c>
      <c r="AD590" s="6" t="str">
        <f>IF(最佳化斷筋點!F590="","",最佳化斷筋點!F590)</f>
        <v/>
      </c>
      <c r="AE590" s="6" t="str">
        <f>IF(最佳化斷筋點!G590="","",最佳化斷筋點!G590)</f>
        <v/>
      </c>
      <c r="AF590" s="6" t="str">
        <f>IF(最佳化斷筋點!H590="","",最佳化斷筋點!H590)</f>
        <v/>
      </c>
      <c r="AG590" s="6" t="str">
        <f>IF(最佳化斷筋點!I590="","",最佳化斷筋點!I590)</f>
        <v/>
      </c>
      <c r="AH590" s="6" t="str">
        <f>IF(最佳化斷筋點!J590="","",最佳化斷筋點!J590)</f>
        <v/>
      </c>
      <c r="AI590" s="6" t="str">
        <f>IF(最佳化斷筋點!K590="","",最佳化斷筋點!K590)</f>
        <v/>
      </c>
      <c r="AJ590" s="6" t="str">
        <f>IF(最佳化斷筋點!L590="","",最佳化斷筋點!L590)</f>
        <v/>
      </c>
      <c r="AK590" s="6" t="str">
        <f>IF(最佳化斷筋點!M590="","",最佳化斷筋點!M590)</f>
        <v/>
      </c>
      <c r="AL590" s="6" t="str">
        <f>IF(最佳化斷筋點!N590="","",最佳化斷筋點!N590)</f>
        <v/>
      </c>
      <c r="AM590" s="6" t="str">
        <f>IF(最佳化斷筋點!O590="","",最佳化斷筋點!O590)</f>
        <v/>
      </c>
      <c r="AN590" s="6" t="str">
        <f>IF(最佳化斷筋點!P590="","",最佳化斷筋點!P590)</f>
        <v/>
      </c>
      <c r="AO590" s="6" t="str">
        <f>IF(最佳化斷筋點!Q590="","",最佳化斷筋點!Q590)</f>
        <v/>
      </c>
      <c r="AP590" s="6" t="str">
        <f>IF(最佳化斷筋點!R590="","",最佳化斷筋點!R590)</f>
        <v/>
      </c>
      <c r="AQ590" s="6" t="str">
        <f>IF(最佳化斷筋點!S590="","",最佳化斷筋點!S590)</f>
        <v/>
      </c>
      <c r="AR590" s="6" t="str">
        <f>IF(最佳化斷筋點!T590="","",最佳化斷筋點!T590)</f>
        <v/>
      </c>
      <c r="AS590" s="6" t="str">
        <f>IF(最佳化斷筋點!U590="","",最佳化斷筋點!U590)</f>
        <v/>
      </c>
      <c r="AT590" s="6" t="str">
        <f>IF(最佳化斷筋點!V590="","",最佳化斷筋點!V590)</f>
        <v/>
      </c>
      <c r="AU590" s="6" t="str">
        <f>IF(最佳化斷筋點!W590="","",最佳化斷筋點!W590)</f>
        <v/>
      </c>
      <c r="AV590" s="6" t="str">
        <f>IF(最佳化斷筋點!X590="","",最佳化斷筋點!X590)</f>
        <v/>
      </c>
    </row>
    <row r="591" spans="4:71" x14ac:dyDescent="0.25">
      <c r="D591" s="6" t="s">
        <v>50</v>
      </c>
      <c r="E591" s="6">
        <f t="shared" si="190"/>
        <v>0</v>
      </c>
      <c r="F591" s="6">
        <f t="shared" si="191"/>
        <v>0</v>
      </c>
      <c r="G591" s="6">
        <f t="shared" si="192"/>
        <v>0</v>
      </c>
      <c r="H591" s="6">
        <f t="shared" si="193"/>
        <v>0</v>
      </c>
      <c r="I591" s="6">
        <f t="shared" si="194"/>
        <v>0</v>
      </c>
      <c r="J591" s="6">
        <f t="shared" si="195"/>
        <v>0</v>
      </c>
      <c r="K591" s="6">
        <f t="shared" si="196"/>
        <v>0</v>
      </c>
      <c r="L591" s="6">
        <f t="shared" si="197"/>
        <v>0</v>
      </c>
      <c r="M591" s="6">
        <f t="shared" si="198"/>
        <v>0</v>
      </c>
      <c r="N591" s="6">
        <f t="shared" si="199"/>
        <v>0</v>
      </c>
      <c r="O591" s="6">
        <f t="shared" si="200"/>
        <v>0</v>
      </c>
      <c r="P591" s="6">
        <f t="shared" si="201"/>
        <v>0</v>
      </c>
      <c r="Q591" s="6">
        <f t="shared" si="202"/>
        <v>0</v>
      </c>
      <c r="R591" s="6">
        <f t="shared" si="203"/>
        <v>0</v>
      </c>
      <c r="S591" s="6">
        <f t="shared" si="204"/>
        <v>0</v>
      </c>
      <c r="T591" s="6">
        <f t="shared" si="205"/>
        <v>0</v>
      </c>
      <c r="U591" s="6">
        <f t="shared" si="206"/>
        <v>0</v>
      </c>
      <c r="V591" s="6">
        <f t="shared" si="207"/>
        <v>0</v>
      </c>
      <c r="W591" s="6">
        <f t="shared" si="208"/>
        <v>0</v>
      </c>
      <c r="X591" s="6">
        <f t="shared" si="209"/>
        <v>0</v>
      </c>
      <c r="Y591" s="6">
        <f t="shared" si="210"/>
        <v>0</v>
      </c>
      <c r="AA591" s="6" t="str">
        <f>IF(最佳化斷筋點!C591="","",最佳化斷筋點!C591)</f>
        <v>上層</v>
      </c>
      <c r="AB591" s="6">
        <f>IF(最佳化斷筋點!D591="","",最佳化斷筋點!D591)</f>
        <v>8</v>
      </c>
      <c r="AC591" s="6">
        <f>IF(最佳化斷筋點!E591="","",最佳化斷筋點!E591)</f>
        <v>8</v>
      </c>
      <c r="AD591" s="6">
        <f>IF(最佳化斷筋點!F591="","",最佳化斷筋點!F591)</f>
        <v>7</v>
      </c>
      <c r="AE591" s="6">
        <f>IF(最佳化斷筋點!G591="","",最佳化斷筋點!G591)</f>
        <v>6</v>
      </c>
      <c r="AF591" s="6">
        <f>IF(最佳化斷筋點!H591="","",最佳化斷筋點!H591)</f>
        <v>5</v>
      </c>
      <c r="AG591" s="6">
        <f>IF(最佳化斷筋點!I591="","",最佳化斷筋點!I591)</f>
        <v>5</v>
      </c>
      <c r="AH591" s="6">
        <f>IF(最佳化斷筋點!J591="","",最佳化斷筋點!J591)</f>
        <v>4</v>
      </c>
      <c r="AI591" s="6">
        <f>IF(最佳化斷筋點!K591="","",最佳化斷筋點!K591)</f>
        <v>3</v>
      </c>
      <c r="AJ591" s="6">
        <f>IF(最佳化斷筋點!L591="","",最佳化斷筋點!L591)</f>
        <v>2</v>
      </c>
      <c r="AK591" s="6">
        <f>IF(最佳化斷筋點!M591="","",最佳化斷筋點!M591)</f>
        <v>2</v>
      </c>
      <c r="AL591" s="6">
        <f>IF(最佳化斷筋點!N591="","",最佳化斷筋點!N591)</f>
        <v>2</v>
      </c>
      <c r="AM591" s="6">
        <f>IF(最佳化斷筋點!O591="","",最佳化斷筋點!O591)</f>
        <v>2</v>
      </c>
      <c r="AN591" s="6">
        <f>IF(最佳化斷筋點!P591="","",最佳化斷筋點!P591)</f>
        <v>2</v>
      </c>
      <c r="AO591" s="6">
        <f>IF(最佳化斷筋點!Q591="","",最佳化斷筋點!Q591)</f>
        <v>2</v>
      </c>
      <c r="AP591" s="6">
        <f>IF(最佳化斷筋點!R591="","",最佳化斷筋點!R591)</f>
        <v>2</v>
      </c>
      <c r="AQ591" s="6">
        <f>IF(最佳化斷筋點!S591="","",最佳化斷筋點!S591)</f>
        <v>2</v>
      </c>
      <c r="AR591" s="6">
        <f>IF(最佳化斷筋點!T591="","",最佳化斷筋點!T591)</f>
        <v>2</v>
      </c>
      <c r="AS591" s="6">
        <f>IF(最佳化斷筋點!U591="","",最佳化斷筋點!U591)</f>
        <v>2</v>
      </c>
      <c r="AT591" s="6">
        <f>IF(最佳化斷筋點!V591="","",最佳化斷筋點!V591)</f>
        <v>2</v>
      </c>
      <c r="AU591" s="6">
        <f>IF(最佳化斷筋點!W591="","",最佳化斷筋點!W591)</f>
        <v>2</v>
      </c>
      <c r="AV591" s="6">
        <f>IF(最佳化斷筋點!X591="","",最佳化斷筋點!X591)</f>
        <v>2</v>
      </c>
      <c r="AX591" s="6" t="s">
        <v>50</v>
      </c>
      <c r="AY591" s="6">
        <v>8</v>
      </c>
      <c r="AZ591" s="6">
        <v>8</v>
      </c>
      <c r="BA591" s="6">
        <v>7</v>
      </c>
      <c r="BB591" s="6">
        <v>6</v>
      </c>
      <c r="BC591" s="6">
        <v>5</v>
      </c>
      <c r="BD591" s="6">
        <v>5</v>
      </c>
      <c r="BE591" s="6">
        <v>4</v>
      </c>
      <c r="BF591" s="6">
        <v>3</v>
      </c>
      <c r="BG591" s="6">
        <v>2</v>
      </c>
      <c r="BH591" s="6">
        <v>2</v>
      </c>
      <c r="BI591" s="6">
        <v>2</v>
      </c>
      <c r="BJ591" s="6">
        <v>2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</row>
    <row r="592" spans="4:71" x14ac:dyDescent="0.25">
      <c r="E592" s="6">
        <f t="shared" si="190"/>
        <v>0</v>
      </c>
      <c r="F592" s="6">
        <f t="shared" si="191"/>
        <v>0</v>
      </c>
      <c r="G592" s="6">
        <f t="shared" si="192"/>
        <v>0</v>
      </c>
      <c r="H592" s="6">
        <f t="shared" si="193"/>
        <v>0</v>
      </c>
      <c r="I592" s="6">
        <f t="shared" si="194"/>
        <v>0</v>
      </c>
      <c r="J592" s="6">
        <f t="shared" si="195"/>
        <v>0</v>
      </c>
      <c r="K592" s="6">
        <f t="shared" si="196"/>
        <v>0</v>
      </c>
      <c r="L592" s="6">
        <f t="shared" si="197"/>
        <v>0</v>
      </c>
      <c r="M592" s="6">
        <f t="shared" si="198"/>
        <v>0</v>
      </c>
      <c r="N592" s="6">
        <f t="shared" si="199"/>
        <v>0</v>
      </c>
      <c r="O592" s="6">
        <f t="shared" si="200"/>
        <v>0</v>
      </c>
      <c r="P592" s="6">
        <f t="shared" si="201"/>
        <v>0</v>
      </c>
      <c r="Q592" s="6">
        <f t="shared" si="202"/>
        <v>0</v>
      </c>
      <c r="R592" s="6">
        <f t="shared" si="203"/>
        <v>0</v>
      </c>
      <c r="S592" s="6">
        <f t="shared" si="204"/>
        <v>0</v>
      </c>
      <c r="T592" s="6">
        <f t="shared" si="205"/>
        <v>0</v>
      </c>
      <c r="U592" s="6">
        <f t="shared" si="206"/>
        <v>0</v>
      </c>
      <c r="V592" s="6">
        <f t="shared" si="207"/>
        <v>0</v>
      </c>
      <c r="W592" s="6">
        <f t="shared" si="208"/>
        <v>0</v>
      </c>
      <c r="X592" s="6">
        <f t="shared" si="209"/>
        <v>0</v>
      </c>
      <c r="Y592" s="6">
        <f t="shared" si="210"/>
        <v>0</v>
      </c>
      <c r="AA592" s="6" t="str">
        <f>IF(最佳化斷筋點!C592="","",最佳化斷筋點!C592)</f>
        <v/>
      </c>
      <c r="AB592" s="6" t="str">
        <f>IF(最佳化斷筋點!D592="","",最佳化斷筋點!D592)</f>
        <v/>
      </c>
      <c r="AC592" s="6" t="str">
        <f>IF(最佳化斷筋點!E592="","",最佳化斷筋點!E592)</f>
        <v/>
      </c>
      <c r="AD592" s="6" t="str">
        <f>IF(最佳化斷筋點!F592="","",最佳化斷筋點!F592)</f>
        <v/>
      </c>
      <c r="AE592" s="6" t="str">
        <f>IF(最佳化斷筋點!G592="","",最佳化斷筋點!G592)</f>
        <v/>
      </c>
      <c r="AF592" s="6" t="str">
        <f>IF(最佳化斷筋點!H592="","",最佳化斷筋點!H592)</f>
        <v/>
      </c>
      <c r="AG592" s="6" t="str">
        <f>IF(最佳化斷筋點!I592="","",最佳化斷筋點!I592)</f>
        <v/>
      </c>
      <c r="AH592" s="6" t="str">
        <f>IF(最佳化斷筋點!J592="","",最佳化斷筋點!J592)</f>
        <v/>
      </c>
      <c r="AI592" s="6" t="str">
        <f>IF(最佳化斷筋點!K592="","",最佳化斷筋點!K592)</f>
        <v/>
      </c>
      <c r="AJ592" s="6" t="str">
        <f>IF(最佳化斷筋點!L592="","",最佳化斷筋點!L592)</f>
        <v/>
      </c>
      <c r="AK592" s="6" t="str">
        <f>IF(最佳化斷筋點!M592="","",最佳化斷筋點!M592)</f>
        <v/>
      </c>
      <c r="AL592" s="6" t="str">
        <f>IF(最佳化斷筋點!N592="","",最佳化斷筋點!N592)</f>
        <v/>
      </c>
      <c r="AM592" s="6" t="str">
        <f>IF(最佳化斷筋點!O592="","",最佳化斷筋點!O592)</f>
        <v/>
      </c>
      <c r="AN592" s="6" t="str">
        <f>IF(最佳化斷筋點!P592="","",最佳化斷筋點!P592)</f>
        <v/>
      </c>
      <c r="AO592" s="6" t="str">
        <f>IF(最佳化斷筋點!Q592="","",最佳化斷筋點!Q592)</f>
        <v/>
      </c>
      <c r="AP592" s="6" t="str">
        <f>IF(最佳化斷筋點!R592="","",最佳化斷筋點!R592)</f>
        <v/>
      </c>
      <c r="AQ592" s="6" t="str">
        <f>IF(最佳化斷筋點!S592="","",最佳化斷筋點!S592)</f>
        <v/>
      </c>
      <c r="AR592" s="6" t="str">
        <f>IF(最佳化斷筋點!T592="","",最佳化斷筋點!T592)</f>
        <v/>
      </c>
      <c r="AS592" s="6" t="str">
        <f>IF(最佳化斷筋點!U592="","",最佳化斷筋點!U592)</f>
        <v/>
      </c>
      <c r="AT592" s="6" t="str">
        <f>IF(最佳化斷筋點!V592="","",最佳化斷筋點!V592)</f>
        <v/>
      </c>
      <c r="AU592" s="6" t="str">
        <f>IF(最佳化斷筋點!W592="","",最佳化斷筋點!W592)</f>
        <v/>
      </c>
      <c r="AV592" s="6" t="str">
        <f>IF(最佳化斷筋點!X592="","",最佳化斷筋點!X592)</f>
        <v/>
      </c>
    </row>
    <row r="593" spans="4:71" x14ac:dyDescent="0.25">
      <c r="D593" s="6" t="s">
        <v>51</v>
      </c>
      <c r="E593" s="6">
        <f t="shared" si="190"/>
        <v>0</v>
      </c>
      <c r="F593" s="6">
        <f t="shared" si="191"/>
        <v>0</v>
      </c>
      <c r="G593" s="6">
        <f t="shared" si="192"/>
        <v>0</v>
      </c>
      <c r="H593" s="6">
        <f t="shared" si="193"/>
        <v>0</v>
      </c>
      <c r="I593" s="6">
        <f t="shared" si="194"/>
        <v>0</v>
      </c>
      <c r="J593" s="6">
        <f t="shared" si="195"/>
        <v>0</v>
      </c>
      <c r="K593" s="6">
        <f t="shared" si="196"/>
        <v>0</v>
      </c>
      <c r="L593" s="6">
        <f t="shared" si="197"/>
        <v>0</v>
      </c>
      <c r="M593" s="6">
        <f t="shared" si="198"/>
        <v>0</v>
      </c>
      <c r="N593" s="6">
        <f t="shared" si="199"/>
        <v>0</v>
      </c>
      <c r="O593" s="6">
        <f t="shared" si="200"/>
        <v>0</v>
      </c>
      <c r="P593" s="6">
        <f t="shared" si="201"/>
        <v>0</v>
      </c>
      <c r="Q593" s="6">
        <f t="shared" si="202"/>
        <v>0</v>
      </c>
      <c r="R593" s="6">
        <f t="shared" si="203"/>
        <v>0</v>
      </c>
      <c r="S593" s="6">
        <f t="shared" si="204"/>
        <v>0</v>
      </c>
      <c r="T593" s="6">
        <f t="shared" si="205"/>
        <v>0</v>
      </c>
      <c r="U593" s="6">
        <f t="shared" si="206"/>
        <v>0</v>
      </c>
      <c r="V593" s="6">
        <f t="shared" si="207"/>
        <v>0</v>
      </c>
      <c r="W593" s="6">
        <f t="shared" si="208"/>
        <v>0</v>
      </c>
      <c r="X593" s="6">
        <f t="shared" si="209"/>
        <v>0</v>
      </c>
      <c r="Y593" s="6">
        <f t="shared" si="210"/>
        <v>0</v>
      </c>
      <c r="AA593" s="6" t="str">
        <f>IF(最佳化斷筋點!C593="","",最佳化斷筋點!C593)</f>
        <v>下層</v>
      </c>
      <c r="AB593" s="6">
        <f>IF(最佳化斷筋點!D593="","",最佳化斷筋點!D593)</f>
        <v>5</v>
      </c>
      <c r="AC593" s="6">
        <f>IF(最佳化斷筋點!E593="","",最佳化斷筋點!E593)</f>
        <v>5</v>
      </c>
      <c r="AD593" s="6">
        <f>IF(最佳化斷筋點!F593="","",最佳化斷筋點!F593)</f>
        <v>4</v>
      </c>
      <c r="AE593" s="6">
        <f>IF(最佳化斷筋點!G593="","",最佳化斷筋點!G593)</f>
        <v>4</v>
      </c>
      <c r="AF593" s="6">
        <f>IF(最佳化斷筋點!H593="","",最佳化斷筋點!H593)</f>
        <v>4</v>
      </c>
      <c r="AG593" s="6">
        <f>IF(最佳化斷筋點!I593="","",最佳化斷筋點!I593)</f>
        <v>4</v>
      </c>
      <c r="AH593" s="6">
        <f>IF(最佳化斷筋點!J593="","",最佳化斷筋點!J593)</f>
        <v>5</v>
      </c>
      <c r="AI593" s="6">
        <f>IF(最佳化斷筋點!K593="","",最佳化斷筋點!K593)</f>
        <v>5</v>
      </c>
      <c r="AJ593" s="6">
        <f>IF(最佳化斷筋點!L593="","",最佳化斷筋點!L593)</f>
        <v>5</v>
      </c>
      <c r="AK593" s="6">
        <f>IF(最佳化斷筋點!M593="","",最佳化斷筋點!M593)</f>
        <v>5</v>
      </c>
      <c r="AL593" s="6">
        <f>IF(最佳化斷筋點!N593="","",最佳化斷筋點!N593)</f>
        <v>5</v>
      </c>
      <c r="AM593" s="6">
        <f>IF(最佳化斷筋點!O593="","",最佳化斷筋點!O593)</f>
        <v>5</v>
      </c>
      <c r="AN593" s="6">
        <f>IF(最佳化斷筋點!P593="","",最佳化斷筋點!P593)</f>
        <v>5</v>
      </c>
      <c r="AO593" s="6">
        <f>IF(最佳化斷筋點!Q593="","",最佳化斷筋點!Q593)</f>
        <v>5</v>
      </c>
      <c r="AP593" s="6">
        <f>IF(最佳化斷筋點!R593="","",最佳化斷筋點!R593)</f>
        <v>5</v>
      </c>
      <c r="AQ593" s="6">
        <f>IF(最佳化斷筋點!S593="","",最佳化斷筋點!S593)</f>
        <v>4</v>
      </c>
      <c r="AR593" s="6">
        <f>IF(最佳化斷筋點!T593="","",最佳化斷筋點!T593)</f>
        <v>4</v>
      </c>
      <c r="AS593" s="6">
        <f>IF(最佳化斷筋點!U593="","",最佳化斷筋點!U593)</f>
        <v>4</v>
      </c>
      <c r="AT593" s="6">
        <f>IF(最佳化斷筋點!V593="","",最佳化斷筋點!V593)</f>
        <v>4</v>
      </c>
      <c r="AU593" s="6">
        <f>IF(最佳化斷筋點!W593="","",最佳化斷筋點!W593)</f>
        <v>5</v>
      </c>
      <c r="AV593" s="6">
        <f>IF(最佳化斷筋點!X593="","",最佳化斷筋點!X593)</f>
        <v>5</v>
      </c>
      <c r="AX593" s="6" t="s">
        <v>51</v>
      </c>
      <c r="AY593" s="6">
        <v>5</v>
      </c>
      <c r="AZ593" s="6">
        <v>5</v>
      </c>
      <c r="BA593" s="6">
        <v>4</v>
      </c>
      <c r="BB593" s="6">
        <v>4</v>
      </c>
      <c r="BC593" s="6">
        <v>4</v>
      </c>
      <c r="BD593" s="6">
        <v>4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4</v>
      </c>
      <c r="BO593" s="6">
        <v>4</v>
      </c>
      <c r="BP593" s="6">
        <v>4</v>
      </c>
      <c r="BQ593" s="6">
        <v>4</v>
      </c>
      <c r="BR593" s="6">
        <v>5</v>
      </c>
      <c r="BS593" s="6">
        <v>5</v>
      </c>
    </row>
    <row r="594" spans="4:71" x14ac:dyDescent="0.25">
      <c r="E594" s="6">
        <f t="shared" si="190"/>
        <v>0</v>
      </c>
      <c r="F594" s="6">
        <f t="shared" si="191"/>
        <v>0</v>
      </c>
      <c r="G594" s="6">
        <f t="shared" si="192"/>
        <v>0</v>
      </c>
      <c r="H594" s="6">
        <f t="shared" si="193"/>
        <v>0</v>
      </c>
      <c r="I594" s="6">
        <f t="shared" si="194"/>
        <v>0</v>
      </c>
      <c r="J594" s="6">
        <f t="shared" si="195"/>
        <v>0</v>
      </c>
      <c r="K594" s="6">
        <f t="shared" si="196"/>
        <v>0</v>
      </c>
      <c r="L594" s="6">
        <f t="shared" si="197"/>
        <v>0</v>
      </c>
      <c r="M594" s="6">
        <f t="shared" si="198"/>
        <v>0</v>
      </c>
      <c r="N594" s="6">
        <f t="shared" si="199"/>
        <v>0</v>
      </c>
      <c r="O594" s="6">
        <f t="shared" si="200"/>
        <v>0</v>
      </c>
      <c r="P594" s="6">
        <f t="shared" si="201"/>
        <v>0</v>
      </c>
      <c r="Q594" s="6">
        <f t="shared" si="202"/>
        <v>0</v>
      </c>
      <c r="R594" s="6">
        <f t="shared" si="203"/>
        <v>0</v>
      </c>
      <c r="S594" s="6">
        <f t="shared" si="204"/>
        <v>0</v>
      </c>
      <c r="T594" s="6">
        <f t="shared" si="205"/>
        <v>0</v>
      </c>
      <c r="U594" s="6">
        <f t="shared" si="206"/>
        <v>0</v>
      </c>
      <c r="V594" s="6">
        <f t="shared" si="207"/>
        <v>0</v>
      </c>
      <c r="W594" s="6">
        <f t="shared" si="208"/>
        <v>0</v>
      </c>
      <c r="X594" s="6">
        <f t="shared" si="209"/>
        <v>0</v>
      </c>
      <c r="Y594" s="6">
        <f t="shared" si="210"/>
        <v>0</v>
      </c>
      <c r="AA594" s="6" t="str">
        <f>IF(最佳化斷筋點!C594="","",最佳化斷筋點!C594)</f>
        <v/>
      </c>
      <c r="AB594" s="6" t="str">
        <f>IF(最佳化斷筋點!D594="","",最佳化斷筋點!D594)</f>
        <v/>
      </c>
      <c r="AC594" s="6" t="str">
        <f>IF(最佳化斷筋點!E594="","",最佳化斷筋點!E594)</f>
        <v/>
      </c>
      <c r="AD594" s="6" t="str">
        <f>IF(最佳化斷筋點!F594="","",最佳化斷筋點!F594)</f>
        <v/>
      </c>
      <c r="AE594" s="6" t="str">
        <f>IF(最佳化斷筋點!G594="","",最佳化斷筋點!G594)</f>
        <v/>
      </c>
      <c r="AF594" s="6" t="str">
        <f>IF(最佳化斷筋點!H594="","",最佳化斷筋點!H594)</f>
        <v/>
      </c>
      <c r="AG594" s="6" t="str">
        <f>IF(最佳化斷筋點!I594="","",最佳化斷筋點!I594)</f>
        <v/>
      </c>
      <c r="AH594" s="6" t="str">
        <f>IF(最佳化斷筋點!J594="","",最佳化斷筋點!J594)</f>
        <v/>
      </c>
      <c r="AI594" s="6" t="str">
        <f>IF(最佳化斷筋點!K594="","",最佳化斷筋點!K594)</f>
        <v/>
      </c>
      <c r="AJ594" s="6" t="str">
        <f>IF(最佳化斷筋點!L594="","",最佳化斷筋點!L594)</f>
        <v/>
      </c>
      <c r="AK594" s="6" t="str">
        <f>IF(最佳化斷筋點!M594="","",最佳化斷筋點!M594)</f>
        <v/>
      </c>
      <c r="AL594" s="6" t="str">
        <f>IF(最佳化斷筋點!N594="","",最佳化斷筋點!N594)</f>
        <v/>
      </c>
      <c r="AM594" s="6" t="str">
        <f>IF(最佳化斷筋點!O594="","",最佳化斷筋點!O594)</f>
        <v/>
      </c>
      <c r="AN594" s="6" t="str">
        <f>IF(最佳化斷筋點!P594="","",最佳化斷筋點!P594)</f>
        <v/>
      </c>
      <c r="AO594" s="6" t="str">
        <f>IF(最佳化斷筋點!Q594="","",最佳化斷筋點!Q594)</f>
        <v/>
      </c>
      <c r="AP594" s="6" t="str">
        <f>IF(最佳化斷筋點!R594="","",最佳化斷筋點!R594)</f>
        <v/>
      </c>
      <c r="AQ594" s="6" t="str">
        <f>IF(最佳化斷筋點!S594="","",最佳化斷筋點!S594)</f>
        <v/>
      </c>
      <c r="AR594" s="6" t="str">
        <f>IF(最佳化斷筋點!T594="","",最佳化斷筋點!T594)</f>
        <v/>
      </c>
      <c r="AS594" s="6" t="str">
        <f>IF(最佳化斷筋點!U594="","",最佳化斷筋點!U594)</f>
        <v/>
      </c>
      <c r="AT594" s="6" t="str">
        <f>IF(最佳化斷筋點!V594="","",最佳化斷筋點!V594)</f>
        <v/>
      </c>
      <c r="AU594" s="6" t="str">
        <f>IF(最佳化斷筋點!W594="","",最佳化斷筋點!W594)</f>
        <v/>
      </c>
      <c r="AV594" s="6" t="str">
        <f>IF(最佳化斷筋點!X594="","",最佳化斷筋點!X594)</f>
        <v/>
      </c>
    </row>
    <row r="595" spans="4:71" x14ac:dyDescent="0.25">
      <c r="D595" s="6" t="s">
        <v>50</v>
      </c>
      <c r="E595" s="6">
        <f t="shared" si="190"/>
        <v>0</v>
      </c>
      <c r="F595" s="6">
        <f t="shared" si="191"/>
        <v>0</v>
      </c>
      <c r="G595" s="6">
        <f t="shared" si="192"/>
        <v>0</v>
      </c>
      <c r="H595" s="6">
        <f t="shared" si="193"/>
        <v>0</v>
      </c>
      <c r="I595" s="6">
        <f t="shared" si="194"/>
        <v>0</v>
      </c>
      <c r="J595" s="6">
        <f t="shared" si="195"/>
        <v>0</v>
      </c>
      <c r="K595" s="6">
        <f t="shared" si="196"/>
        <v>0</v>
      </c>
      <c r="L595" s="6">
        <f t="shared" si="197"/>
        <v>0</v>
      </c>
      <c r="M595" s="6">
        <f t="shared" si="198"/>
        <v>0</v>
      </c>
      <c r="N595" s="6">
        <f t="shared" si="199"/>
        <v>0</v>
      </c>
      <c r="O595" s="6">
        <f t="shared" si="200"/>
        <v>0</v>
      </c>
      <c r="P595" s="6">
        <f t="shared" si="201"/>
        <v>0</v>
      </c>
      <c r="Q595" s="6">
        <f t="shared" si="202"/>
        <v>0</v>
      </c>
      <c r="R595" s="6">
        <f t="shared" si="203"/>
        <v>0</v>
      </c>
      <c r="S595" s="6">
        <f t="shared" si="204"/>
        <v>0</v>
      </c>
      <c r="T595" s="6">
        <f t="shared" si="205"/>
        <v>0</v>
      </c>
      <c r="U595" s="6">
        <f t="shared" si="206"/>
        <v>0</v>
      </c>
      <c r="V595" s="6">
        <f t="shared" si="207"/>
        <v>0</v>
      </c>
      <c r="W595" s="6">
        <f t="shared" si="208"/>
        <v>0</v>
      </c>
      <c r="X595" s="6">
        <f t="shared" si="209"/>
        <v>0</v>
      </c>
      <c r="Y595" s="6">
        <f t="shared" si="210"/>
        <v>0</v>
      </c>
      <c r="AA595" s="6" t="str">
        <f>IF(最佳化斷筋點!C595="","",最佳化斷筋點!C595)</f>
        <v>上層</v>
      </c>
      <c r="AB595" s="6">
        <f>IF(最佳化斷筋點!D595="","",最佳化斷筋點!D595)</f>
        <v>8</v>
      </c>
      <c r="AC595" s="6">
        <f>IF(最佳化斷筋點!E595="","",最佳化斷筋點!E595)</f>
        <v>8</v>
      </c>
      <c r="AD595" s="6">
        <f>IF(最佳化斷筋點!F595="","",最佳化斷筋點!F595)</f>
        <v>7</v>
      </c>
      <c r="AE595" s="6">
        <f>IF(最佳化斷筋點!G595="","",最佳化斷筋點!G595)</f>
        <v>6</v>
      </c>
      <c r="AF595" s="6">
        <f>IF(最佳化斷筋點!H595="","",最佳化斷筋點!H595)</f>
        <v>5</v>
      </c>
      <c r="AG595" s="6">
        <f>IF(最佳化斷筋點!I595="","",最佳化斷筋點!I595)</f>
        <v>5</v>
      </c>
      <c r="AH595" s="6">
        <f>IF(最佳化斷筋點!J595="","",最佳化斷筋點!J595)</f>
        <v>4</v>
      </c>
      <c r="AI595" s="6">
        <f>IF(最佳化斷筋點!K595="","",最佳化斷筋點!K595)</f>
        <v>3</v>
      </c>
      <c r="AJ595" s="6">
        <f>IF(最佳化斷筋點!L595="","",最佳化斷筋點!L595)</f>
        <v>2</v>
      </c>
      <c r="AK595" s="6">
        <f>IF(最佳化斷筋點!M595="","",最佳化斷筋點!M595)</f>
        <v>2</v>
      </c>
      <c r="AL595" s="6">
        <f>IF(最佳化斷筋點!N595="","",最佳化斷筋點!N595)</f>
        <v>2</v>
      </c>
      <c r="AM595" s="6">
        <f>IF(最佳化斷筋點!O595="","",最佳化斷筋點!O595)</f>
        <v>2</v>
      </c>
      <c r="AN595" s="6">
        <f>IF(最佳化斷筋點!P595="","",最佳化斷筋點!P595)</f>
        <v>2</v>
      </c>
      <c r="AO595" s="6">
        <f>IF(最佳化斷筋點!Q595="","",最佳化斷筋點!Q595)</f>
        <v>2</v>
      </c>
      <c r="AP595" s="6">
        <f>IF(最佳化斷筋點!R595="","",最佳化斷筋點!R595)</f>
        <v>2</v>
      </c>
      <c r="AQ595" s="6">
        <f>IF(最佳化斷筋點!S595="","",最佳化斷筋點!S595)</f>
        <v>2</v>
      </c>
      <c r="AR595" s="6">
        <f>IF(最佳化斷筋點!T595="","",最佳化斷筋點!T595)</f>
        <v>2</v>
      </c>
      <c r="AS595" s="6">
        <f>IF(最佳化斷筋點!U595="","",最佳化斷筋點!U595)</f>
        <v>2</v>
      </c>
      <c r="AT595" s="6">
        <f>IF(最佳化斷筋點!V595="","",最佳化斷筋點!V595)</f>
        <v>2</v>
      </c>
      <c r="AU595" s="6">
        <f>IF(最佳化斷筋點!W595="","",最佳化斷筋點!W595)</f>
        <v>2</v>
      </c>
      <c r="AV595" s="6">
        <f>IF(最佳化斷筋點!X595="","",最佳化斷筋點!X595)</f>
        <v>2</v>
      </c>
      <c r="AX595" s="6" t="s">
        <v>50</v>
      </c>
      <c r="AY595" s="6">
        <v>8</v>
      </c>
      <c r="AZ595" s="6">
        <v>8</v>
      </c>
      <c r="BA595" s="6">
        <v>7</v>
      </c>
      <c r="BB595" s="6">
        <v>6</v>
      </c>
      <c r="BC595" s="6">
        <v>5</v>
      </c>
      <c r="BD595" s="6">
        <v>5</v>
      </c>
      <c r="BE595" s="6">
        <v>4</v>
      </c>
      <c r="BF595" s="6">
        <v>3</v>
      </c>
      <c r="BG595" s="6">
        <v>2</v>
      </c>
      <c r="BH595" s="6">
        <v>2</v>
      </c>
      <c r="BI595" s="6">
        <v>2</v>
      </c>
      <c r="BJ595" s="6">
        <v>2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</row>
    <row r="596" spans="4:71" x14ac:dyDescent="0.25">
      <c r="E596" s="6">
        <f t="shared" si="190"/>
        <v>0</v>
      </c>
      <c r="F596" s="6">
        <f t="shared" si="191"/>
        <v>0</v>
      </c>
      <c r="G596" s="6">
        <f t="shared" si="192"/>
        <v>0</v>
      </c>
      <c r="H596" s="6">
        <f t="shared" si="193"/>
        <v>0</v>
      </c>
      <c r="I596" s="6">
        <f t="shared" si="194"/>
        <v>0</v>
      </c>
      <c r="J596" s="6">
        <f t="shared" si="195"/>
        <v>0</v>
      </c>
      <c r="K596" s="6">
        <f t="shared" si="196"/>
        <v>0</v>
      </c>
      <c r="L596" s="6">
        <f t="shared" si="197"/>
        <v>0</v>
      </c>
      <c r="M596" s="6">
        <f t="shared" si="198"/>
        <v>0</v>
      </c>
      <c r="N596" s="6">
        <f t="shared" si="199"/>
        <v>0</v>
      </c>
      <c r="O596" s="6">
        <f t="shared" si="200"/>
        <v>0</v>
      </c>
      <c r="P596" s="6">
        <f t="shared" si="201"/>
        <v>0</v>
      </c>
      <c r="Q596" s="6">
        <f t="shared" si="202"/>
        <v>0</v>
      </c>
      <c r="R596" s="6">
        <f t="shared" si="203"/>
        <v>0</v>
      </c>
      <c r="S596" s="6">
        <f t="shared" si="204"/>
        <v>0</v>
      </c>
      <c r="T596" s="6">
        <f t="shared" si="205"/>
        <v>0</v>
      </c>
      <c r="U596" s="6">
        <f t="shared" si="206"/>
        <v>0</v>
      </c>
      <c r="V596" s="6">
        <f t="shared" si="207"/>
        <v>0</v>
      </c>
      <c r="W596" s="6">
        <f t="shared" si="208"/>
        <v>0</v>
      </c>
      <c r="X596" s="6">
        <f t="shared" si="209"/>
        <v>0</v>
      </c>
      <c r="Y596" s="6">
        <f t="shared" si="210"/>
        <v>0</v>
      </c>
      <c r="AA596" s="6" t="str">
        <f>IF(最佳化斷筋點!C596="","",最佳化斷筋點!C596)</f>
        <v/>
      </c>
      <c r="AB596" s="6" t="str">
        <f>IF(最佳化斷筋點!D596="","",最佳化斷筋點!D596)</f>
        <v/>
      </c>
      <c r="AC596" s="6" t="str">
        <f>IF(最佳化斷筋點!E596="","",最佳化斷筋點!E596)</f>
        <v/>
      </c>
      <c r="AD596" s="6" t="str">
        <f>IF(最佳化斷筋點!F596="","",最佳化斷筋點!F596)</f>
        <v/>
      </c>
      <c r="AE596" s="6" t="str">
        <f>IF(最佳化斷筋點!G596="","",最佳化斷筋點!G596)</f>
        <v/>
      </c>
      <c r="AF596" s="6" t="str">
        <f>IF(最佳化斷筋點!H596="","",最佳化斷筋點!H596)</f>
        <v/>
      </c>
      <c r="AG596" s="6" t="str">
        <f>IF(最佳化斷筋點!I596="","",最佳化斷筋點!I596)</f>
        <v/>
      </c>
      <c r="AH596" s="6" t="str">
        <f>IF(最佳化斷筋點!J596="","",最佳化斷筋點!J596)</f>
        <v/>
      </c>
      <c r="AI596" s="6" t="str">
        <f>IF(最佳化斷筋點!K596="","",最佳化斷筋點!K596)</f>
        <v/>
      </c>
      <c r="AJ596" s="6" t="str">
        <f>IF(最佳化斷筋點!L596="","",最佳化斷筋點!L596)</f>
        <v/>
      </c>
      <c r="AK596" s="6" t="str">
        <f>IF(最佳化斷筋點!M596="","",最佳化斷筋點!M596)</f>
        <v/>
      </c>
      <c r="AL596" s="6" t="str">
        <f>IF(最佳化斷筋點!N596="","",最佳化斷筋點!N596)</f>
        <v/>
      </c>
      <c r="AM596" s="6" t="str">
        <f>IF(最佳化斷筋點!O596="","",最佳化斷筋點!O596)</f>
        <v/>
      </c>
      <c r="AN596" s="6" t="str">
        <f>IF(最佳化斷筋點!P596="","",最佳化斷筋點!P596)</f>
        <v/>
      </c>
      <c r="AO596" s="6" t="str">
        <f>IF(最佳化斷筋點!Q596="","",最佳化斷筋點!Q596)</f>
        <v/>
      </c>
      <c r="AP596" s="6" t="str">
        <f>IF(最佳化斷筋點!R596="","",最佳化斷筋點!R596)</f>
        <v/>
      </c>
      <c r="AQ596" s="6" t="str">
        <f>IF(最佳化斷筋點!S596="","",最佳化斷筋點!S596)</f>
        <v/>
      </c>
      <c r="AR596" s="6" t="str">
        <f>IF(最佳化斷筋點!T596="","",最佳化斷筋點!T596)</f>
        <v/>
      </c>
      <c r="AS596" s="6" t="str">
        <f>IF(最佳化斷筋點!U596="","",最佳化斷筋點!U596)</f>
        <v/>
      </c>
      <c r="AT596" s="6" t="str">
        <f>IF(最佳化斷筋點!V596="","",最佳化斷筋點!V596)</f>
        <v/>
      </c>
      <c r="AU596" s="6" t="str">
        <f>IF(最佳化斷筋點!W596="","",最佳化斷筋點!W596)</f>
        <v/>
      </c>
      <c r="AV596" s="6" t="str">
        <f>IF(最佳化斷筋點!X596="","",最佳化斷筋點!X596)</f>
        <v/>
      </c>
    </row>
    <row r="597" spans="4:71" x14ac:dyDescent="0.25">
      <c r="D597" s="6" t="s">
        <v>51</v>
      </c>
      <c r="E597" s="6">
        <f t="shared" si="190"/>
        <v>0</v>
      </c>
      <c r="F597" s="6">
        <f t="shared" si="191"/>
        <v>0</v>
      </c>
      <c r="G597" s="6">
        <f t="shared" si="192"/>
        <v>0</v>
      </c>
      <c r="H597" s="6">
        <f t="shared" si="193"/>
        <v>0</v>
      </c>
      <c r="I597" s="6">
        <f t="shared" si="194"/>
        <v>0</v>
      </c>
      <c r="J597" s="6">
        <f t="shared" si="195"/>
        <v>0</v>
      </c>
      <c r="K597" s="6">
        <f t="shared" si="196"/>
        <v>0</v>
      </c>
      <c r="L597" s="6">
        <f t="shared" si="197"/>
        <v>0</v>
      </c>
      <c r="M597" s="6">
        <f t="shared" si="198"/>
        <v>0</v>
      </c>
      <c r="N597" s="6">
        <f t="shared" si="199"/>
        <v>0</v>
      </c>
      <c r="O597" s="6">
        <f t="shared" si="200"/>
        <v>0</v>
      </c>
      <c r="P597" s="6">
        <f t="shared" si="201"/>
        <v>0</v>
      </c>
      <c r="Q597" s="6">
        <f t="shared" si="202"/>
        <v>0</v>
      </c>
      <c r="R597" s="6">
        <f t="shared" si="203"/>
        <v>0</v>
      </c>
      <c r="S597" s="6">
        <f t="shared" si="204"/>
        <v>0</v>
      </c>
      <c r="T597" s="6">
        <f t="shared" si="205"/>
        <v>0</v>
      </c>
      <c r="U597" s="6">
        <f t="shared" si="206"/>
        <v>0</v>
      </c>
      <c r="V597" s="6">
        <f t="shared" si="207"/>
        <v>0</v>
      </c>
      <c r="W597" s="6">
        <f t="shared" si="208"/>
        <v>0</v>
      </c>
      <c r="X597" s="6">
        <f t="shared" si="209"/>
        <v>0</v>
      </c>
      <c r="Y597" s="6">
        <f t="shared" si="210"/>
        <v>0</v>
      </c>
      <c r="AA597" s="6" t="str">
        <f>IF(最佳化斷筋點!C597="","",最佳化斷筋點!C597)</f>
        <v>下層</v>
      </c>
      <c r="AB597" s="6">
        <f>IF(最佳化斷筋點!D597="","",最佳化斷筋點!D597)</f>
        <v>5</v>
      </c>
      <c r="AC597" s="6">
        <f>IF(最佳化斷筋點!E597="","",最佳化斷筋點!E597)</f>
        <v>5</v>
      </c>
      <c r="AD597" s="6">
        <f>IF(最佳化斷筋點!F597="","",最佳化斷筋點!F597)</f>
        <v>4</v>
      </c>
      <c r="AE597" s="6">
        <f>IF(最佳化斷筋點!G597="","",最佳化斷筋點!G597)</f>
        <v>4</v>
      </c>
      <c r="AF597" s="6">
        <f>IF(最佳化斷筋點!H597="","",最佳化斷筋點!H597)</f>
        <v>4</v>
      </c>
      <c r="AG597" s="6">
        <f>IF(最佳化斷筋點!I597="","",最佳化斷筋點!I597)</f>
        <v>4</v>
      </c>
      <c r="AH597" s="6">
        <f>IF(最佳化斷筋點!J597="","",最佳化斷筋點!J597)</f>
        <v>5</v>
      </c>
      <c r="AI597" s="6">
        <f>IF(最佳化斷筋點!K597="","",最佳化斷筋點!K597)</f>
        <v>5</v>
      </c>
      <c r="AJ597" s="6">
        <f>IF(最佳化斷筋點!L597="","",最佳化斷筋點!L597)</f>
        <v>5</v>
      </c>
      <c r="AK597" s="6">
        <f>IF(最佳化斷筋點!M597="","",最佳化斷筋點!M597)</f>
        <v>5</v>
      </c>
      <c r="AL597" s="6">
        <f>IF(最佳化斷筋點!N597="","",最佳化斷筋點!N597)</f>
        <v>5</v>
      </c>
      <c r="AM597" s="6">
        <f>IF(最佳化斷筋點!O597="","",最佳化斷筋點!O597)</f>
        <v>5</v>
      </c>
      <c r="AN597" s="6">
        <f>IF(最佳化斷筋點!P597="","",最佳化斷筋點!P597)</f>
        <v>5</v>
      </c>
      <c r="AO597" s="6">
        <f>IF(最佳化斷筋點!Q597="","",最佳化斷筋點!Q597)</f>
        <v>5</v>
      </c>
      <c r="AP597" s="6">
        <f>IF(最佳化斷筋點!R597="","",最佳化斷筋點!R597)</f>
        <v>5</v>
      </c>
      <c r="AQ597" s="6">
        <f>IF(最佳化斷筋點!S597="","",最佳化斷筋點!S597)</f>
        <v>4</v>
      </c>
      <c r="AR597" s="6">
        <f>IF(最佳化斷筋點!T597="","",最佳化斷筋點!T597)</f>
        <v>4</v>
      </c>
      <c r="AS597" s="6">
        <f>IF(最佳化斷筋點!U597="","",最佳化斷筋點!U597)</f>
        <v>4</v>
      </c>
      <c r="AT597" s="6">
        <f>IF(最佳化斷筋點!V597="","",最佳化斷筋點!V597)</f>
        <v>4</v>
      </c>
      <c r="AU597" s="6">
        <f>IF(最佳化斷筋點!W597="","",最佳化斷筋點!W597)</f>
        <v>5</v>
      </c>
      <c r="AV597" s="6">
        <f>IF(最佳化斷筋點!X597="","",最佳化斷筋點!X597)</f>
        <v>5</v>
      </c>
      <c r="AX597" s="6" t="s">
        <v>51</v>
      </c>
      <c r="AY597" s="6">
        <v>5</v>
      </c>
      <c r="AZ597" s="6">
        <v>5</v>
      </c>
      <c r="BA597" s="6">
        <v>4</v>
      </c>
      <c r="BB597" s="6">
        <v>4</v>
      </c>
      <c r="BC597" s="6">
        <v>4</v>
      </c>
      <c r="BD597" s="6">
        <v>4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4</v>
      </c>
      <c r="BO597" s="6">
        <v>4</v>
      </c>
      <c r="BP597" s="6">
        <v>4</v>
      </c>
      <c r="BQ597" s="6">
        <v>4</v>
      </c>
      <c r="BR597" s="6">
        <v>5</v>
      </c>
      <c r="BS597" s="6">
        <v>5</v>
      </c>
    </row>
    <row r="598" spans="4:71" x14ac:dyDescent="0.25">
      <c r="E598" s="6">
        <f t="shared" si="190"/>
        <v>0</v>
      </c>
      <c r="F598" s="6">
        <f t="shared" si="191"/>
        <v>0</v>
      </c>
      <c r="G598" s="6">
        <f t="shared" si="192"/>
        <v>0</v>
      </c>
      <c r="H598" s="6">
        <f t="shared" si="193"/>
        <v>0</v>
      </c>
      <c r="I598" s="6">
        <f t="shared" si="194"/>
        <v>0</v>
      </c>
      <c r="J598" s="6">
        <f t="shared" si="195"/>
        <v>0</v>
      </c>
      <c r="K598" s="6">
        <f t="shared" si="196"/>
        <v>0</v>
      </c>
      <c r="L598" s="6">
        <f t="shared" si="197"/>
        <v>0</v>
      </c>
      <c r="M598" s="6">
        <f t="shared" si="198"/>
        <v>0</v>
      </c>
      <c r="N598" s="6">
        <f t="shared" si="199"/>
        <v>0</v>
      </c>
      <c r="O598" s="6">
        <f t="shared" si="200"/>
        <v>0</v>
      </c>
      <c r="P598" s="6">
        <f t="shared" si="201"/>
        <v>0</v>
      </c>
      <c r="Q598" s="6">
        <f t="shared" si="202"/>
        <v>0</v>
      </c>
      <c r="R598" s="6">
        <f t="shared" si="203"/>
        <v>0</v>
      </c>
      <c r="S598" s="6">
        <f t="shared" si="204"/>
        <v>0</v>
      </c>
      <c r="T598" s="6">
        <f t="shared" si="205"/>
        <v>0</v>
      </c>
      <c r="U598" s="6">
        <f t="shared" si="206"/>
        <v>0</v>
      </c>
      <c r="V598" s="6">
        <f t="shared" si="207"/>
        <v>0</v>
      </c>
      <c r="W598" s="6">
        <f t="shared" si="208"/>
        <v>0</v>
      </c>
      <c r="X598" s="6">
        <f t="shared" si="209"/>
        <v>0</v>
      </c>
      <c r="Y598" s="6">
        <f t="shared" si="210"/>
        <v>0</v>
      </c>
      <c r="AA598" s="6" t="str">
        <f>IF(最佳化斷筋點!C598="","",最佳化斷筋點!C598)</f>
        <v/>
      </c>
      <c r="AB598" s="6" t="str">
        <f>IF(最佳化斷筋點!D598="","",最佳化斷筋點!D598)</f>
        <v/>
      </c>
      <c r="AC598" s="6" t="str">
        <f>IF(最佳化斷筋點!E598="","",最佳化斷筋點!E598)</f>
        <v/>
      </c>
      <c r="AD598" s="6" t="str">
        <f>IF(最佳化斷筋點!F598="","",最佳化斷筋點!F598)</f>
        <v/>
      </c>
      <c r="AE598" s="6" t="str">
        <f>IF(最佳化斷筋點!G598="","",最佳化斷筋點!G598)</f>
        <v/>
      </c>
      <c r="AF598" s="6" t="str">
        <f>IF(最佳化斷筋點!H598="","",最佳化斷筋點!H598)</f>
        <v/>
      </c>
      <c r="AG598" s="6" t="str">
        <f>IF(最佳化斷筋點!I598="","",最佳化斷筋點!I598)</f>
        <v/>
      </c>
      <c r="AH598" s="6" t="str">
        <f>IF(最佳化斷筋點!J598="","",最佳化斷筋點!J598)</f>
        <v/>
      </c>
      <c r="AI598" s="6" t="str">
        <f>IF(最佳化斷筋點!K598="","",最佳化斷筋點!K598)</f>
        <v/>
      </c>
      <c r="AJ598" s="6" t="str">
        <f>IF(最佳化斷筋點!L598="","",最佳化斷筋點!L598)</f>
        <v/>
      </c>
      <c r="AK598" s="6" t="str">
        <f>IF(最佳化斷筋點!M598="","",最佳化斷筋點!M598)</f>
        <v/>
      </c>
      <c r="AL598" s="6" t="str">
        <f>IF(最佳化斷筋點!N598="","",最佳化斷筋點!N598)</f>
        <v/>
      </c>
      <c r="AM598" s="6" t="str">
        <f>IF(最佳化斷筋點!O598="","",最佳化斷筋點!O598)</f>
        <v/>
      </c>
      <c r="AN598" s="6" t="str">
        <f>IF(最佳化斷筋點!P598="","",最佳化斷筋點!P598)</f>
        <v/>
      </c>
      <c r="AO598" s="6" t="str">
        <f>IF(最佳化斷筋點!Q598="","",最佳化斷筋點!Q598)</f>
        <v/>
      </c>
      <c r="AP598" s="6" t="str">
        <f>IF(最佳化斷筋點!R598="","",最佳化斷筋點!R598)</f>
        <v/>
      </c>
      <c r="AQ598" s="6" t="str">
        <f>IF(最佳化斷筋點!S598="","",最佳化斷筋點!S598)</f>
        <v/>
      </c>
      <c r="AR598" s="6" t="str">
        <f>IF(最佳化斷筋點!T598="","",最佳化斷筋點!T598)</f>
        <v/>
      </c>
      <c r="AS598" s="6" t="str">
        <f>IF(最佳化斷筋點!U598="","",最佳化斷筋點!U598)</f>
        <v/>
      </c>
      <c r="AT598" s="6" t="str">
        <f>IF(最佳化斷筋點!V598="","",最佳化斷筋點!V598)</f>
        <v/>
      </c>
      <c r="AU598" s="6" t="str">
        <f>IF(最佳化斷筋點!W598="","",最佳化斷筋點!W598)</f>
        <v/>
      </c>
      <c r="AV598" s="6" t="str">
        <f>IF(最佳化斷筋點!X598="","",最佳化斷筋點!X598)</f>
        <v/>
      </c>
    </row>
    <row r="599" spans="4:71" x14ac:dyDescent="0.25">
      <c r="D599" s="6" t="s">
        <v>50</v>
      </c>
      <c r="E599" s="6">
        <f t="shared" si="190"/>
        <v>0</v>
      </c>
      <c r="F599" s="6">
        <f t="shared" si="191"/>
        <v>0</v>
      </c>
      <c r="G599" s="6">
        <f t="shared" si="192"/>
        <v>0</v>
      </c>
      <c r="H599" s="6">
        <f t="shared" si="193"/>
        <v>0</v>
      </c>
      <c r="I599" s="6">
        <f t="shared" si="194"/>
        <v>0</v>
      </c>
      <c r="J599" s="6">
        <f t="shared" si="195"/>
        <v>0</v>
      </c>
      <c r="K599" s="6">
        <f t="shared" si="196"/>
        <v>0</v>
      </c>
      <c r="L599" s="6">
        <f t="shared" si="197"/>
        <v>0</v>
      </c>
      <c r="M599" s="6">
        <f t="shared" si="198"/>
        <v>0</v>
      </c>
      <c r="N599" s="6">
        <f t="shared" si="199"/>
        <v>0</v>
      </c>
      <c r="O599" s="6">
        <f t="shared" si="200"/>
        <v>0</v>
      </c>
      <c r="P599" s="6">
        <f t="shared" si="201"/>
        <v>0</v>
      </c>
      <c r="Q599" s="6">
        <f t="shared" si="202"/>
        <v>0</v>
      </c>
      <c r="R599" s="6">
        <f t="shared" si="203"/>
        <v>0</v>
      </c>
      <c r="S599" s="6">
        <f t="shared" si="204"/>
        <v>0</v>
      </c>
      <c r="T599" s="6">
        <f t="shared" si="205"/>
        <v>0</v>
      </c>
      <c r="U599" s="6">
        <f t="shared" si="206"/>
        <v>0</v>
      </c>
      <c r="V599" s="6">
        <f t="shared" si="207"/>
        <v>0</v>
      </c>
      <c r="W599" s="6">
        <f t="shared" si="208"/>
        <v>0</v>
      </c>
      <c r="X599" s="6">
        <f t="shared" si="209"/>
        <v>0</v>
      </c>
      <c r="Y599" s="6">
        <f t="shared" si="210"/>
        <v>0</v>
      </c>
      <c r="AA599" s="6" t="str">
        <f>IF(最佳化斷筋點!C599="","",最佳化斷筋點!C599)</f>
        <v>上層</v>
      </c>
      <c r="AB599" s="6">
        <f>IF(最佳化斷筋點!D599="","",最佳化斷筋點!D599)</f>
        <v>8</v>
      </c>
      <c r="AC599" s="6">
        <f>IF(最佳化斷筋點!E599="","",最佳化斷筋點!E599)</f>
        <v>8</v>
      </c>
      <c r="AD599" s="6">
        <f>IF(最佳化斷筋點!F599="","",最佳化斷筋點!F599)</f>
        <v>7</v>
      </c>
      <c r="AE599" s="6">
        <f>IF(最佳化斷筋點!G599="","",最佳化斷筋點!G599)</f>
        <v>6</v>
      </c>
      <c r="AF599" s="6">
        <f>IF(最佳化斷筋點!H599="","",最佳化斷筋點!H599)</f>
        <v>5</v>
      </c>
      <c r="AG599" s="6">
        <f>IF(最佳化斷筋點!I599="","",最佳化斷筋點!I599)</f>
        <v>5</v>
      </c>
      <c r="AH599" s="6">
        <f>IF(最佳化斷筋點!J599="","",最佳化斷筋點!J599)</f>
        <v>4</v>
      </c>
      <c r="AI599" s="6">
        <f>IF(最佳化斷筋點!K599="","",最佳化斷筋點!K599)</f>
        <v>3</v>
      </c>
      <c r="AJ599" s="6">
        <f>IF(最佳化斷筋點!L599="","",最佳化斷筋點!L599)</f>
        <v>2</v>
      </c>
      <c r="AK599" s="6">
        <f>IF(最佳化斷筋點!M599="","",最佳化斷筋點!M599)</f>
        <v>2</v>
      </c>
      <c r="AL599" s="6">
        <f>IF(最佳化斷筋點!N599="","",最佳化斷筋點!N599)</f>
        <v>2</v>
      </c>
      <c r="AM599" s="6">
        <f>IF(最佳化斷筋點!O599="","",最佳化斷筋點!O599)</f>
        <v>2</v>
      </c>
      <c r="AN599" s="6">
        <f>IF(最佳化斷筋點!P599="","",最佳化斷筋點!P599)</f>
        <v>2</v>
      </c>
      <c r="AO599" s="6">
        <f>IF(最佳化斷筋點!Q599="","",最佳化斷筋點!Q599)</f>
        <v>2</v>
      </c>
      <c r="AP599" s="6">
        <f>IF(最佳化斷筋點!R599="","",最佳化斷筋點!R599)</f>
        <v>2</v>
      </c>
      <c r="AQ599" s="6">
        <f>IF(最佳化斷筋點!S599="","",最佳化斷筋點!S599)</f>
        <v>2</v>
      </c>
      <c r="AR599" s="6">
        <f>IF(最佳化斷筋點!T599="","",最佳化斷筋點!T599)</f>
        <v>2</v>
      </c>
      <c r="AS599" s="6">
        <f>IF(最佳化斷筋點!U599="","",最佳化斷筋點!U599)</f>
        <v>2</v>
      </c>
      <c r="AT599" s="6">
        <f>IF(最佳化斷筋點!V599="","",最佳化斷筋點!V599)</f>
        <v>2</v>
      </c>
      <c r="AU599" s="6">
        <f>IF(最佳化斷筋點!W599="","",最佳化斷筋點!W599)</f>
        <v>2</v>
      </c>
      <c r="AV599" s="6">
        <f>IF(最佳化斷筋點!X599="","",最佳化斷筋點!X599)</f>
        <v>2</v>
      </c>
      <c r="AX599" s="6" t="s">
        <v>50</v>
      </c>
      <c r="AY599" s="6">
        <v>8</v>
      </c>
      <c r="AZ599" s="6">
        <v>8</v>
      </c>
      <c r="BA599" s="6">
        <v>7</v>
      </c>
      <c r="BB599" s="6">
        <v>6</v>
      </c>
      <c r="BC599" s="6">
        <v>5</v>
      </c>
      <c r="BD599" s="6">
        <v>5</v>
      </c>
      <c r="BE599" s="6">
        <v>4</v>
      </c>
      <c r="BF599" s="6">
        <v>3</v>
      </c>
      <c r="BG599" s="6">
        <v>2</v>
      </c>
      <c r="BH599" s="6">
        <v>2</v>
      </c>
      <c r="BI599" s="6">
        <v>2</v>
      </c>
      <c r="BJ599" s="6">
        <v>2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</row>
    <row r="600" spans="4:71" x14ac:dyDescent="0.25">
      <c r="E600" s="6">
        <f t="shared" si="190"/>
        <v>0</v>
      </c>
      <c r="F600" s="6">
        <f t="shared" si="191"/>
        <v>0</v>
      </c>
      <c r="G600" s="6">
        <f t="shared" si="192"/>
        <v>0</v>
      </c>
      <c r="H600" s="6">
        <f t="shared" si="193"/>
        <v>0</v>
      </c>
      <c r="I600" s="6">
        <f t="shared" si="194"/>
        <v>0</v>
      </c>
      <c r="J600" s="6">
        <f t="shared" si="195"/>
        <v>0</v>
      </c>
      <c r="K600" s="6">
        <f t="shared" si="196"/>
        <v>0</v>
      </c>
      <c r="L600" s="6">
        <f t="shared" si="197"/>
        <v>0</v>
      </c>
      <c r="M600" s="6">
        <f t="shared" si="198"/>
        <v>0</v>
      </c>
      <c r="N600" s="6">
        <f t="shared" si="199"/>
        <v>0</v>
      </c>
      <c r="O600" s="6">
        <f t="shared" si="200"/>
        <v>0</v>
      </c>
      <c r="P600" s="6">
        <f t="shared" si="201"/>
        <v>0</v>
      </c>
      <c r="Q600" s="6">
        <f t="shared" si="202"/>
        <v>0</v>
      </c>
      <c r="R600" s="6">
        <f t="shared" si="203"/>
        <v>0</v>
      </c>
      <c r="S600" s="6">
        <f t="shared" si="204"/>
        <v>0</v>
      </c>
      <c r="T600" s="6">
        <f t="shared" si="205"/>
        <v>0</v>
      </c>
      <c r="U600" s="6">
        <f t="shared" si="206"/>
        <v>0</v>
      </c>
      <c r="V600" s="6">
        <f t="shared" si="207"/>
        <v>0</v>
      </c>
      <c r="W600" s="6">
        <f t="shared" si="208"/>
        <v>0</v>
      </c>
      <c r="X600" s="6">
        <f t="shared" si="209"/>
        <v>0</v>
      </c>
      <c r="Y600" s="6">
        <f t="shared" si="210"/>
        <v>0</v>
      </c>
      <c r="AA600" s="6" t="str">
        <f>IF(最佳化斷筋點!C600="","",最佳化斷筋點!C600)</f>
        <v/>
      </c>
      <c r="AB600" s="6" t="str">
        <f>IF(最佳化斷筋點!D600="","",最佳化斷筋點!D600)</f>
        <v/>
      </c>
      <c r="AC600" s="6" t="str">
        <f>IF(最佳化斷筋點!E600="","",最佳化斷筋點!E600)</f>
        <v/>
      </c>
      <c r="AD600" s="6" t="str">
        <f>IF(最佳化斷筋點!F600="","",最佳化斷筋點!F600)</f>
        <v/>
      </c>
      <c r="AE600" s="6" t="str">
        <f>IF(最佳化斷筋點!G600="","",最佳化斷筋點!G600)</f>
        <v/>
      </c>
      <c r="AF600" s="6" t="str">
        <f>IF(最佳化斷筋點!H600="","",最佳化斷筋點!H600)</f>
        <v/>
      </c>
      <c r="AG600" s="6" t="str">
        <f>IF(最佳化斷筋點!I600="","",最佳化斷筋點!I600)</f>
        <v/>
      </c>
      <c r="AH600" s="6" t="str">
        <f>IF(最佳化斷筋點!J600="","",最佳化斷筋點!J600)</f>
        <v/>
      </c>
      <c r="AI600" s="6" t="str">
        <f>IF(最佳化斷筋點!K600="","",最佳化斷筋點!K600)</f>
        <v/>
      </c>
      <c r="AJ600" s="6" t="str">
        <f>IF(最佳化斷筋點!L600="","",最佳化斷筋點!L600)</f>
        <v/>
      </c>
      <c r="AK600" s="6" t="str">
        <f>IF(最佳化斷筋點!M600="","",最佳化斷筋點!M600)</f>
        <v/>
      </c>
      <c r="AL600" s="6" t="str">
        <f>IF(最佳化斷筋點!N600="","",最佳化斷筋點!N600)</f>
        <v/>
      </c>
      <c r="AM600" s="6" t="str">
        <f>IF(最佳化斷筋點!O600="","",最佳化斷筋點!O600)</f>
        <v/>
      </c>
      <c r="AN600" s="6" t="str">
        <f>IF(最佳化斷筋點!P600="","",最佳化斷筋點!P600)</f>
        <v/>
      </c>
      <c r="AO600" s="6" t="str">
        <f>IF(最佳化斷筋點!Q600="","",最佳化斷筋點!Q600)</f>
        <v/>
      </c>
      <c r="AP600" s="6" t="str">
        <f>IF(最佳化斷筋點!R600="","",最佳化斷筋點!R600)</f>
        <v/>
      </c>
      <c r="AQ600" s="6" t="str">
        <f>IF(最佳化斷筋點!S600="","",最佳化斷筋點!S600)</f>
        <v/>
      </c>
      <c r="AR600" s="6" t="str">
        <f>IF(最佳化斷筋點!T600="","",最佳化斷筋點!T600)</f>
        <v/>
      </c>
      <c r="AS600" s="6" t="str">
        <f>IF(最佳化斷筋點!U600="","",最佳化斷筋點!U600)</f>
        <v/>
      </c>
      <c r="AT600" s="6" t="str">
        <f>IF(最佳化斷筋點!V600="","",最佳化斷筋點!V600)</f>
        <v/>
      </c>
      <c r="AU600" s="6" t="str">
        <f>IF(最佳化斷筋點!W600="","",最佳化斷筋點!W600)</f>
        <v/>
      </c>
      <c r="AV600" s="6" t="str">
        <f>IF(最佳化斷筋點!X600="","",最佳化斷筋點!X600)</f>
        <v/>
      </c>
    </row>
    <row r="601" spans="4:71" x14ac:dyDescent="0.25">
      <c r="D601" s="6" t="s">
        <v>51</v>
      </c>
      <c r="E601" s="6">
        <f t="shared" si="190"/>
        <v>0</v>
      </c>
      <c r="F601" s="6">
        <f t="shared" si="191"/>
        <v>0</v>
      </c>
      <c r="G601" s="6">
        <f t="shared" si="192"/>
        <v>0</v>
      </c>
      <c r="H601" s="6">
        <f t="shared" si="193"/>
        <v>0</v>
      </c>
      <c r="I601" s="6">
        <f t="shared" si="194"/>
        <v>0</v>
      </c>
      <c r="J601" s="6">
        <f t="shared" si="195"/>
        <v>0</v>
      </c>
      <c r="K601" s="6">
        <f t="shared" si="196"/>
        <v>0</v>
      </c>
      <c r="L601" s="6">
        <f t="shared" si="197"/>
        <v>0</v>
      </c>
      <c r="M601" s="6">
        <f t="shared" si="198"/>
        <v>0</v>
      </c>
      <c r="N601" s="6">
        <f t="shared" si="199"/>
        <v>0</v>
      </c>
      <c r="O601" s="6">
        <f t="shared" si="200"/>
        <v>0</v>
      </c>
      <c r="P601" s="6">
        <f t="shared" si="201"/>
        <v>0</v>
      </c>
      <c r="Q601" s="6">
        <f t="shared" si="202"/>
        <v>0</v>
      </c>
      <c r="R601" s="6">
        <f t="shared" si="203"/>
        <v>0</v>
      </c>
      <c r="S601" s="6">
        <f t="shared" si="204"/>
        <v>0</v>
      </c>
      <c r="T601" s="6">
        <f t="shared" si="205"/>
        <v>0</v>
      </c>
      <c r="U601" s="6">
        <f t="shared" si="206"/>
        <v>0</v>
      </c>
      <c r="V601" s="6">
        <f t="shared" si="207"/>
        <v>0</v>
      </c>
      <c r="W601" s="6">
        <f t="shared" si="208"/>
        <v>0</v>
      </c>
      <c r="X601" s="6">
        <f t="shared" si="209"/>
        <v>0</v>
      </c>
      <c r="Y601" s="6">
        <f t="shared" si="210"/>
        <v>0</v>
      </c>
      <c r="AA601" s="6" t="str">
        <f>IF(最佳化斷筋點!C601="","",最佳化斷筋點!C601)</f>
        <v>下層</v>
      </c>
      <c r="AB601" s="6">
        <f>IF(最佳化斷筋點!D601="","",最佳化斷筋點!D601)</f>
        <v>3</v>
      </c>
      <c r="AC601" s="6">
        <f>IF(最佳化斷筋點!E601="","",最佳化斷筋點!E601)</f>
        <v>3</v>
      </c>
      <c r="AD601" s="6">
        <f>IF(最佳化斷筋點!F601="","",最佳化斷筋點!F601)</f>
        <v>3</v>
      </c>
      <c r="AE601" s="6">
        <f>IF(最佳化斷筋點!G601="","",最佳化斷筋點!G601)</f>
        <v>3</v>
      </c>
      <c r="AF601" s="6">
        <f>IF(最佳化斷筋點!H601="","",最佳化斷筋點!H601)</f>
        <v>4</v>
      </c>
      <c r="AG601" s="6">
        <f>IF(最佳化斷筋點!I601="","",最佳化斷筋點!I601)</f>
        <v>4</v>
      </c>
      <c r="AH601" s="6">
        <f>IF(最佳化斷筋點!J601="","",最佳化斷筋點!J601)</f>
        <v>5</v>
      </c>
      <c r="AI601" s="6">
        <f>IF(最佳化斷筋點!K601="","",最佳化斷筋點!K601)</f>
        <v>5</v>
      </c>
      <c r="AJ601" s="6">
        <f>IF(最佳化斷筋點!L601="","",最佳化斷筋點!L601)</f>
        <v>5</v>
      </c>
      <c r="AK601" s="6">
        <f>IF(最佳化斷筋點!M601="","",最佳化斷筋點!M601)</f>
        <v>5</v>
      </c>
      <c r="AL601" s="6">
        <f>IF(最佳化斷筋點!N601="","",最佳化斷筋點!N601)</f>
        <v>5</v>
      </c>
      <c r="AM601" s="6">
        <f>IF(最佳化斷筋點!O601="","",最佳化斷筋點!O601)</f>
        <v>5</v>
      </c>
      <c r="AN601" s="6">
        <f>IF(最佳化斷筋點!P601="","",最佳化斷筋點!P601)</f>
        <v>5</v>
      </c>
      <c r="AO601" s="6">
        <f>IF(最佳化斷筋點!Q601="","",最佳化斷筋點!Q601)</f>
        <v>5</v>
      </c>
      <c r="AP601" s="6">
        <f>IF(最佳化斷筋點!R601="","",最佳化斷筋點!R601)</f>
        <v>5</v>
      </c>
      <c r="AQ601" s="6">
        <f>IF(最佳化斷筋點!S601="","",最佳化斷筋點!S601)</f>
        <v>4</v>
      </c>
      <c r="AR601" s="6">
        <f>IF(最佳化斷筋點!T601="","",最佳化斷筋點!T601)</f>
        <v>4</v>
      </c>
      <c r="AS601" s="6">
        <f>IF(最佳化斷筋點!U601="","",最佳化斷筋點!U601)</f>
        <v>4</v>
      </c>
      <c r="AT601" s="6">
        <f>IF(最佳化斷筋點!V601="","",最佳化斷筋點!V601)</f>
        <v>4</v>
      </c>
      <c r="AU601" s="6">
        <f>IF(最佳化斷筋點!W601="","",最佳化斷筋點!W601)</f>
        <v>5</v>
      </c>
      <c r="AV601" s="6">
        <f>IF(最佳化斷筋點!X601="","",最佳化斷筋點!X601)</f>
        <v>5</v>
      </c>
      <c r="AX601" s="6" t="s">
        <v>51</v>
      </c>
      <c r="AY601" s="6">
        <v>3</v>
      </c>
      <c r="AZ601" s="6">
        <v>3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4</v>
      </c>
      <c r="BO601" s="6">
        <v>4</v>
      </c>
      <c r="BP601" s="6">
        <v>4</v>
      </c>
      <c r="BQ601" s="6">
        <v>4</v>
      </c>
      <c r="BR601" s="6">
        <v>5</v>
      </c>
      <c r="BS601" s="6">
        <v>5</v>
      </c>
    </row>
    <row r="602" spans="4:71" x14ac:dyDescent="0.25">
      <c r="E602" s="6">
        <f t="shared" si="190"/>
        <v>0</v>
      </c>
      <c r="F602" s="6">
        <f t="shared" si="191"/>
        <v>0</v>
      </c>
      <c r="G602" s="6">
        <f t="shared" si="192"/>
        <v>0</v>
      </c>
      <c r="H602" s="6">
        <f t="shared" si="193"/>
        <v>0</v>
      </c>
      <c r="I602" s="6">
        <f t="shared" si="194"/>
        <v>0</v>
      </c>
      <c r="J602" s="6">
        <f t="shared" si="195"/>
        <v>0</v>
      </c>
      <c r="K602" s="6">
        <f t="shared" si="196"/>
        <v>0</v>
      </c>
      <c r="L602" s="6">
        <f t="shared" si="197"/>
        <v>0</v>
      </c>
      <c r="M602" s="6">
        <f t="shared" si="198"/>
        <v>0</v>
      </c>
      <c r="N602" s="6">
        <f t="shared" si="199"/>
        <v>0</v>
      </c>
      <c r="O602" s="6">
        <f t="shared" si="200"/>
        <v>0</v>
      </c>
      <c r="P602" s="6">
        <f t="shared" si="201"/>
        <v>0</v>
      </c>
      <c r="Q602" s="6">
        <f t="shared" si="202"/>
        <v>0</v>
      </c>
      <c r="R602" s="6">
        <f t="shared" si="203"/>
        <v>0</v>
      </c>
      <c r="S602" s="6">
        <f t="shared" si="204"/>
        <v>0</v>
      </c>
      <c r="T602" s="6">
        <f t="shared" si="205"/>
        <v>0</v>
      </c>
      <c r="U602" s="6">
        <f t="shared" si="206"/>
        <v>0</v>
      </c>
      <c r="V602" s="6">
        <f t="shared" si="207"/>
        <v>0</v>
      </c>
      <c r="W602" s="6">
        <f t="shared" si="208"/>
        <v>0</v>
      </c>
      <c r="X602" s="6">
        <f t="shared" si="209"/>
        <v>0</v>
      </c>
      <c r="Y602" s="6">
        <f t="shared" si="210"/>
        <v>0</v>
      </c>
      <c r="AA602" s="6" t="str">
        <f>IF(最佳化斷筋點!C602="","",最佳化斷筋點!C602)</f>
        <v/>
      </c>
      <c r="AB602" s="6" t="str">
        <f>IF(最佳化斷筋點!D602="","",最佳化斷筋點!D602)</f>
        <v/>
      </c>
      <c r="AC602" s="6" t="str">
        <f>IF(最佳化斷筋點!E602="","",最佳化斷筋點!E602)</f>
        <v/>
      </c>
      <c r="AD602" s="6" t="str">
        <f>IF(最佳化斷筋點!F602="","",最佳化斷筋點!F602)</f>
        <v/>
      </c>
      <c r="AE602" s="6" t="str">
        <f>IF(最佳化斷筋點!G602="","",最佳化斷筋點!G602)</f>
        <v/>
      </c>
      <c r="AF602" s="6" t="str">
        <f>IF(最佳化斷筋點!H602="","",最佳化斷筋點!H602)</f>
        <v/>
      </c>
      <c r="AG602" s="6" t="str">
        <f>IF(最佳化斷筋點!I602="","",最佳化斷筋點!I602)</f>
        <v/>
      </c>
      <c r="AH602" s="6" t="str">
        <f>IF(最佳化斷筋點!J602="","",最佳化斷筋點!J602)</f>
        <v/>
      </c>
      <c r="AI602" s="6" t="str">
        <f>IF(最佳化斷筋點!K602="","",最佳化斷筋點!K602)</f>
        <v/>
      </c>
      <c r="AJ602" s="6" t="str">
        <f>IF(最佳化斷筋點!L602="","",最佳化斷筋點!L602)</f>
        <v/>
      </c>
      <c r="AK602" s="6" t="str">
        <f>IF(最佳化斷筋點!M602="","",最佳化斷筋點!M602)</f>
        <v/>
      </c>
      <c r="AL602" s="6" t="str">
        <f>IF(最佳化斷筋點!N602="","",最佳化斷筋點!N602)</f>
        <v/>
      </c>
      <c r="AM602" s="6" t="str">
        <f>IF(最佳化斷筋點!O602="","",最佳化斷筋點!O602)</f>
        <v/>
      </c>
      <c r="AN602" s="6" t="str">
        <f>IF(最佳化斷筋點!P602="","",最佳化斷筋點!P602)</f>
        <v/>
      </c>
      <c r="AO602" s="6" t="str">
        <f>IF(最佳化斷筋點!Q602="","",最佳化斷筋點!Q602)</f>
        <v/>
      </c>
      <c r="AP602" s="6" t="str">
        <f>IF(最佳化斷筋點!R602="","",最佳化斷筋點!R602)</f>
        <v/>
      </c>
      <c r="AQ602" s="6" t="str">
        <f>IF(最佳化斷筋點!S602="","",最佳化斷筋點!S602)</f>
        <v/>
      </c>
      <c r="AR602" s="6" t="str">
        <f>IF(最佳化斷筋點!T602="","",最佳化斷筋點!T602)</f>
        <v/>
      </c>
      <c r="AS602" s="6" t="str">
        <f>IF(最佳化斷筋點!U602="","",最佳化斷筋點!U602)</f>
        <v/>
      </c>
      <c r="AT602" s="6" t="str">
        <f>IF(最佳化斷筋點!V602="","",最佳化斷筋點!V602)</f>
        <v/>
      </c>
      <c r="AU602" s="6" t="str">
        <f>IF(最佳化斷筋點!W602="","",最佳化斷筋點!W602)</f>
        <v/>
      </c>
      <c r="AV602" s="6" t="str">
        <f>IF(最佳化斷筋點!X602="","",最佳化斷筋點!X602)</f>
        <v/>
      </c>
    </row>
    <row r="603" spans="4:71" x14ac:dyDescent="0.25">
      <c r="D603" s="6" t="s">
        <v>50</v>
      </c>
      <c r="E603" s="6">
        <f t="shared" si="190"/>
        <v>0</v>
      </c>
      <c r="F603" s="6">
        <f t="shared" si="191"/>
        <v>0</v>
      </c>
      <c r="G603" s="6">
        <f t="shared" si="192"/>
        <v>0</v>
      </c>
      <c r="H603" s="6">
        <f t="shared" si="193"/>
        <v>0</v>
      </c>
      <c r="I603" s="6">
        <f t="shared" si="194"/>
        <v>0</v>
      </c>
      <c r="J603" s="6">
        <f t="shared" si="195"/>
        <v>0</v>
      </c>
      <c r="K603" s="6">
        <f t="shared" si="196"/>
        <v>0</v>
      </c>
      <c r="L603" s="6">
        <f t="shared" si="197"/>
        <v>0</v>
      </c>
      <c r="M603" s="6">
        <f t="shared" si="198"/>
        <v>0</v>
      </c>
      <c r="N603" s="6">
        <f t="shared" si="199"/>
        <v>0</v>
      </c>
      <c r="O603" s="6">
        <f t="shared" si="200"/>
        <v>0</v>
      </c>
      <c r="P603" s="6">
        <f t="shared" si="201"/>
        <v>0</v>
      </c>
      <c r="Q603" s="6">
        <f t="shared" si="202"/>
        <v>0</v>
      </c>
      <c r="R603" s="6">
        <f t="shared" si="203"/>
        <v>0</v>
      </c>
      <c r="S603" s="6">
        <f t="shared" si="204"/>
        <v>0</v>
      </c>
      <c r="T603" s="6">
        <f t="shared" si="205"/>
        <v>0</v>
      </c>
      <c r="U603" s="6">
        <f t="shared" si="206"/>
        <v>0</v>
      </c>
      <c r="V603" s="6">
        <f t="shared" si="207"/>
        <v>0</v>
      </c>
      <c r="W603" s="6">
        <f t="shared" si="208"/>
        <v>0</v>
      </c>
      <c r="X603" s="6">
        <f t="shared" si="209"/>
        <v>0</v>
      </c>
      <c r="Y603" s="6">
        <f t="shared" si="210"/>
        <v>0</v>
      </c>
      <c r="AA603" s="6" t="str">
        <f>IF(最佳化斷筋點!C603="","",最佳化斷筋點!C603)</f>
        <v>上層</v>
      </c>
      <c r="AB603" s="6">
        <f>IF(最佳化斷筋點!D603="","",最佳化斷筋點!D603)</f>
        <v>8</v>
      </c>
      <c r="AC603" s="6">
        <f>IF(最佳化斷筋點!E603="","",最佳化斷筋點!E603)</f>
        <v>8</v>
      </c>
      <c r="AD603" s="6">
        <f>IF(最佳化斷筋點!F603="","",最佳化斷筋點!F603)</f>
        <v>7</v>
      </c>
      <c r="AE603" s="6">
        <f>IF(最佳化斷筋點!G603="","",最佳化斷筋點!G603)</f>
        <v>6</v>
      </c>
      <c r="AF603" s="6">
        <f>IF(最佳化斷筋點!H603="","",最佳化斷筋點!H603)</f>
        <v>5</v>
      </c>
      <c r="AG603" s="6">
        <f>IF(最佳化斷筋點!I603="","",最佳化斷筋點!I603)</f>
        <v>5</v>
      </c>
      <c r="AH603" s="6">
        <f>IF(最佳化斷筋點!J603="","",最佳化斷筋點!J603)</f>
        <v>4</v>
      </c>
      <c r="AI603" s="6">
        <f>IF(最佳化斷筋點!K603="","",最佳化斷筋點!K603)</f>
        <v>3</v>
      </c>
      <c r="AJ603" s="6">
        <f>IF(最佳化斷筋點!L603="","",最佳化斷筋點!L603)</f>
        <v>2</v>
      </c>
      <c r="AK603" s="6">
        <f>IF(最佳化斷筋點!M603="","",最佳化斷筋點!M603)</f>
        <v>2</v>
      </c>
      <c r="AL603" s="6">
        <f>IF(最佳化斷筋點!N603="","",最佳化斷筋點!N603)</f>
        <v>2</v>
      </c>
      <c r="AM603" s="6">
        <f>IF(最佳化斷筋點!O603="","",最佳化斷筋點!O603)</f>
        <v>2</v>
      </c>
      <c r="AN603" s="6">
        <f>IF(最佳化斷筋點!P603="","",最佳化斷筋點!P603)</f>
        <v>2</v>
      </c>
      <c r="AO603" s="6">
        <f>IF(最佳化斷筋點!Q603="","",最佳化斷筋點!Q603)</f>
        <v>2</v>
      </c>
      <c r="AP603" s="6">
        <f>IF(最佳化斷筋點!R603="","",最佳化斷筋點!R603)</f>
        <v>2</v>
      </c>
      <c r="AQ603" s="6">
        <f>IF(最佳化斷筋點!S603="","",最佳化斷筋點!S603)</f>
        <v>2</v>
      </c>
      <c r="AR603" s="6">
        <f>IF(最佳化斷筋點!T603="","",最佳化斷筋點!T603)</f>
        <v>2</v>
      </c>
      <c r="AS603" s="6">
        <f>IF(最佳化斷筋點!U603="","",最佳化斷筋點!U603)</f>
        <v>2</v>
      </c>
      <c r="AT603" s="6">
        <f>IF(最佳化斷筋點!V603="","",最佳化斷筋點!V603)</f>
        <v>2</v>
      </c>
      <c r="AU603" s="6">
        <f>IF(最佳化斷筋點!W603="","",最佳化斷筋點!W603)</f>
        <v>2</v>
      </c>
      <c r="AV603" s="6">
        <f>IF(最佳化斷筋點!X603="","",最佳化斷筋點!X603)</f>
        <v>2</v>
      </c>
      <c r="AX603" s="6" t="s">
        <v>50</v>
      </c>
      <c r="AY603" s="6">
        <v>8</v>
      </c>
      <c r="AZ603" s="6">
        <v>8</v>
      </c>
      <c r="BA603" s="6">
        <v>7</v>
      </c>
      <c r="BB603" s="6">
        <v>6</v>
      </c>
      <c r="BC603" s="6">
        <v>5</v>
      </c>
      <c r="BD603" s="6">
        <v>5</v>
      </c>
      <c r="BE603" s="6">
        <v>4</v>
      </c>
      <c r="BF603" s="6">
        <v>3</v>
      </c>
      <c r="BG603" s="6">
        <v>2</v>
      </c>
      <c r="BH603" s="6">
        <v>2</v>
      </c>
      <c r="BI603" s="6">
        <v>2</v>
      </c>
      <c r="BJ603" s="6">
        <v>2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</row>
    <row r="604" spans="4:71" x14ac:dyDescent="0.25">
      <c r="E604" s="6">
        <f t="shared" si="190"/>
        <v>0</v>
      </c>
      <c r="F604" s="6">
        <f t="shared" si="191"/>
        <v>0</v>
      </c>
      <c r="G604" s="6">
        <f t="shared" si="192"/>
        <v>0</v>
      </c>
      <c r="H604" s="6">
        <f t="shared" si="193"/>
        <v>0</v>
      </c>
      <c r="I604" s="6">
        <f t="shared" si="194"/>
        <v>0</v>
      </c>
      <c r="J604" s="6">
        <f t="shared" si="195"/>
        <v>0</v>
      </c>
      <c r="K604" s="6">
        <f t="shared" si="196"/>
        <v>0</v>
      </c>
      <c r="L604" s="6">
        <f t="shared" si="197"/>
        <v>0</v>
      </c>
      <c r="M604" s="6">
        <f t="shared" si="198"/>
        <v>0</v>
      </c>
      <c r="N604" s="6">
        <f t="shared" si="199"/>
        <v>0</v>
      </c>
      <c r="O604" s="6">
        <f t="shared" si="200"/>
        <v>0</v>
      </c>
      <c r="P604" s="6">
        <f t="shared" si="201"/>
        <v>0</v>
      </c>
      <c r="Q604" s="6">
        <f t="shared" si="202"/>
        <v>0</v>
      </c>
      <c r="R604" s="6">
        <f t="shared" si="203"/>
        <v>0</v>
      </c>
      <c r="S604" s="6">
        <f t="shared" si="204"/>
        <v>0</v>
      </c>
      <c r="T604" s="6">
        <f t="shared" si="205"/>
        <v>0</v>
      </c>
      <c r="U604" s="6">
        <f t="shared" si="206"/>
        <v>0</v>
      </c>
      <c r="V604" s="6">
        <f t="shared" si="207"/>
        <v>0</v>
      </c>
      <c r="W604" s="6">
        <f t="shared" si="208"/>
        <v>0</v>
      </c>
      <c r="X604" s="6">
        <f t="shared" si="209"/>
        <v>0</v>
      </c>
      <c r="Y604" s="6">
        <f t="shared" si="210"/>
        <v>0</v>
      </c>
      <c r="AA604" s="6" t="str">
        <f>IF(最佳化斷筋點!C604="","",最佳化斷筋點!C604)</f>
        <v/>
      </c>
      <c r="AB604" s="6" t="str">
        <f>IF(最佳化斷筋點!D604="","",最佳化斷筋點!D604)</f>
        <v/>
      </c>
      <c r="AC604" s="6" t="str">
        <f>IF(最佳化斷筋點!E604="","",最佳化斷筋點!E604)</f>
        <v/>
      </c>
      <c r="AD604" s="6" t="str">
        <f>IF(最佳化斷筋點!F604="","",最佳化斷筋點!F604)</f>
        <v/>
      </c>
      <c r="AE604" s="6" t="str">
        <f>IF(最佳化斷筋點!G604="","",最佳化斷筋點!G604)</f>
        <v/>
      </c>
      <c r="AF604" s="6" t="str">
        <f>IF(最佳化斷筋點!H604="","",最佳化斷筋點!H604)</f>
        <v/>
      </c>
      <c r="AG604" s="6" t="str">
        <f>IF(最佳化斷筋點!I604="","",最佳化斷筋點!I604)</f>
        <v/>
      </c>
      <c r="AH604" s="6" t="str">
        <f>IF(最佳化斷筋點!J604="","",最佳化斷筋點!J604)</f>
        <v/>
      </c>
      <c r="AI604" s="6" t="str">
        <f>IF(最佳化斷筋點!K604="","",最佳化斷筋點!K604)</f>
        <v/>
      </c>
      <c r="AJ604" s="6" t="str">
        <f>IF(最佳化斷筋點!L604="","",最佳化斷筋點!L604)</f>
        <v/>
      </c>
      <c r="AK604" s="6" t="str">
        <f>IF(最佳化斷筋點!M604="","",最佳化斷筋點!M604)</f>
        <v/>
      </c>
      <c r="AL604" s="6" t="str">
        <f>IF(最佳化斷筋點!N604="","",最佳化斷筋點!N604)</f>
        <v/>
      </c>
      <c r="AM604" s="6" t="str">
        <f>IF(最佳化斷筋點!O604="","",最佳化斷筋點!O604)</f>
        <v/>
      </c>
      <c r="AN604" s="6" t="str">
        <f>IF(最佳化斷筋點!P604="","",最佳化斷筋點!P604)</f>
        <v/>
      </c>
      <c r="AO604" s="6" t="str">
        <f>IF(最佳化斷筋點!Q604="","",最佳化斷筋點!Q604)</f>
        <v/>
      </c>
      <c r="AP604" s="6" t="str">
        <f>IF(最佳化斷筋點!R604="","",最佳化斷筋點!R604)</f>
        <v/>
      </c>
      <c r="AQ604" s="6" t="str">
        <f>IF(最佳化斷筋點!S604="","",最佳化斷筋點!S604)</f>
        <v/>
      </c>
      <c r="AR604" s="6" t="str">
        <f>IF(最佳化斷筋點!T604="","",最佳化斷筋點!T604)</f>
        <v/>
      </c>
      <c r="AS604" s="6" t="str">
        <f>IF(最佳化斷筋點!U604="","",最佳化斷筋點!U604)</f>
        <v/>
      </c>
      <c r="AT604" s="6" t="str">
        <f>IF(最佳化斷筋點!V604="","",最佳化斷筋點!V604)</f>
        <v/>
      </c>
      <c r="AU604" s="6" t="str">
        <f>IF(最佳化斷筋點!W604="","",最佳化斷筋點!W604)</f>
        <v/>
      </c>
      <c r="AV604" s="6" t="str">
        <f>IF(最佳化斷筋點!X604="","",最佳化斷筋點!X604)</f>
        <v/>
      </c>
    </row>
    <row r="605" spans="4:71" x14ac:dyDescent="0.25">
      <c r="D605" s="6" t="s">
        <v>51</v>
      </c>
      <c r="E605" s="6">
        <f t="shared" si="190"/>
        <v>0</v>
      </c>
      <c r="F605" s="6">
        <f t="shared" si="191"/>
        <v>0</v>
      </c>
      <c r="G605" s="6">
        <f t="shared" si="192"/>
        <v>0</v>
      </c>
      <c r="H605" s="6">
        <f t="shared" si="193"/>
        <v>0</v>
      </c>
      <c r="I605" s="6">
        <f t="shared" si="194"/>
        <v>0</v>
      </c>
      <c r="J605" s="6">
        <f t="shared" si="195"/>
        <v>0</v>
      </c>
      <c r="K605" s="6">
        <f t="shared" si="196"/>
        <v>0</v>
      </c>
      <c r="L605" s="6">
        <f t="shared" si="197"/>
        <v>0</v>
      </c>
      <c r="M605" s="6">
        <f t="shared" si="198"/>
        <v>0</v>
      </c>
      <c r="N605" s="6">
        <f t="shared" si="199"/>
        <v>0</v>
      </c>
      <c r="O605" s="6">
        <f t="shared" si="200"/>
        <v>0</v>
      </c>
      <c r="P605" s="6">
        <f t="shared" si="201"/>
        <v>0</v>
      </c>
      <c r="Q605" s="6">
        <f t="shared" si="202"/>
        <v>0</v>
      </c>
      <c r="R605" s="6">
        <f t="shared" si="203"/>
        <v>0</v>
      </c>
      <c r="S605" s="6">
        <f t="shared" si="204"/>
        <v>0</v>
      </c>
      <c r="T605" s="6">
        <f t="shared" si="205"/>
        <v>0</v>
      </c>
      <c r="U605" s="6">
        <f t="shared" si="206"/>
        <v>0</v>
      </c>
      <c r="V605" s="6">
        <f t="shared" si="207"/>
        <v>0</v>
      </c>
      <c r="W605" s="6">
        <f t="shared" si="208"/>
        <v>0</v>
      </c>
      <c r="X605" s="6">
        <f t="shared" si="209"/>
        <v>0</v>
      </c>
      <c r="Y605" s="6">
        <f t="shared" si="210"/>
        <v>0</v>
      </c>
      <c r="AA605" s="6" t="str">
        <f>IF(最佳化斷筋點!C605="","",最佳化斷筋點!C605)</f>
        <v>下層</v>
      </c>
      <c r="AB605" s="6">
        <f>IF(最佳化斷筋點!D605="","",最佳化斷筋點!D605)</f>
        <v>5</v>
      </c>
      <c r="AC605" s="6">
        <f>IF(最佳化斷筋點!E605="","",最佳化斷筋點!E605)</f>
        <v>5</v>
      </c>
      <c r="AD605" s="6">
        <f>IF(最佳化斷筋點!F605="","",最佳化斷筋點!F605)</f>
        <v>4</v>
      </c>
      <c r="AE605" s="6">
        <f>IF(最佳化斷筋點!G605="","",最佳化斷筋點!G605)</f>
        <v>4</v>
      </c>
      <c r="AF605" s="6">
        <f>IF(最佳化斷筋點!H605="","",最佳化斷筋點!H605)</f>
        <v>4</v>
      </c>
      <c r="AG605" s="6">
        <f>IF(最佳化斷筋點!I605="","",最佳化斷筋點!I605)</f>
        <v>4</v>
      </c>
      <c r="AH605" s="6">
        <f>IF(最佳化斷筋點!J605="","",最佳化斷筋點!J605)</f>
        <v>5</v>
      </c>
      <c r="AI605" s="6">
        <f>IF(最佳化斷筋點!K605="","",最佳化斷筋點!K605)</f>
        <v>5</v>
      </c>
      <c r="AJ605" s="6">
        <f>IF(最佳化斷筋點!L605="","",最佳化斷筋點!L605)</f>
        <v>5</v>
      </c>
      <c r="AK605" s="6">
        <f>IF(最佳化斷筋點!M605="","",最佳化斷筋點!M605)</f>
        <v>5</v>
      </c>
      <c r="AL605" s="6">
        <f>IF(最佳化斷筋點!N605="","",最佳化斷筋點!N605)</f>
        <v>5</v>
      </c>
      <c r="AM605" s="6">
        <f>IF(最佳化斷筋點!O605="","",最佳化斷筋點!O605)</f>
        <v>5</v>
      </c>
      <c r="AN605" s="6">
        <f>IF(最佳化斷筋點!P605="","",最佳化斷筋點!P605)</f>
        <v>5</v>
      </c>
      <c r="AO605" s="6">
        <f>IF(最佳化斷筋點!Q605="","",最佳化斷筋點!Q605)</f>
        <v>5</v>
      </c>
      <c r="AP605" s="6">
        <f>IF(最佳化斷筋點!R605="","",最佳化斷筋點!R605)</f>
        <v>5</v>
      </c>
      <c r="AQ605" s="6">
        <f>IF(最佳化斷筋點!S605="","",最佳化斷筋點!S605)</f>
        <v>4</v>
      </c>
      <c r="AR605" s="6">
        <f>IF(最佳化斷筋點!T605="","",最佳化斷筋點!T605)</f>
        <v>4</v>
      </c>
      <c r="AS605" s="6">
        <f>IF(最佳化斷筋點!U605="","",最佳化斷筋點!U605)</f>
        <v>4</v>
      </c>
      <c r="AT605" s="6">
        <f>IF(最佳化斷筋點!V605="","",最佳化斷筋點!V605)</f>
        <v>4</v>
      </c>
      <c r="AU605" s="6">
        <f>IF(最佳化斷筋點!W605="","",最佳化斷筋點!W605)</f>
        <v>5</v>
      </c>
      <c r="AV605" s="6">
        <f>IF(最佳化斷筋點!X605="","",最佳化斷筋點!X605)</f>
        <v>5</v>
      </c>
      <c r="AX605" s="6" t="s">
        <v>51</v>
      </c>
      <c r="AY605" s="6">
        <v>5</v>
      </c>
      <c r="AZ605" s="6">
        <v>5</v>
      </c>
      <c r="BA605" s="6">
        <v>4</v>
      </c>
      <c r="BB605" s="6">
        <v>4</v>
      </c>
      <c r="BC605" s="6">
        <v>4</v>
      </c>
      <c r="BD605" s="6">
        <v>4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4</v>
      </c>
      <c r="BO605" s="6">
        <v>4</v>
      </c>
      <c r="BP605" s="6">
        <v>4</v>
      </c>
      <c r="BQ605" s="6">
        <v>4</v>
      </c>
      <c r="BR605" s="6">
        <v>5</v>
      </c>
      <c r="BS605" s="6">
        <v>5</v>
      </c>
    </row>
    <row r="606" spans="4:71" x14ac:dyDescent="0.25">
      <c r="E606" s="6">
        <f t="shared" si="190"/>
        <v>0</v>
      </c>
      <c r="F606" s="6">
        <f t="shared" si="191"/>
        <v>0</v>
      </c>
      <c r="G606" s="6">
        <f t="shared" si="192"/>
        <v>0</v>
      </c>
      <c r="H606" s="6">
        <f t="shared" si="193"/>
        <v>0</v>
      </c>
      <c r="I606" s="6">
        <f t="shared" si="194"/>
        <v>0</v>
      </c>
      <c r="J606" s="6">
        <f t="shared" si="195"/>
        <v>0</v>
      </c>
      <c r="K606" s="6">
        <f t="shared" si="196"/>
        <v>0</v>
      </c>
      <c r="L606" s="6">
        <f t="shared" si="197"/>
        <v>0</v>
      </c>
      <c r="M606" s="6">
        <f t="shared" si="198"/>
        <v>0</v>
      </c>
      <c r="N606" s="6">
        <f t="shared" si="199"/>
        <v>0</v>
      </c>
      <c r="O606" s="6">
        <f t="shared" si="200"/>
        <v>0</v>
      </c>
      <c r="P606" s="6">
        <f t="shared" si="201"/>
        <v>0</v>
      </c>
      <c r="Q606" s="6">
        <f t="shared" si="202"/>
        <v>0</v>
      </c>
      <c r="R606" s="6">
        <f t="shared" si="203"/>
        <v>0</v>
      </c>
      <c r="S606" s="6">
        <f t="shared" si="204"/>
        <v>0</v>
      </c>
      <c r="T606" s="6">
        <f t="shared" si="205"/>
        <v>0</v>
      </c>
      <c r="U606" s="6">
        <f t="shared" si="206"/>
        <v>0</v>
      </c>
      <c r="V606" s="6">
        <f t="shared" si="207"/>
        <v>0</v>
      </c>
      <c r="W606" s="6">
        <f t="shared" si="208"/>
        <v>0</v>
      </c>
      <c r="X606" s="6">
        <f t="shared" si="209"/>
        <v>0</v>
      </c>
      <c r="Y606" s="6">
        <f t="shared" si="210"/>
        <v>0</v>
      </c>
      <c r="AA606" s="6" t="str">
        <f>IF(最佳化斷筋點!C606="","",最佳化斷筋點!C606)</f>
        <v/>
      </c>
      <c r="AB606" s="6" t="str">
        <f>IF(最佳化斷筋點!D606="","",最佳化斷筋點!D606)</f>
        <v/>
      </c>
      <c r="AC606" s="6" t="str">
        <f>IF(最佳化斷筋點!E606="","",最佳化斷筋點!E606)</f>
        <v/>
      </c>
      <c r="AD606" s="6" t="str">
        <f>IF(最佳化斷筋點!F606="","",最佳化斷筋點!F606)</f>
        <v/>
      </c>
      <c r="AE606" s="6" t="str">
        <f>IF(最佳化斷筋點!G606="","",最佳化斷筋點!G606)</f>
        <v/>
      </c>
      <c r="AF606" s="6" t="str">
        <f>IF(最佳化斷筋點!H606="","",最佳化斷筋點!H606)</f>
        <v/>
      </c>
      <c r="AG606" s="6" t="str">
        <f>IF(最佳化斷筋點!I606="","",最佳化斷筋點!I606)</f>
        <v/>
      </c>
      <c r="AH606" s="6" t="str">
        <f>IF(最佳化斷筋點!J606="","",最佳化斷筋點!J606)</f>
        <v/>
      </c>
      <c r="AI606" s="6" t="str">
        <f>IF(最佳化斷筋點!K606="","",最佳化斷筋點!K606)</f>
        <v/>
      </c>
      <c r="AJ606" s="6" t="str">
        <f>IF(最佳化斷筋點!L606="","",最佳化斷筋點!L606)</f>
        <v/>
      </c>
      <c r="AK606" s="6" t="str">
        <f>IF(最佳化斷筋點!M606="","",最佳化斷筋點!M606)</f>
        <v/>
      </c>
      <c r="AL606" s="6" t="str">
        <f>IF(最佳化斷筋點!N606="","",最佳化斷筋點!N606)</f>
        <v/>
      </c>
      <c r="AM606" s="6" t="str">
        <f>IF(最佳化斷筋點!O606="","",最佳化斷筋點!O606)</f>
        <v/>
      </c>
      <c r="AN606" s="6" t="str">
        <f>IF(最佳化斷筋點!P606="","",最佳化斷筋點!P606)</f>
        <v/>
      </c>
      <c r="AO606" s="6" t="str">
        <f>IF(最佳化斷筋點!Q606="","",最佳化斷筋點!Q606)</f>
        <v/>
      </c>
      <c r="AP606" s="6" t="str">
        <f>IF(最佳化斷筋點!R606="","",最佳化斷筋點!R606)</f>
        <v/>
      </c>
      <c r="AQ606" s="6" t="str">
        <f>IF(最佳化斷筋點!S606="","",最佳化斷筋點!S606)</f>
        <v/>
      </c>
      <c r="AR606" s="6" t="str">
        <f>IF(最佳化斷筋點!T606="","",最佳化斷筋點!T606)</f>
        <v/>
      </c>
      <c r="AS606" s="6" t="str">
        <f>IF(最佳化斷筋點!U606="","",最佳化斷筋點!U606)</f>
        <v/>
      </c>
      <c r="AT606" s="6" t="str">
        <f>IF(最佳化斷筋點!V606="","",最佳化斷筋點!V606)</f>
        <v/>
      </c>
      <c r="AU606" s="6" t="str">
        <f>IF(最佳化斷筋點!W606="","",最佳化斷筋點!W606)</f>
        <v/>
      </c>
      <c r="AV606" s="6" t="str">
        <f>IF(最佳化斷筋點!X606="","",最佳化斷筋點!X606)</f>
        <v/>
      </c>
    </row>
    <row r="607" spans="4:71" x14ac:dyDescent="0.25">
      <c r="D607" s="6" t="s">
        <v>50</v>
      </c>
      <c r="E607" s="6">
        <f t="shared" si="190"/>
        <v>0</v>
      </c>
      <c r="F607" s="6">
        <f t="shared" si="191"/>
        <v>0</v>
      </c>
      <c r="G607" s="6">
        <f t="shared" si="192"/>
        <v>0</v>
      </c>
      <c r="H607" s="6">
        <f t="shared" si="193"/>
        <v>0</v>
      </c>
      <c r="I607" s="6">
        <f t="shared" si="194"/>
        <v>0</v>
      </c>
      <c r="J607" s="6">
        <f t="shared" si="195"/>
        <v>0</v>
      </c>
      <c r="K607" s="6">
        <f t="shared" si="196"/>
        <v>0</v>
      </c>
      <c r="L607" s="6">
        <f t="shared" si="197"/>
        <v>0</v>
      </c>
      <c r="M607" s="6">
        <f t="shared" si="198"/>
        <v>0</v>
      </c>
      <c r="N607" s="6">
        <f t="shared" si="199"/>
        <v>0</v>
      </c>
      <c r="O607" s="6">
        <f t="shared" si="200"/>
        <v>0</v>
      </c>
      <c r="P607" s="6">
        <f t="shared" si="201"/>
        <v>0</v>
      </c>
      <c r="Q607" s="6">
        <f t="shared" si="202"/>
        <v>0</v>
      </c>
      <c r="R607" s="6">
        <f t="shared" si="203"/>
        <v>0</v>
      </c>
      <c r="S607" s="6">
        <f t="shared" si="204"/>
        <v>0</v>
      </c>
      <c r="T607" s="6">
        <f t="shared" si="205"/>
        <v>0</v>
      </c>
      <c r="U607" s="6">
        <f t="shared" si="206"/>
        <v>0</v>
      </c>
      <c r="V607" s="6">
        <f t="shared" si="207"/>
        <v>0</v>
      </c>
      <c r="W607" s="6">
        <f t="shared" si="208"/>
        <v>0</v>
      </c>
      <c r="X607" s="6">
        <f t="shared" si="209"/>
        <v>0</v>
      </c>
      <c r="Y607" s="6">
        <f t="shared" si="210"/>
        <v>0</v>
      </c>
      <c r="AA607" s="6" t="str">
        <f>IF(最佳化斷筋點!C607="","",最佳化斷筋點!C607)</f>
        <v>上層</v>
      </c>
      <c r="AB607" s="6">
        <f>IF(最佳化斷筋點!D607="","",最佳化斷筋點!D607)</f>
        <v>8</v>
      </c>
      <c r="AC607" s="6">
        <f>IF(最佳化斷筋點!E607="","",最佳化斷筋點!E607)</f>
        <v>8</v>
      </c>
      <c r="AD607" s="6">
        <f>IF(最佳化斷筋點!F607="","",最佳化斷筋點!F607)</f>
        <v>7</v>
      </c>
      <c r="AE607" s="6">
        <f>IF(最佳化斷筋點!G607="","",最佳化斷筋點!G607)</f>
        <v>6</v>
      </c>
      <c r="AF607" s="6">
        <f>IF(最佳化斷筋點!H607="","",最佳化斷筋點!H607)</f>
        <v>5</v>
      </c>
      <c r="AG607" s="6">
        <f>IF(最佳化斷筋點!I607="","",最佳化斷筋點!I607)</f>
        <v>5</v>
      </c>
      <c r="AH607" s="6">
        <f>IF(最佳化斷筋點!J607="","",最佳化斷筋點!J607)</f>
        <v>4</v>
      </c>
      <c r="AI607" s="6">
        <f>IF(最佳化斷筋點!K607="","",最佳化斷筋點!K607)</f>
        <v>3</v>
      </c>
      <c r="AJ607" s="6">
        <f>IF(最佳化斷筋點!L607="","",最佳化斷筋點!L607)</f>
        <v>2</v>
      </c>
      <c r="AK607" s="6">
        <f>IF(最佳化斷筋點!M607="","",最佳化斷筋點!M607)</f>
        <v>2</v>
      </c>
      <c r="AL607" s="6">
        <f>IF(最佳化斷筋點!N607="","",最佳化斷筋點!N607)</f>
        <v>2</v>
      </c>
      <c r="AM607" s="6">
        <f>IF(最佳化斷筋點!O607="","",最佳化斷筋點!O607)</f>
        <v>2</v>
      </c>
      <c r="AN607" s="6">
        <f>IF(最佳化斷筋點!P607="","",最佳化斷筋點!P607)</f>
        <v>2</v>
      </c>
      <c r="AO607" s="6">
        <f>IF(最佳化斷筋點!Q607="","",最佳化斷筋點!Q607)</f>
        <v>2</v>
      </c>
      <c r="AP607" s="6">
        <f>IF(最佳化斷筋點!R607="","",最佳化斷筋點!R607)</f>
        <v>2</v>
      </c>
      <c r="AQ607" s="6">
        <f>IF(最佳化斷筋點!S607="","",最佳化斷筋點!S607)</f>
        <v>2</v>
      </c>
      <c r="AR607" s="6">
        <f>IF(最佳化斷筋點!T607="","",最佳化斷筋點!T607)</f>
        <v>2</v>
      </c>
      <c r="AS607" s="6">
        <f>IF(最佳化斷筋點!U607="","",最佳化斷筋點!U607)</f>
        <v>2</v>
      </c>
      <c r="AT607" s="6">
        <f>IF(最佳化斷筋點!V607="","",最佳化斷筋點!V607)</f>
        <v>2</v>
      </c>
      <c r="AU607" s="6">
        <f>IF(最佳化斷筋點!W607="","",最佳化斷筋點!W607)</f>
        <v>2</v>
      </c>
      <c r="AV607" s="6">
        <f>IF(最佳化斷筋點!X607="","",最佳化斷筋點!X607)</f>
        <v>2</v>
      </c>
      <c r="AX607" s="6" t="s">
        <v>50</v>
      </c>
      <c r="AY607" s="6">
        <v>8</v>
      </c>
      <c r="AZ607" s="6">
        <v>8</v>
      </c>
      <c r="BA607" s="6">
        <v>7</v>
      </c>
      <c r="BB607" s="6">
        <v>6</v>
      </c>
      <c r="BC607" s="6">
        <v>5</v>
      </c>
      <c r="BD607" s="6">
        <v>5</v>
      </c>
      <c r="BE607" s="6">
        <v>4</v>
      </c>
      <c r="BF607" s="6">
        <v>3</v>
      </c>
      <c r="BG607" s="6">
        <v>2</v>
      </c>
      <c r="BH607" s="6">
        <v>2</v>
      </c>
      <c r="BI607" s="6">
        <v>2</v>
      </c>
      <c r="BJ607" s="6">
        <v>2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</row>
    <row r="608" spans="4:71" x14ac:dyDescent="0.25">
      <c r="E608" s="6">
        <f t="shared" si="190"/>
        <v>0</v>
      </c>
      <c r="F608" s="6">
        <f t="shared" si="191"/>
        <v>0</v>
      </c>
      <c r="G608" s="6">
        <f t="shared" si="192"/>
        <v>0</v>
      </c>
      <c r="H608" s="6">
        <f t="shared" si="193"/>
        <v>0</v>
      </c>
      <c r="I608" s="6">
        <f t="shared" si="194"/>
        <v>0</v>
      </c>
      <c r="J608" s="6">
        <f t="shared" si="195"/>
        <v>0</v>
      </c>
      <c r="K608" s="6">
        <f t="shared" si="196"/>
        <v>0</v>
      </c>
      <c r="L608" s="6">
        <f t="shared" si="197"/>
        <v>0</v>
      </c>
      <c r="M608" s="6">
        <f t="shared" si="198"/>
        <v>0</v>
      </c>
      <c r="N608" s="6">
        <f t="shared" si="199"/>
        <v>0</v>
      </c>
      <c r="O608" s="6">
        <f t="shared" si="200"/>
        <v>0</v>
      </c>
      <c r="P608" s="6">
        <f t="shared" si="201"/>
        <v>0</v>
      </c>
      <c r="Q608" s="6">
        <f t="shared" si="202"/>
        <v>0</v>
      </c>
      <c r="R608" s="6">
        <f t="shared" si="203"/>
        <v>0</v>
      </c>
      <c r="S608" s="6">
        <f t="shared" si="204"/>
        <v>0</v>
      </c>
      <c r="T608" s="6">
        <f t="shared" si="205"/>
        <v>0</v>
      </c>
      <c r="U608" s="6">
        <f t="shared" si="206"/>
        <v>0</v>
      </c>
      <c r="V608" s="6">
        <f t="shared" si="207"/>
        <v>0</v>
      </c>
      <c r="W608" s="6">
        <f t="shared" si="208"/>
        <v>0</v>
      </c>
      <c r="X608" s="6">
        <f t="shared" si="209"/>
        <v>0</v>
      </c>
      <c r="Y608" s="6">
        <f t="shared" si="210"/>
        <v>0</v>
      </c>
      <c r="AA608" s="6" t="str">
        <f>IF(最佳化斷筋點!C608="","",最佳化斷筋點!C608)</f>
        <v/>
      </c>
      <c r="AB608" s="6" t="str">
        <f>IF(最佳化斷筋點!D608="","",最佳化斷筋點!D608)</f>
        <v/>
      </c>
      <c r="AC608" s="6" t="str">
        <f>IF(最佳化斷筋點!E608="","",最佳化斷筋點!E608)</f>
        <v/>
      </c>
      <c r="AD608" s="6" t="str">
        <f>IF(最佳化斷筋點!F608="","",最佳化斷筋點!F608)</f>
        <v/>
      </c>
      <c r="AE608" s="6" t="str">
        <f>IF(最佳化斷筋點!G608="","",最佳化斷筋點!G608)</f>
        <v/>
      </c>
      <c r="AF608" s="6" t="str">
        <f>IF(最佳化斷筋點!H608="","",最佳化斷筋點!H608)</f>
        <v/>
      </c>
      <c r="AG608" s="6" t="str">
        <f>IF(最佳化斷筋點!I608="","",最佳化斷筋點!I608)</f>
        <v/>
      </c>
      <c r="AH608" s="6" t="str">
        <f>IF(最佳化斷筋點!J608="","",最佳化斷筋點!J608)</f>
        <v/>
      </c>
      <c r="AI608" s="6" t="str">
        <f>IF(最佳化斷筋點!K608="","",最佳化斷筋點!K608)</f>
        <v/>
      </c>
      <c r="AJ608" s="6" t="str">
        <f>IF(最佳化斷筋點!L608="","",最佳化斷筋點!L608)</f>
        <v/>
      </c>
      <c r="AK608" s="6" t="str">
        <f>IF(最佳化斷筋點!M608="","",最佳化斷筋點!M608)</f>
        <v/>
      </c>
      <c r="AL608" s="6" t="str">
        <f>IF(最佳化斷筋點!N608="","",最佳化斷筋點!N608)</f>
        <v/>
      </c>
      <c r="AM608" s="6" t="str">
        <f>IF(最佳化斷筋點!O608="","",最佳化斷筋點!O608)</f>
        <v/>
      </c>
      <c r="AN608" s="6" t="str">
        <f>IF(最佳化斷筋點!P608="","",最佳化斷筋點!P608)</f>
        <v/>
      </c>
      <c r="AO608" s="6" t="str">
        <f>IF(最佳化斷筋點!Q608="","",最佳化斷筋點!Q608)</f>
        <v/>
      </c>
      <c r="AP608" s="6" t="str">
        <f>IF(最佳化斷筋點!R608="","",最佳化斷筋點!R608)</f>
        <v/>
      </c>
      <c r="AQ608" s="6" t="str">
        <f>IF(最佳化斷筋點!S608="","",最佳化斷筋點!S608)</f>
        <v/>
      </c>
      <c r="AR608" s="6" t="str">
        <f>IF(最佳化斷筋點!T608="","",最佳化斷筋點!T608)</f>
        <v/>
      </c>
      <c r="AS608" s="6" t="str">
        <f>IF(最佳化斷筋點!U608="","",最佳化斷筋點!U608)</f>
        <v/>
      </c>
      <c r="AT608" s="6" t="str">
        <f>IF(最佳化斷筋點!V608="","",最佳化斷筋點!V608)</f>
        <v/>
      </c>
      <c r="AU608" s="6" t="str">
        <f>IF(最佳化斷筋點!W608="","",最佳化斷筋點!W608)</f>
        <v/>
      </c>
      <c r="AV608" s="6" t="str">
        <f>IF(最佳化斷筋點!X608="","",最佳化斷筋點!X608)</f>
        <v/>
      </c>
    </row>
    <row r="609" spans="4:71" x14ac:dyDescent="0.25">
      <c r="D609" s="6" t="s">
        <v>51</v>
      </c>
      <c r="E609" s="6">
        <f t="shared" si="190"/>
        <v>0</v>
      </c>
      <c r="F609" s="6">
        <f t="shared" si="191"/>
        <v>0</v>
      </c>
      <c r="G609" s="6">
        <f t="shared" si="192"/>
        <v>0</v>
      </c>
      <c r="H609" s="6">
        <f t="shared" si="193"/>
        <v>0</v>
      </c>
      <c r="I609" s="6">
        <f t="shared" si="194"/>
        <v>0</v>
      </c>
      <c r="J609" s="6">
        <f t="shared" si="195"/>
        <v>0</v>
      </c>
      <c r="K609" s="6">
        <f t="shared" si="196"/>
        <v>0</v>
      </c>
      <c r="L609" s="6">
        <f t="shared" si="197"/>
        <v>0</v>
      </c>
      <c r="M609" s="6">
        <f t="shared" si="198"/>
        <v>0</v>
      </c>
      <c r="N609" s="6">
        <f t="shared" si="199"/>
        <v>0</v>
      </c>
      <c r="O609" s="6">
        <f t="shared" si="200"/>
        <v>0</v>
      </c>
      <c r="P609" s="6">
        <f t="shared" si="201"/>
        <v>0</v>
      </c>
      <c r="Q609" s="6">
        <f t="shared" si="202"/>
        <v>0</v>
      </c>
      <c r="R609" s="6">
        <f t="shared" si="203"/>
        <v>0</v>
      </c>
      <c r="S609" s="6">
        <f t="shared" si="204"/>
        <v>0</v>
      </c>
      <c r="T609" s="6">
        <f t="shared" si="205"/>
        <v>0</v>
      </c>
      <c r="U609" s="6">
        <f t="shared" si="206"/>
        <v>0</v>
      </c>
      <c r="V609" s="6">
        <f t="shared" si="207"/>
        <v>0</v>
      </c>
      <c r="W609" s="6">
        <f t="shared" si="208"/>
        <v>0</v>
      </c>
      <c r="X609" s="6">
        <f t="shared" si="209"/>
        <v>0</v>
      </c>
      <c r="Y609" s="6">
        <f t="shared" si="210"/>
        <v>0</v>
      </c>
      <c r="AA609" s="6" t="str">
        <f>IF(最佳化斷筋點!C609="","",最佳化斷筋點!C609)</f>
        <v>下層</v>
      </c>
      <c r="AB609" s="6">
        <f>IF(最佳化斷筋點!D609="","",最佳化斷筋點!D609)</f>
        <v>5</v>
      </c>
      <c r="AC609" s="6">
        <f>IF(最佳化斷筋點!E609="","",最佳化斷筋點!E609)</f>
        <v>5</v>
      </c>
      <c r="AD609" s="6">
        <f>IF(最佳化斷筋點!F609="","",最佳化斷筋點!F609)</f>
        <v>4</v>
      </c>
      <c r="AE609" s="6">
        <f>IF(最佳化斷筋點!G609="","",最佳化斷筋點!G609)</f>
        <v>4</v>
      </c>
      <c r="AF609" s="6">
        <f>IF(最佳化斷筋點!H609="","",最佳化斷筋點!H609)</f>
        <v>4</v>
      </c>
      <c r="AG609" s="6">
        <f>IF(最佳化斷筋點!I609="","",最佳化斷筋點!I609)</f>
        <v>4</v>
      </c>
      <c r="AH609" s="6">
        <f>IF(最佳化斷筋點!J609="","",最佳化斷筋點!J609)</f>
        <v>5</v>
      </c>
      <c r="AI609" s="6">
        <f>IF(最佳化斷筋點!K609="","",最佳化斷筋點!K609)</f>
        <v>5</v>
      </c>
      <c r="AJ609" s="6">
        <f>IF(最佳化斷筋點!L609="","",最佳化斷筋點!L609)</f>
        <v>5</v>
      </c>
      <c r="AK609" s="6">
        <f>IF(最佳化斷筋點!M609="","",最佳化斷筋點!M609)</f>
        <v>5</v>
      </c>
      <c r="AL609" s="6">
        <f>IF(最佳化斷筋點!N609="","",最佳化斷筋點!N609)</f>
        <v>5</v>
      </c>
      <c r="AM609" s="6">
        <f>IF(最佳化斷筋點!O609="","",最佳化斷筋點!O609)</f>
        <v>5</v>
      </c>
      <c r="AN609" s="6">
        <f>IF(最佳化斷筋點!P609="","",最佳化斷筋點!P609)</f>
        <v>5</v>
      </c>
      <c r="AO609" s="6">
        <f>IF(最佳化斷筋點!Q609="","",最佳化斷筋點!Q609)</f>
        <v>5</v>
      </c>
      <c r="AP609" s="6">
        <f>IF(最佳化斷筋點!R609="","",最佳化斷筋點!R609)</f>
        <v>5</v>
      </c>
      <c r="AQ609" s="6">
        <f>IF(最佳化斷筋點!S609="","",最佳化斷筋點!S609)</f>
        <v>4</v>
      </c>
      <c r="AR609" s="6">
        <f>IF(最佳化斷筋點!T609="","",最佳化斷筋點!T609)</f>
        <v>4</v>
      </c>
      <c r="AS609" s="6">
        <f>IF(最佳化斷筋點!U609="","",最佳化斷筋點!U609)</f>
        <v>4</v>
      </c>
      <c r="AT609" s="6">
        <f>IF(最佳化斷筋點!V609="","",最佳化斷筋點!V609)</f>
        <v>4</v>
      </c>
      <c r="AU609" s="6">
        <f>IF(最佳化斷筋點!W609="","",最佳化斷筋點!W609)</f>
        <v>5</v>
      </c>
      <c r="AV609" s="6">
        <f>IF(最佳化斷筋點!X609="","",最佳化斷筋點!X609)</f>
        <v>5</v>
      </c>
      <c r="AX609" s="6" t="s">
        <v>51</v>
      </c>
      <c r="AY609" s="6">
        <v>5</v>
      </c>
      <c r="AZ609" s="6">
        <v>5</v>
      </c>
      <c r="BA609" s="6">
        <v>4</v>
      </c>
      <c r="BB609" s="6">
        <v>4</v>
      </c>
      <c r="BC609" s="6">
        <v>4</v>
      </c>
      <c r="BD609" s="6">
        <v>4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4</v>
      </c>
      <c r="BO609" s="6">
        <v>4</v>
      </c>
      <c r="BP609" s="6">
        <v>4</v>
      </c>
      <c r="BQ609" s="6">
        <v>4</v>
      </c>
      <c r="BR609" s="6">
        <v>5</v>
      </c>
      <c r="BS609" s="6">
        <v>5</v>
      </c>
    </row>
    <row r="610" spans="4:71" x14ac:dyDescent="0.25">
      <c r="E610" s="6">
        <f t="shared" si="190"/>
        <v>0</v>
      </c>
      <c r="F610" s="6">
        <f t="shared" si="191"/>
        <v>0</v>
      </c>
      <c r="G610" s="6">
        <f t="shared" si="192"/>
        <v>0</v>
      </c>
      <c r="H610" s="6">
        <f t="shared" si="193"/>
        <v>0</v>
      </c>
      <c r="I610" s="6">
        <f t="shared" si="194"/>
        <v>0</v>
      </c>
      <c r="J610" s="6">
        <f t="shared" si="195"/>
        <v>0</v>
      </c>
      <c r="K610" s="6">
        <f t="shared" si="196"/>
        <v>0</v>
      </c>
      <c r="L610" s="6">
        <f t="shared" si="197"/>
        <v>0</v>
      </c>
      <c r="M610" s="6">
        <f t="shared" si="198"/>
        <v>0</v>
      </c>
      <c r="N610" s="6">
        <f t="shared" si="199"/>
        <v>0</v>
      </c>
      <c r="O610" s="6">
        <f t="shared" si="200"/>
        <v>0</v>
      </c>
      <c r="P610" s="6">
        <f t="shared" si="201"/>
        <v>0</v>
      </c>
      <c r="Q610" s="6">
        <f t="shared" si="202"/>
        <v>0</v>
      </c>
      <c r="R610" s="6">
        <f t="shared" si="203"/>
        <v>0</v>
      </c>
      <c r="S610" s="6">
        <f t="shared" si="204"/>
        <v>0</v>
      </c>
      <c r="T610" s="6">
        <f t="shared" si="205"/>
        <v>0</v>
      </c>
      <c r="U610" s="6">
        <f t="shared" si="206"/>
        <v>0</v>
      </c>
      <c r="V610" s="6">
        <f t="shared" si="207"/>
        <v>0</v>
      </c>
      <c r="W610" s="6">
        <f t="shared" si="208"/>
        <v>0</v>
      </c>
      <c r="X610" s="6">
        <f t="shared" si="209"/>
        <v>0</v>
      </c>
      <c r="Y610" s="6">
        <f t="shared" si="210"/>
        <v>0</v>
      </c>
      <c r="AA610" s="6" t="str">
        <f>IF(最佳化斷筋點!C610="","",最佳化斷筋點!C610)</f>
        <v/>
      </c>
      <c r="AB610" s="6" t="str">
        <f>IF(最佳化斷筋點!D610="","",最佳化斷筋點!D610)</f>
        <v/>
      </c>
      <c r="AC610" s="6" t="str">
        <f>IF(最佳化斷筋點!E610="","",最佳化斷筋點!E610)</f>
        <v/>
      </c>
      <c r="AD610" s="6" t="str">
        <f>IF(最佳化斷筋點!F610="","",最佳化斷筋點!F610)</f>
        <v/>
      </c>
      <c r="AE610" s="6" t="str">
        <f>IF(最佳化斷筋點!G610="","",最佳化斷筋點!G610)</f>
        <v/>
      </c>
      <c r="AF610" s="6" t="str">
        <f>IF(最佳化斷筋點!H610="","",最佳化斷筋點!H610)</f>
        <v/>
      </c>
      <c r="AG610" s="6" t="str">
        <f>IF(最佳化斷筋點!I610="","",最佳化斷筋點!I610)</f>
        <v/>
      </c>
      <c r="AH610" s="6" t="str">
        <f>IF(最佳化斷筋點!J610="","",最佳化斷筋點!J610)</f>
        <v/>
      </c>
      <c r="AI610" s="6" t="str">
        <f>IF(最佳化斷筋點!K610="","",最佳化斷筋點!K610)</f>
        <v/>
      </c>
      <c r="AJ610" s="6" t="str">
        <f>IF(最佳化斷筋點!L610="","",最佳化斷筋點!L610)</f>
        <v/>
      </c>
      <c r="AK610" s="6" t="str">
        <f>IF(最佳化斷筋點!M610="","",最佳化斷筋點!M610)</f>
        <v/>
      </c>
      <c r="AL610" s="6" t="str">
        <f>IF(最佳化斷筋點!N610="","",最佳化斷筋點!N610)</f>
        <v/>
      </c>
      <c r="AM610" s="6" t="str">
        <f>IF(最佳化斷筋點!O610="","",最佳化斷筋點!O610)</f>
        <v/>
      </c>
      <c r="AN610" s="6" t="str">
        <f>IF(最佳化斷筋點!P610="","",最佳化斷筋點!P610)</f>
        <v/>
      </c>
      <c r="AO610" s="6" t="str">
        <f>IF(最佳化斷筋點!Q610="","",最佳化斷筋點!Q610)</f>
        <v/>
      </c>
      <c r="AP610" s="6" t="str">
        <f>IF(最佳化斷筋點!R610="","",最佳化斷筋點!R610)</f>
        <v/>
      </c>
      <c r="AQ610" s="6" t="str">
        <f>IF(最佳化斷筋點!S610="","",最佳化斷筋點!S610)</f>
        <v/>
      </c>
      <c r="AR610" s="6" t="str">
        <f>IF(最佳化斷筋點!T610="","",最佳化斷筋點!T610)</f>
        <v/>
      </c>
      <c r="AS610" s="6" t="str">
        <f>IF(最佳化斷筋點!U610="","",最佳化斷筋點!U610)</f>
        <v/>
      </c>
      <c r="AT610" s="6" t="str">
        <f>IF(最佳化斷筋點!V610="","",最佳化斷筋點!V610)</f>
        <v/>
      </c>
      <c r="AU610" s="6" t="str">
        <f>IF(最佳化斷筋點!W610="","",最佳化斷筋點!W610)</f>
        <v/>
      </c>
      <c r="AV610" s="6" t="str">
        <f>IF(最佳化斷筋點!X610="","",最佳化斷筋點!X610)</f>
        <v/>
      </c>
    </row>
    <row r="611" spans="4:71" x14ac:dyDescent="0.25">
      <c r="D611" s="6" t="s">
        <v>50</v>
      </c>
      <c r="E611" s="6">
        <f t="shared" si="190"/>
        <v>0</v>
      </c>
      <c r="F611" s="6">
        <f t="shared" si="191"/>
        <v>0</v>
      </c>
      <c r="G611" s="6">
        <f t="shared" si="192"/>
        <v>0</v>
      </c>
      <c r="H611" s="6">
        <f t="shared" si="193"/>
        <v>0</v>
      </c>
      <c r="I611" s="6">
        <f t="shared" si="194"/>
        <v>0</v>
      </c>
      <c r="J611" s="6">
        <f t="shared" si="195"/>
        <v>0</v>
      </c>
      <c r="K611" s="6">
        <f t="shared" si="196"/>
        <v>0</v>
      </c>
      <c r="L611" s="6">
        <f t="shared" si="197"/>
        <v>0</v>
      </c>
      <c r="M611" s="6">
        <f t="shared" si="198"/>
        <v>0</v>
      </c>
      <c r="N611" s="6">
        <f t="shared" si="199"/>
        <v>0</v>
      </c>
      <c r="O611" s="6">
        <f t="shared" si="200"/>
        <v>0</v>
      </c>
      <c r="P611" s="6">
        <f t="shared" si="201"/>
        <v>0</v>
      </c>
      <c r="Q611" s="6">
        <f t="shared" si="202"/>
        <v>0</v>
      </c>
      <c r="R611" s="6">
        <f t="shared" si="203"/>
        <v>0</v>
      </c>
      <c r="S611" s="6">
        <f t="shared" si="204"/>
        <v>0</v>
      </c>
      <c r="T611" s="6">
        <f t="shared" si="205"/>
        <v>0</v>
      </c>
      <c r="U611" s="6">
        <f t="shared" si="206"/>
        <v>0</v>
      </c>
      <c r="V611" s="6">
        <f t="shared" si="207"/>
        <v>0</v>
      </c>
      <c r="W611" s="6">
        <f t="shared" si="208"/>
        <v>0</v>
      </c>
      <c r="X611" s="6">
        <f t="shared" si="209"/>
        <v>0</v>
      </c>
      <c r="Y611" s="6">
        <f t="shared" si="210"/>
        <v>0</v>
      </c>
      <c r="AA611" s="6" t="str">
        <f>IF(最佳化斷筋點!C611="","",最佳化斷筋點!C611)</f>
        <v>上層</v>
      </c>
      <c r="AB611" s="6">
        <f>IF(最佳化斷筋點!D611="","",最佳化斷筋點!D611)</f>
        <v>3</v>
      </c>
      <c r="AC611" s="6">
        <f>IF(最佳化斷筋點!E611="","",最佳化斷筋點!E611)</f>
        <v>3</v>
      </c>
      <c r="AD611" s="6">
        <f>IF(最佳化斷筋點!F611="","",最佳化斷筋點!F611)</f>
        <v>3</v>
      </c>
      <c r="AE611" s="6">
        <f>IF(最佳化斷筋點!G611="","",最佳化斷筋點!G611)</f>
        <v>3</v>
      </c>
      <c r="AF611" s="6">
        <f>IF(最佳化斷筋點!H611="","",最佳化斷筋點!H611)</f>
        <v>2</v>
      </c>
      <c r="AG611" s="6">
        <f>IF(最佳化斷筋點!I611="","",最佳化斷筋點!I611)</f>
        <v>2</v>
      </c>
      <c r="AH611" s="6">
        <f>IF(最佳化斷筋點!J611="","",最佳化斷筋點!J611)</f>
        <v>2</v>
      </c>
      <c r="AI611" s="6">
        <f>IF(最佳化斷筋點!K611="","",最佳化斷筋點!K611)</f>
        <v>2</v>
      </c>
      <c r="AJ611" s="6">
        <f>IF(最佳化斷筋點!L611="","",最佳化斷筋點!L611)</f>
        <v>2</v>
      </c>
      <c r="AK611" s="6">
        <f>IF(最佳化斷筋點!M611="","",最佳化斷筋點!M611)</f>
        <v>2</v>
      </c>
      <c r="AL611" s="6">
        <f>IF(最佳化斷筋點!N611="","",最佳化斷筋點!N611)</f>
        <v>2</v>
      </c>
      <c r="AM611" s="6">
        <f>IF(最佳化斷筋點!O611="","",最佳化斷筋點!O611)</f>
        <v>2</v>
      </c>
      <c r="AN611" s="6">
        <f>IF(最佳化斷筋點!P611="","",最佳化斷筋點!P611)</f>
        <v>2</v>
      </c>
      <c r="AO611" s="6">
        <f>IF(最佳化斷筋點!Q611="","",最佳化斷筋點!Q611)</f>
        <v>2</v>
      </c>
      <c r="AP611" s="6">
        <f>IF(最佳化斷筋點!R611="","",最佳化斷筋點!R611)</f>
        <v>3</v>
      </c>
      <c r="AQ611" s="6">
        <f>IF(最佳化斷筋點!S611="","",最佳化斷筋點!S611)</f>
        <v>3</v>
      </c>
      <c r="AR611" s="6">
        <f>IF(最佳化斷筋點!T611="","",最佳化斷筋點!T611)</f>
        <v>4</v>
      </c>
      <c r="AS611" s="6">
        <f>IF(最佳化斷筋點!U611="","",最佳化斷筋點!U611)</f>
        <v>5</v>
      </c>
      <c r="AT611" s="6">
        <f>IF(最佳化斷筋點!V611="","",最佳化斷筋點!V611)</f>
        <v>5</v>
      </c>
      <c r="AU611" s="6">
        <f>IF(最佳化斷筋點!W611="","",最佳化斷筋點!W611)</f>
        <v>6</v>
      </c>
      <c r="AV611" s="6">
        <f>IF(最佳化斷筋點!X611="","",最佳化斷筋點!X611)</f>
        <v>6</v>
      </c>
      <c r="AX611" s="6" t="s">
        <v>50</v>
      </c>
      <c r="AY611" s="6">
        <v>3</v>
      </c>
      <c r="AZ611" s="6">
        <v>3</v>
      </c>
      <c r="BA611" s="6">
        <v>3</v>
      </c>
      <c r="BB611" s="6">
        <v>3</v>
      </c>
      <c r="BC611" s="6">
        <v>2</v>
      </c>
      <c r="BD611" s="6">
        <v>2</v>
      </c>
      <c r="BE611" s="6">
        <v>2</v>
      </c>
      <c r="BF611" s="6">
        <v>2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2</v>
      </c>
      <c r="BM611" s="6">
        <v>3</v>
      </c>
      <c r="BN611" s="6">
        <v>3</v>
      </c>
      <c r="BO611" s="6">
        <v>4</v>
      </c>
      <c r="BP611" s="6">
        <v>5</v>
      </c>
      <c r="BQ611" s="6">
        <v>5</v>
      </c>
      <c r="BR611" s="6">
        <v>6</v>
      </c>
      <c r="BS611" s="6">
        <v>6</v>
      </c>
    </row>
    <row r="612" spans="4:71" x14ac:dyDescent="0.25">
      <c r="E612" s="6">
        <f t="shared" si="190"/>
        <v>0</v>
      </c>
      <c r="F612" s="6">
        <f t="shared" si="191"/>
        <v>0</v>
      </c>
      <c r="G612" s="6">
        <f t="shared" si="192"/>
        <v>0</v>
      </c>
      <c r="H612" s="6">
        <f t="shared" si="193"/>
        <v>0</v>
      </c>
      <c r="I612" s="6">
        <f t="shared" si="194"/>
        <v>0</v>
      </c>
      <c r="J612" s="6">
        <f t="shared" si="195"/>
        <v>0</v>
      </c>
      <c r="K612" s="6">
        <f t="shared" si="196"/>
        <v>0</v>
      </c>
      <c r="L612" s="6">
        <f t="shared" si="197"/>
        <v>0</v>
      </c>
      <c r="M612" s="6">
        <f t="shared" si="198"/>
        <v>0</v>
      </c>
      <c r="N612" s="6">
        <f t="shared" si="199"/>
        <v>0</v>
      </c>
      <c r="O612" s="6">
        <f t="shared" si="200"/>
        <v>0</v>
      </c>
      <c r="P612" s="6">
        <f t="shared" si="201"/>
        <v>0</v>
      </c>
      <c r="Q612" s="6">
        <f t="shared" si="202"/>
        <v>0</v>
      </c>
      <c r="R612" s="6">
        <f t="shared" si="203"/>
        <v>0</v>
      </c>
      <c r="S612" s="6">
        <f t="shared" si="204"/>
        <v>0</v>
      </c>
      <c r="T612" s="6">
        <f t="shared" si="205"/>
        <v>0</v>
      </c>
      <c r="U612" s="6">
        <f t="shared" si="206"/>
        <v>0</v>
      </c>
      <c r="V612" s="6">
        <f t="shared" si="207"/>
        <v>0</v>
      </c>
      <c r="W612" s="6">
        <f t="shared" si="208"/>
        <v>0</v>
      </c>
      <c r="X612" s="6">
        <f t="shared" si="209"/>
        <v>0</v>
      </c>
      <c r="Y612" s="6">
        <f t="shared" si="210"/>
        <v>0</v>
      </c>
      <c r="AA612" s="6" t="str">
        <f>IF(最佳化斷筋點!C612="","",最佳化斷筋點!C612)</f>
        <v/>
      </c>
      <c r="AB612" s="6" t="str">
        <f>IF(最佳化斷筋點!D612="","",最佳化斷筋點!D612)</f>
        <v/>
      </c>
      <c r="AC612" s="6" t="str">
        <f>IF(最佳化斷筋點!E612="","",最佳化斷筋點!E612)</f>
        <v/>
      </c>
      <c r="AD612" s="6" t="str">
        <f>IF(最佳化斷筋點!F612="","",最佳化斷筋點!F612)</f>
        <v/>
      </c>
      <c r="AE612" s="6" t="str">
        <f>IF(最佳化斷筋點!G612="","",最佳化斷筋點!G612)</f>
        <v/>
      </c>
      <c r="AF612" s="6" t="str">
        <f>IF(最佳化斷筋點!H612="","",最佳化斷筋點!H612)</f>
        <v/>
      </c>
      <c r="AG612" s="6" t="str">
        <f>IF(最佳化斷筋點!I612="","",最佳化斷筋點!I612)</f>
        <v/>
      </c>
      <c r="AH612" s="6" t="str">
        <f>IF(最佳化斷筋點!J612="","",最佳化斷筋點!J612)</f>
        <v/>
      </c>
      <c r="AI612" s="6" t="str">
        <f>IF(最佳化斷筋點!K612="","",最佳化斷筋點!K612)</f>
        <v/>
      </c>
      <c r="AJ612" s="6" t="str">
        <f>IF(最佳化斷筋點!L612="","",最佳化斷筋點!L612)</f>
        <v/>
      </c>
      <c r="AK612" s="6" t="str">
        <f>IF(最佳化斷筋點!M612="","",最佳化斷筋點!M612)</f>
        <v/>
      </c>
      <c r="AL612" s="6" t="str">
        <f>IF(最佳化斷筋點!N612="","",最佳化斷筋點!N612)</f>
        <v/>
      </c>
      <c r="AM612" s="6" t="str">
        <f>IF(最佳化斷筋點!O612="","",最佳化斷筋點!O612)</f>
        <v/>
      </c>
      <c r="AN612" s="6" t="str">
        <f>IF(最佳化斷筋點!P612="","",最佳化斷筋點!P612)</f>
        <v/>
      </c>
      <c r="AO612" s="6" t="str">
        <f>IF(最佳化斷筋點!Q612="","",最佳化斷筋點!Q612)</f>
        <v/>
      </c>
      <c r="AP612" s="6" t="str">
        <f>IF(最佳化斷筋點!R612="","",最佳化斷筋點!R612)</f>
        <v/>
      </c>
      <c r="AQ612" s="6" t="str">
        <f>IF(最佳化斷筋點!S612="","",最佳化斷筋點!S612)</f>
        <v/>
      </c>
      <c r="AR612" s="6" t="str">
        <f>IF(最佳化斷筋點!T612="","",最佳化斷筋點!T612)</f>
        <v/>
      </c>
      <c r="AS612" s="6" t="str">
        <f>IF(最佳化斷筋點!U612="","",最佳化斷筋點!U612)</f>
        <v/>
      </c>
      <c r="AT612" s="6" t="str">
        <f>IF(最佳化斷筋點!V612="","",最佳化斷筋點!V612)</f>
        <v/>
      </c>
      <c r="AU612" s="6" t="str">
        <f>IF(最佳化斷筋點!W612="","",最佳化斷筋點!W612)</f>
        <v/>
      </c>
      <c r="AV612" s="6" t="str">
        <f>IF(最佳化斷筋點!X612="","",最佳化斷筋點!X612)</f>
        <v/>
      </c>
    </row>
    <row r="613" spans="4:71" x14ac:dyDescent="0.25">
      <c r="D613" s="6" t="s">
        <v>51</v>
      </c>
      <c r="E613" s="6">
        <f t="shared" si="190"/>
        <v>0</v>
      </c>
      <c r="F613" s="6">
        <f t="shared" si="191"/>
        <v>0</v>
      </c>
      <c r="G613" s="6">
        <f t="shared" si="192"/>
        <v>0</v>
      </c>
      <c r="H613" s="6">
        <f t="shared" si="193"/>
        <v>0</v>
      </c>
      <c r="I613" s="6">
        <f t="shared" si="194"/>
        <v>0</v>
      </c>
      <c r="J613" s="6">
        <f t="shared" si="195"/>
        <v>0</v>
      </c>
      <c r="K613" s="6">
        <f t="shared" si="196"/>
        <v>0</v>
      </c>
      <c r="L613" s="6">
        <f t="shared" si="197"/>
        <v>0</v>
      </c>
      <c r="M613" s="6">
        <f t="shared" si="198"/>
        <v>0</v>
      </c>
      <c r="N613" s="6">
        <f t="shared" si="199"/>
        <v>0</v>
      </c>
      <c r="O613" s="6">
        <f t="shared" si="200"/>
        <v>0</v>
      </c>
      <c r="P613" s="6">
        <f t="shared" si="201"/>
        <v>0</v>
      </c>
      <c r="Q613" s="6">
        <f t="shared" si="202"/>
        <v>0</v>
      </c>
      <c r="R613" s="6">
        <f t="shared" si="203"/>
        <v>0</v>
      </c>
      <c r="S613" s="6">
        <f t="shared" si="204"/>
        <v>0</v>
      </c>
      <c r="T613" s="6">
        <f t="shared" si="205"/>
        <v>0</v>
      </c>
      <c r="U613" s="6">
        <f t="shared" si="206"/>
        <v>0</v>
      </c>
      <c r="V613" s="6">
        <f t="shared" si="207"/>
        <v>0</v>
      </c>
      <c r="W613" s="6">
        <f t="shared" si="208"/>
        <v>0</v>
      </c>
      <c r="X613" s="6">
        <f t="shared" si="209"/>
        <v>0</v>
      </c>
      <c r="Y613" s="6">
        <f t="shared" si="210"/>
        <v>0</v>
      </c>
      <c r="AA613" s="6" t="str">
        <f>IF(最佳化斷筋點!C613="","",最佳化斷筋點!C613)</f>
        <v>下層</v>
      </c>
      <c r="AB613" s="6">
        <f>IF(最佳化斷筋點!D613="","",最佳化斷筋點!D613)</f>
        <v>4</v>
      </c>
      <c r="AC613" s="6">
        <f>IF(最佳化斷筋點!E613="","",最佳化斷筋點!E613)</f>
        <v>4</v>
      </c>
      <c r="AD613" s="6">
        <f>IF(最佳化斷筋點!F613="","",最佳化斷筋點!F613)</f>
        <v>4</v>
      </c>
      <c r="AE613" s="6">
        <f>IF(最佳化斷筋點!G613="","",最佳化斷筋點!G613)</f>
        <v>3</v>
      </c>
      <c r="AF613" s="6">
        <f>IF(最佳化斷筋點!H613="","",最佳化斷筋點!H613)</f>
        <v>4</v>
      </c>
      <c r="AG613" s="6">
        <f>IF(最佳化斷筋點!I613="","",最佳化斷筋點!I613)</f>
        <v>4</v>
      </c>
      <c r="AH613" s="6">
        <f>IF(最佳化斷筋點!J613="","",最佳化斷筋點!J613)</f>
        <v>5</v>
      </c>
      <c r="AI613" s="6">
        <f>IF(最佳化斷筋點!K613="","",最佳化斷筋點!K613)</f>
        <v>5</v>
      </c>
      <c r="AJ613" s="6">
        <f>IF(最佳化斷筋點!L613="","",最佳化斷筋點!L613)</f>
        <v>5</v>
      </c>
      <c r="AK613" s="6">
        <f>IF(最佳化斷筋點!M613="","",最佳化斷筋點!M613)</f>
        <v>5</v>
      </c>
      <c r="AL613" s="6">
        <f>IF(最佳化斷筋點!N613="","",最佳化斷筋點!N613)</f>
        <v>5</v>
      </c>
      <c r="AM613" s="6">
        <f>IF(最佳化斷筋點!O613="","",最佳化斷筋點!O613)</f>
        <v>5</v>
      </c>
      <c r="AN613" s="6">
        <f>IF(最佳化斷筋點!P613="","",最佳化斷筋點!P613)</f>
        <v>5</v>
      </c>
      <c r="AO613" s="6">
        <f>IF(最佳化斷筋點!Q613="","",最佳化斷筋點!Q613)</f>
        <v>5</v>
      </c>
      <c r="AP613" s="6">
        <f>IF(最佳化斷筋點!R613="","",最佳化斷筋點!R613)</f>
        <v>5</v>
      </c>
      <c r="AQ613" s="6">
        <f>IF(最佳化斷筋點!S613="","",最佳化斷筋點!S613)</f>
        <v>4</v>
      </c>
      <c r="AR613" s="6">
        <f>IF(最佳化斷筋點!T613="","",最佳化斷筋點!T613)</f>
        <v>4</v>
      </c>
      <c r="AS613" s="6">
        <f>IF(最佳化斷筋點!U613="","",最佳化斷筋點!U613)</f>
        <v>3</v>
      </c>
      <c r="AT613" s="6">
        <f>IF(最佳化斷筋點!V613="","",最佳化斷筋點!V613)</f>
        <v>3</v>
      </c>
      <c r="AU613" s="6">
        <f>IF(最佳化斷筋點!W613="","",最佳化斷筋點!W613)</f>
        <v>3</v>
      </c>
      <c r="AV613" s="6">
        <f>IF(最佳化斷筋點!X613="","",最佳化斷筋點!X613)</f>
        <v>3</v>
      </c>
      <c r="AX613" s="6" t="s">
        <v>51</v>
      </c>
      <c r="AY613" s="6">
        <v>4</v>
      </c>
      <c r="AZ613" s="6">
        <v>4</v>
      </c>
      <c r="BA613" s="6">
        <v>4</v>
      </c>
      <c r="BB613" s="6">
        <v>3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4</v>
      </c>
      <c r="BO613" s="6">
        <v>4</v>
      </c>
      <c r="BP613" s="6">
        <v>3</v>
      </c>
      <c r="BQ613" s="6">
        <v>3</v>
      </c>
      <c r="BR613" s="6">
        <v>3</v>
      </c>
      <c r="BS613" s="6">
        <v>3</v>
      </c>
    </row>
    <row r="614" spans="4:71" x14ac:dyDescent="0.25">
      <c r="E614" s="6">
        <f t="shared" si="190"/>
        <v>0</v>
      </c>
      <c r="F614" s="6">
        <f t="shared" si="191"/>
        <v>0</v>
      </c>
      <c r="G614" s="6">
        <f t="shared" si="192"/>
        <v>0</v>
      </c>
      <c r="H614" s="6">
        <f t="shared" si="193"/>
        <v>0</v>
      </c>
      <c r="I614" s="6">
        <f t="shared" si="194"/>
        <v>0</v>
      </c>
      <c r="J614" s="6">
        <f t="shared" si="195"/>
        <v>0</v>
      </c>
      <c r="K614" s="6">
        <f t="shared" si="196"/>
        <v>0</v>
      </c>
      <c r="L614" s="6">
        <f t="shared" si="197"/>
        <v>0</v>
      </c>
      <c r="M614" s="6">
        <f t="shared" si="198"/>
        <v>0</v>
      </c>
      <c r="N614" s="6">
        <f t="shared" si="199"/>
        <v>0</v>
      </c>
      <c r="O614" s="6">
        <f t="shared" si="200"/>
        <v>0</v>
      </c>
      <c r="P614" s="6">
        <f t="shared" si="201"/>
        <v>0</v>
      </c>
      <c r="Q614" s="6">
        <f t="shared" si="202"/>
        <v>0</v>
      </c>
      <c r="R614" s="6">
        <f t="shared" si="203"/>
        <v>0</v>
      </c>
      <c r="S614" s="6">
        <f t="shared" si="204"/>
        <v>0</v>
      </c>
      <c r="T614" s="6">
        <f t="shared" si="205"/>
        <v>0</v>
      </c>
      <c r="U614" s="6">
        <f t="shared" si="206"/>
        <v>0</v>
      </c>
      <c r="V614" s="6">
        <f t="shared" si="207"/>
        <v>0</v>
      </c>
      <c r="W614" s="6">
        <f t="shared" si="208"/>
        <v>0</v>
      </c>
      <c r="X614" s="6">
        <f t="shared" si="209"/>
        <v>0</v>
      </c>
      <c r="Y614" s="6">
        <f t="shared" si="210"/>
        <v>0</v>
      </c>
      <c r="AA614" s="6" t="str">
        <f>IF(最佳化斷筋點!C614="","",最佳化斷筋點!C614)</f>
        <v/>
      </c>
      <c r="AB614" s="6" t="str">
        <f>IF(最佳化斷筋點!D614="","",最佳化斷筋點!D614)</f>
        <v/>
      </c>
      <c r="AC614" s="6" t="str">
        <f>IF(最佳化斷筋點!E614="","",最佳化斷筋點!E614)</f>
        <v/>
      </c>
      <c r="AD614" s="6" t="str">
        <f>IF(最佳化斷筋點!F614="","",最佳化斷筋點!F614)</f>
        <v/>
      </c>
      <c r="AE614" s="6" t="str">
        <f>IF(最佳化斷筋點!G614="","",最佳化斷筋點!G614)</f>
        <v/>
      </c>
      <c r="AF614" s="6" t="str">
        <f>IF(最佳化斷筋點!H614="","",最佳化斷筋點!H614)</f>
        <v/>
      </c>
      <c r="AG614" s="6" t="str">
        <f>IF(最佳化斷筋點!I614="","",最佳化斷筋點!I614)</f>
        <v/>
      </c>
      <c r="AH614" s="6" t="str">
        <f>IF(最佳化斷筋點!J614="","",最佳化斷筋點!J614)</f>
        <v/>
      </c>
      <c r="AI614" s="6" t="str">
        <f>IF(最佳化斷筋點!K614="","",最佳化斷筋點!K614)</f>
        <v/>
      </c>
      <c r="AJ614" s="6" t="str">
        <f>IF(最佳化斷筋點!L614="","",最佳化斷筋點!L614)</f>
        <v/>
      </c>
      <c r="AK614" s="6" t="str">
        <f>IF(最佳化斷筋點!M614="","",最佳化斷筋點!M614)</f>
        <v/>
      </c>
      <c r="AL614" s="6" t="str">
        <f>IF(最佳化斷筋點!N614="","",最佳化斷筋點!N614)</f>
        <v/>
      </c>
      <c r="AM614" s="6" t="str">
        <f>IF(最佳化斷筋點!O614="","",最佳化斷筋點!O614)</f>
        <v/>
      </c>
      <c r="AN614" s="6" t="str">
        <f>IF(最佳化斷筋點!P614="","",最佳化斷筋點!P614)</f>
        <v/>
      </c>
      <c r="AO614" s="6" t="str">
        <f>IF(最佳化斷筋點!Q614="","",最佳化斷筋點!Q614)</f>
        <v/>
      </c>
      <c r="AP614" s="6" t="str">
        <f>IF(最佳化斷筋點!R614="","",最佳化斷筋點!R614)</f>
        <v/>
      </c>
      <c r="AQ614" s="6" t="str">
        <f>IF(最佳化斷筋點!S614="","",最佳化斷筋點!S614)</f>
        <v/>
      </c>
      <c r="AR614" s="6" t="str">
        <f>IF(最佳化斷筋點!T614="","",最佳化斷筋點!T614)</f>
        <v/>
      </c>
      <c r="AS614" s="6" t="str">
        <f>IF(最佳化斷筋點!U614="","",最佳化斷筋點!U614)</f>
        <v/>
      </c>
      <c r="AT614" s="6" t="str">
        <f>IF(最佳化斷筋點!V614="","",最佳化斷筋點!V614)</f>
        <v/>
      </c>
      <c r="AU614" s="6" t="str">
        <f>IF(最佳化斷筋點!W614="","",最佳化斷筋點!W614)</f>
        <v/>
      </c>
      <c r="AV614" s="6" t="str">
        <f>IF(最佳化斷筋點!X614="","",最佳化斷筋點!X614)</f>
        <v/>
      </c>
    </row>
    <row r="615" spans="4:71" x14ac:dyDescent="0.25">
      <c r="D615" s="6" t="s">
        <v>50</v>
      </c>
      <c r="E615" s="6">
        <f t="shared" si="190"/>
        <v>0</v>
      </c>
      <c r="F615" s="6">
        <f t="shared" si="191"/>
        <v>0</v>
      </c>
      <c r="G615" s="6">
        <f t="shared" si="192"/>
        <v>0</v>
      </c>
      <c r="H615" s="6">
        <f t="shared" si="193"/>
        <v>0</v>
      </c>
      <c r="I615" s="6">
        <f t="shared" si="194"/>
        <v>0</v>
      </c>
      <c r="J615" s="6">
        <f t="shared" si="195"/>
        <v>0</v>
      </c>
      <c r="K615" s="6">
        <f t="shared" si="196"/>
        <v>0</v>
      </c>
      <c r="L615" s="6">
        <f t="shared" si="197"/>
        <v>0</v>
      </c>
      <c r="M615" s="6">
        <f t="shared" si="198"/>
        <v>0</v>
      </c>
      <c r="N615" s="6">
        <f t="shared" si="199"/>
        <v>0</v>
      </c>
      <c r="O615" s="6">
        <f t="shared" si="200"/>
        <v>0</v>
      </c>
      <c r="P615" s="6">
        <f t="shared" si="201"/>
        <v>0</v>
      </c>
      <c r="Q615" s="6">
        <f t="shared" si="202"/>
        <v>0</v>
      </c>
      <c r="R615" s="6">
        <f t="shared" si="203"/>
        <v>0</v>
      </c>
      <c r="S615" s="6">
        <f t="shared" si="204"/>
        <v>0</v>
      </c>
      <c r="T615" s="6">
        <f t="shared" si="205"/>
        <v>0</v>
      </c>
      <c r="U615" s="6">
        <f t="shared" si="206"/>
        <v>0</v>
      </c>
      <c r="V615" s="6">
        <f t="shared" si="207"/>
        <v>0</v>
      </c>
      <c r="W615" s="6">
        <f t="shared" si="208"/>
        <v>0</v>
      </c>
      <c r="X615" s="6">
        <f t="shared" si="209"/>
        <v>0</v>
      </c>
      <c r="Y615" s="6">
        <f t="shared" si="210"/>
        <v>0</v>
      </c>
      <c r="AA615" s="6" t="str">
        <f>IF(最佳化斷筋點!C615="","",最佳化斷筋點!C615)</f>
        <v>上層</v>
      </c>
      <c r="AB615" s="6">
        <f>IF(最佳化斷筋點!D615="","",最佳化斷筋點!D615)</f>
        <v>6</v>
      </c>
      <c r="AC615" s="6">
        <f>IF(最佳化斷筋點!E615="","",最佳化斷筋點!E615)</f>
        <v>6</v>
      </c>
      <c r="AD615" s="6">
        <f>IF(最佳化斷筋點!F615="","",最佳化斷筋點!F615)</f>
        <v>5</v>
      </c>
      <c r="AE615" s="6">
        <f>IF(最佳化斷筋點!G615="","",最佳化斷筋點!G615)</f>
        <v>5</v>
      </c>
      <c r="AF615" s="6">
        <f>IF(最佳化斷筋點!H615="","",最佳化斷筋點!H615)</f>
        <v>4</v>
      </c>
      <c r="AG615" s="6">
        <f>IF(最佳化斷筋點!I615="","",最佳化斷筋點!I615)</f>
        <v>4</v>
      </c>
      <c r="AH615" s="6">
        <f>IF(最佳化斷筋點!J615="","",最佳化斷筋點!J615)</f>
        <v>3</v>
      </c>
      <c r="AI615" s="6">
        <f>IF(最佳化斷筋點!K615="","",最佳化斷筋點!K615)</f>
        <v>2</v>
      </c>
      <c r="AJ615" s="6">
        <f>IF(最佳化斷筋點!L615="","",最佳化斷筋點!L615)</f>
        <v>2</v>
      </c>
      <c r="AK615" s="6">
        <f>IF(最佳化斷筋點!M615="","",最佳化斷筋點!M615)</f>
        <v>2</v>
      </c>
      <c r="AL615" s="6">
        <f>IF(最佳化斷筋點!N615="","",最佳化斷筋點!N615)</f>
        <v>2</v>
      </c>
      <c r="AM615" s="6">
        <f>IF(最佳化斷筋點!O615="","",最佳化斷筋點!O615)</f>
        <v>2</v>
      </c>
      <c r="AN615" s="6">
        <f>IF(最佳化斷筋點!P615="","",最佳化斷筋點!P615)</f>
        <v>2</v>
      </c>
      <c r="AO615" s="6">
        <f>IF(最佳化斷筋點!Q615="","",最佳化斷筋點!Q615)</f>
        <v>2</v>
      </c>
      <c r="AP615" s="6">
        <f>IF(最佳化斷筋點!R615="","",最佳化斷筋點!R615)</f>
        <v>2</v>
      </c>
      <c r="AQ615" s="6">
        <f>IF(最佳化斷筋點!S615="","",最佳化斷筋點!S615)</f>
        <v>3</v>
      </c>
      <c r="AR615" s="6">
        <f>IF(最佳化斷筋點!T615="","",最佳化斷筋點!T615)</f>
        <v>3</v>
      </c>
      <c r="AS615" s="6">
        <f>IF(最佳化斷筋點!U615="","",最佳化斷筋點!U615)</f>
        <v>4</v>
      </c>
      <c r="AT615" s="6">
        <f>IF(最佳化斷筋點!V615="","",最佳化斷筋點!V615)</f>
        <v>4</v>
      </c>
      <c r="AU615" s="6">
        <f>IF(最佳化斷筋點!W615="","",最佳化斷筋點!W615)</f>
        <v>5</v>
      </c>
      <c r="AV615" s="6">
        <f>IF(最佳化斷筋點!X615="","",最佳化斷筋點!X615)</f>
        <v>5</v>
      </c>
      <c r="AX615" s="6" t="s">
        <v>50</v>
      </c>
      <c r="AY615" s="6">
        <v>6</v>
      </c>
      <c r="AZ615" s="6">
        <v>6</v>
      </c>
      <c r="BA615" s="6">
        <v>5</v>
      </c>
      <c r="BB615" s="6">
        <v>5</v>
      </c>
      <c r="BC615" s="6">
        <v>4</v>
      </c>
      <c r="BD615" s="6">
        <v>4</v>
      </c>
      <c r="BE615" s="6">
        <v>3</v>
      </c>
      <c r="BF615" s="6">
        <v>2</v>
      </c>
      <c r="BG615" s="6">
        <v>2</v>
      </c>
      <c r="BH615" s="6">
        <v>2</v>
      </c>
      <c r="BI615" s="6">
        <v>2</v>
      </c>
      <c r="BJ615" s="6">
        <v>2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</row>
    <row r="616" spans="4:71" x14ac:dyDescent="0.25">
      <c r="E616" s="6">
        <f t="shared" si="190"/>
        <v>0</v>
      </c>
      <c r="F616" s="6">
        <f t="shared" si="191"/>
        <v>0</v>
      </c>
      <c r="G616" s="6">
        <f t="shared" si="192"/>
        <v>0</v>
      </c>
      <c r="H616" s="6">
        <f t="shared" si="193"/>
        <v>0</v>
      </c>
      <c r="I616" s="6">
        <f t="shared" si="194"/>
        <v>0</v>
      </c>
      <c r="J616" s="6">
        <f t="shared" si="195"/>
        <v>0</v>
      </c>
      <c r="K616" s="6">
        <f t="shared" si="196"/>
        <v>0</v>
      </c>
      <c r="L616" s="6">
        <f t="shared" si="197"/>
        <v>0</v>
      </c>
      <c r="M616" s="6">
        <f t="shared" si="198"/>
        <v>0</v>
      </c>
      <c r="N616" s="6">
        <f t="shared" si="199"/>
        <v>0</v>
      </c>
      <c r="O616" s="6">
        <f t="shared" si="200"/>
        <v>0</v>
      </c>
      <c r="P616" s="6">
        <f t="shared" si="201"/>
        <v>0</v>
      </c>
      <c r="Q616" s="6">
        <f t="shared" si="202"/>
        <v>0</v>
      </c>
      <c r="R616" s="6">
        <f t="shared" si="203"/>
        <v>0</v>
      </c>
      <c r="S616" s="6">
        <f t="shared" si="204"/>
        <v>0</v>
      </c>
      <c r="T616" s="6">
        <f t="shared" si="205"/>
        <v>0</v>
      </c>
      <c r="U616" s="6">
        <f t="shared" si="206"/>
        <v>0</v>
      </c>
      <c r="V616" s="6">
        <f t="shared" si="207"/>
        <v>0</v>
      </c>
      <c r="W616" s="6">
        <f t="shared" si="208"/>
        <v>0</v>
      </c>
      <c r="X616" s="6">
        <f t="shared" si="209"/>
        <v>0</v>
      </c>
      <c r="Y616" s="6">
        <f t="shared" si="210"/>
        <v>0</v>
      </c>
      <c r="AA616" s="6" t="str">
        <f>IF(最佳化斷筋點!C616="","",最佳化斷筋點!C616)</f>
        <v/>
      </c>
      <c r="AB616" s="6" t="str">
        <f>IF(最佳化斷筋點!D616="","",最佳化斷筋點!D616)</f>
        <v/>
      </c>
      <c r="AC616" s="6" t="str">
        <f>IF(最佳化斷筋點!E616="","",最佳化斷筋點!E616)</f>
        <v/>
      </c>
      <c r="AD616" s="6" t="str">
        <f>IF(最佳化斷筋點!F616="","",最佳化斷筋點!F616)</f>
        <v/>
      </c>
      <c r="AE616" s="6" t="str">
        <f>IF(最佳化斷筋點!G616="","",最佳化斷筋點!G616)</f>
        <v/>
      </c>
      <c r="AF616" s="6" t="str">
        <f>IF(最佳化斷筋點!H616="","",最佳化斷筋點!H616)</f>
        <v/>
      </c>
      <c r="AG616" s="6" t="str">
        <f>IF(最佳化斷筋點!I616="","",最佳化斷筋點!I616)</f>
        <v/>
      </c>
      <c r="AH616" s="6" t="str">
        <f>IF(最佳化斷筋點!J616="","",最佳化斷筋點!J616)</f>
        <v/>
      </c>
      <c r="AI616" s="6" t="str">
        <f>IF(最佳化斷筋點!K616="","",最佳化斷筋點!K616)</f>
        <v/>
      </c>
      <c r="AJ616" s="6" t="str">
        <f>IF(最佳化斷筋點!L616="","",最佳化斷筋點!L616)</f>
        <v/>
      </c>
      <c r="AK616" s="6" t="str">
        <f>IF(最佳化斷筋點!M616="","",最佳化斷筋點!M616)</f>
        <v/>
      </c>
      <c r="AL616" s="6" t="str">
        <f>IF(最佳化斷筋點!N616="","",最佳化斷筋點!N616)</f>
        <v/>
      </c>
      <c r="AM616" s="6" t="str">
        <f>IF(最佳化斷筋點!O616="","",最佳化斷筋點!O616)</f>
        <v/>
      </c>
      <c r="AN616" s="6" t="str">
        <f>IF(最佳化斷筋點!P616="","",最佳化斷筋點!P616)</f>
        <v/>
      </c>
      <c r="AO616" s="6" t="str">
        <f>IF(最佳化斷筋點!Q616="","",最佳化斷筋點!Q616)</f>
        <v/>
      </c>
      <c r="AP616" s="6" t="str">
        <f>IF(最佳化斷筋點!R616="","",最佳化斷筋點!R616)</f>
        <v/>
      </c>
      <c r="AQ616" s="6" t="str">
        <f>IF(最佳化斷筋點!S616="","",最佳化斷筋點!S616)</f>
        <v/>
      </c>
      <c r="AR616" s="6" t="str">
        <f>IF(最佳化斷筋點!T616="","",最佳化斷筋點!T616)</f>
        <v/>
      </c>
      <c r="AS616" s="6" t="str">
        <f>IF(最佳化斷筋點!U616="","",最佳化斷筋點!U616)</f>
        <v/>
      </c>
      <c r="AT616" s="6" t="str">
        <f>IF(最佳化斷筋點!V616="","",最佳化斷筋點!V616)</f>
        <v/>
      </c>
      <c r="AU616" s="6" t="str">
        <f>IF(最佳化斷筋點!W616="","",最佳化斷筋點!W616)</f>
        <v/>
      </c>
      <c r="AV616" s="6" t="str">
        <f>IF(最佳化斷筋點!X616="","",最佳化斷筋點!X616)</f>
        <v/>
      </c>
    </row>
    <row r="617" spans="4:71" x14ac:dyDescent="0.25">
      <c r="D617" s="6" t="s">
        <v>51</v>
      </c>
      <c r="E617" s="6">
        <f t="shared" si="190"/>
        <v>0</v>
      </c>
      <c r="F617" s="6">
        <f t="shared" si="191"/>
        <v>0</v>
      </c>
      <c r="G617" s="6">
        <f t="shared" si="192"/>
        <v>0</v>
      </c>
      <c r="H617" s="6">
        <f t="shared" si="193"/>
        <v>0</v>
      </c>
      <c r="I617" s="6">
        <f t="shared" si="194"/>
        <v>0</v>
      </c>
      <c r="J617" s="6">
        <f t="shared" si="195"/>
        <v>0</v>
      </c>
      <c r="K617" s="6">
        <f t="shared" si="196"/>
        <v>0</v>
      </c>
      <c r="L617" s="6">
        <f t="shared" si="197"/>
        <v>0</v>
      </c>
      <c r="M617" s="6">
        <f t="shared" si="198"/>
        <v>0</v>
      </c>
      <c r="N617" s="6">
        <f t="shared" si="199"/>
        <v>0</v>
      </c>
      <c r="O617" s="6">
        <f t="shared" si="200"/>
        <v>0</v>
      </c>
      <c r="P617" s="6">
        <f t="shared" si="201"/>
        <v>0</v>
      </c>
      <c r="Q617" s="6">
        <f t="shared" si="202"/>
        <v>0</v>
      </c>
      <c r="R617" s="6">
        <f t="shared" si="203"/>
        <v>0</v>
      </c>
      <c r="S617" s="6">
        <f t="shared" si="204"/>
        <v>0</v>
      </c>
      <c r="T617" s="6">
        <f t="shared" si="205"/>
        <v>0</v>
      </c>
      <c r="U617" s="6">
        <f t="shared" si="206"/>
        <v>0</v>
      </c>
      <c r="V617" s="6">
        <f t="shared" si="207"/>
        <v>0</v>
      </c>
      <c r="W617" s="6">
        <f t="shared" si="208"/>
        <v>0</v>
      </c>
      <c r="X617" s="6">
        <f t="shared" si="209"/>
        <v>0</v>
      </c>
      <c r="Y617" s="6">
        <f t="shared" si="210"/>
        <v>0</v>
      </c>
      <c r="AA617" s="6" t="str">
        <f>IF(最佳化斷筋點!C617="","",最佳化斷筋點!C617)</f>
        <v>下層</v>
      </c>
      <c r="AB617" s="6">
        <f>IF(最佳化斷筋點!D617="","",最佳化斷筋點!D617)</f>
        <v>3</v>
      </c>
      <c r="AC617" s="6">
        <f>IF(最佳化斷筋點!E617="","",最佳化斷筋點!E617)</f>
        <v>3</v>
      </c>
      <c r="AD617" s="6">
        <f>IF(最佳化斷筋點!F617="","",最佳化斷筋點!F617)</f>
        <v>3</v>
      </c>
      <c r="AE617" s="6">
        <f>IF(最佳化斷筋點!G617="","",最佳化斷筋點!G617)</f>
        <v>3</v>
      </c>
      <c r="AF617" s="6">
        <f>IF(最佳化斷筋點!H617="","",最佳化斷筋點!H617)</f>
        <v>3</v>
      </c>
      <c r="AG617" s="6">
        <f>IF(最佳化斷筋點!I617="","",最佳化斷筋點!I617)</f>
        <v>3</v>
      </c>
      <c r="AH617" s="6">
        <f>IF(最佳化斷筋點!J617="","",最佳化斷筋點!J617)</f>
        <v>4</v>
      </c>
      <c r="AI617" s="6">
        <f>IF(最佳化斷筋點!K617="","",最佳化斷筋點!K617)</f>
        <v>4</v>
      </c>
      <c r="AJ617" s="6">
        <f>IF(最佳化斷筋點!L617="","",最佳化斷筋點!L617)</f>
        <v>4</v>
      </c>
      <c r="AK617" s="6">
        <f>IF(最佳化斷筋點!M617="","",最佳化斷筋點!M617)</f>
        <v>4</v>
      </c>
      <c r="AL617" s="6">
        <f>IF(最佳化斷筋點!N617="","",最佳化斷筋點!N617)</f>
        <v>4</v>
      </c>
      <c r="AM617" s="6">
        <f>IF(最佳化斷筋點!O617="","",最佳化斷筋點!O617)</f>
        <v>4</v>
      </c>
      <c r="AN617" s="6">
        <f>IF(最佳化斷筋點!P617="","",最佳化斷筋點!P617)</f>
        <v>4</v>
      </c>
      <c r="AO617" s="6">
        <f>IF(最佳化斷筋點!Q617="","",最佳化斷筋點!Q617)</f>
        <v>4</v>
      </c>
      <c r="AP617" s="6">
        <f>IF(最佳化斷筋點!R617="","",最佳化斷筋點!R617)</f>
        <v>4</v>
      </c>
      <c r="AQ617" s="6">
        <f>IF(最佳化斷筋點!S617="","",最佳化斷筋點!S617)</f>
        <v>3</v>
      </c>
      <c r="AR617" s="6">
        <f>IF(最佳化斷筋點!T617="","",最佳化斷筋點!T617)</f>
        <v>3</v>
      </c>
      <c r="AS617" s="6">
        <f>IF(最佳化斷筋點!U617="","",最佳化斷筋點!U617)</f>
        <v>3</v>
      </c>
      <c r="AT617" s="6">
        <f>IF(最佳化斷筋點!V617="","",最佳化斷筋點!V617)</f>
        <v>3</v>
      </c>
      <c r="AU617" s="6">
        <f>IF(最佳化斷筋點!W617="","",最佳化斷筋點!W617)</f>
        <v>3</v>
      </c>
      <c r="AV617" s="6">
        <f>IF(最佳化斷筋點!X617="","",最佳化斷筋點!X617)</f>
        <v>3</v>
      </c>
      <c r="AX617" s="6" t="s">
        <v>51</v>
      </c>
      <c r="AY617" s="6">
        <v>3</v>
      </c>
      <c r="AZ617" s="6">
        <v>3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3</v>
      </c>
      <c r="BO617" s="6">
        <v>3</v>
      </c>
      <c r="BP617" s="6">
        <v>3</v>
      </c>
      <c r="BQ617" s="6">
        <v>3</v>
      </c>
      <c r="BR617" s="6">
        <v>3</v>
      </c>
      <c r="BS617" s="6">
        <v>3</v>
      </c>
    </row>
    <row r="618" spans="4:71" x14ac:dyDescent="0.25">
      <c r="E618" s="6">
        <f t="shared" si="190"/>
        <v>0</v>
      </c>
      <c r="F618" s="6">
        <f t="shared" si="191"/>
        <v>0</v>
      </c>
      <c r="G618" s="6">
        <f t="shared" si="192"/>
        <v>0</v>
      </c>
      <c r="H618" s="6">
        <f t="shared" si="193"/>
        <v>0</v>
      </c>
      <c r="I618" s="6">
        <f t="shared" si="194"/>
        <v>0</v>
      </c>
      <c r="J618" s="6">
        <f t="shared" si="195"/>
        <v>0</v>
      </c>
      <c r="K618" s="6">
        <f t="shared" si="196"/>
        <v>0</v>
      </c>
      <c r="L618" s="6">
        <f t="shared" si="197"/>
        <v>0</v>
      </c>
      <c r="M618" s="6">
        <f t="shared" si="198"/>
        <v>0</v>
      </c>
      <c r="N618" s="6">
        <f t="shared" si="199"/>
        <v>0</v>
      </c>
      <c r="O618" s="6">
        <f t="shared" si="200"/>
        <v>0</v>
      </c>
      <c r="P618" s="6">
        <f t="shared" si="201"/>
        <v>0</v>
      </c>
      <c r="Q618" s="6">
        <f t="shared" si="202"/>
        <v>0</v>
      </c>
      <c r="R618" s="6">
        <f t="shared" si="203"/>
        <v>0</v>
      </c>
      <c r="S618" s="6">
        <f t="shared" si="204"/>
        <v>0</v>
      </c>
      <c r="T618" s="6">
        <f t="shared" si="205"/>
        <v>0</v>
      </c>
      <c r="U618" s="6">
        <f t="shared" si="206"/>
        <v>0</v>
      </c>
      <c r="V618" s="6">
        <f t="shared" si="207"/>
        <v>0</v>
      </c>
      <c r="W618" s="6">
        <f t="shared" si="208"/>
        <v>0</v>
      </c>
      <c r="X618" s="6">
        <f t="shared" si="209"/>
        <v>0</v>
      </c>
      <c r="Y618" s="6">
        <f t="shared" si="210"/>
        <v>0</v>
      </c>
      <c r="AA618" s="6" t="str">
        <f>IF(最佳化斷筋點!C618="","",最佳化斷筋點!C618)</f>
        <v/>
      </c>
      <c r="AB618" s="6" t="str">
        <f>IF(最佳化斷筋點!D618="","",最佳化斷筋點!D618)</f>
        <v/>
      </c>
      <c r="AC618" s="6" t="str">
        <f>IF(最佳化斷筋點!E618="","",最佳化斷筋點!E618)</f>
        <v/>
      </c>
      <c r="AD618" s="6" t="str">
        <f>IF(最佳化斷筋點!F618="","",最佳化斷筋點!F618)</f>
        <v/>
      </c>
      <c r="AE618" s="6" t="str">
        <f>IF(最佳化斷筋點!G618="","",最佳化斷筋點!G618)</f>
        <v/>
      </c>
      <c r="AF618" s="6" t="str">
        <f>IF(最佳化斷筋點!H618="","",最佳化斷筋點!H618)</f>
        <v/>
      </c>
      <c r="AG618" s="6" t="str">
        <f>IF(最佳化斷筋點!I618="","",最佳化斷筋點!I618)</f>
        <v/>
      </c>
      <c r="AH618" s="6" t="str">
        <f>IF(最佳化斷筋點!J618="","",最佳化斷筋點!J618)</f>
        <v/>
      </c>
      <c r="AI618" s="6" t="str">
        <f>IF(最佳化斷筋點!K618="","",最佳化斷筋點!K618)</f>
        <v/>
      </c>
      <c r="AJ618" s="6" t="str">
        <f>IF(最佳化斷筋點!L618="","",最佳化斷筋點!L618)</f>
        <v/>
      </c>
      <c r="AK618" s="6" t="str">
        <f>IF(最佳化斷筋點!M618="","",最佳化斷筋點!M618)</f>
        <v/>
      </c>
      <c r="AL618" s="6" t="str">
        <f>IF(最佳化斷筋點!N618="","",最佳化斷筋點!N618)</f>
        <v/>
      </c>
      <c r="AM618" s="6" t="str">
        <f>IF(最佳化斷筋點!O618="","",最佳化斷筋點!O618)</f>
        <v/>
      </c>
      <c r="AN618" s="6" t="str">
        <f>IF(最佳化斷筋點!P618="","",最佳化斷筋點!P618)</f>
        <v/>
      </c>
      <c r="AO618" s="6" t="str">
        <f>IF(最佳化斷筋點!Q618="","",最佳化斷筋點!Q618)</f>
        <v/>
      </c>
      <c r="AP618" s="6" t="str">
        <f>IF(最佳化斷筋點!R618="","",最佳化斷筋點!R618)</f>
        <v/>
      </c>
      <c r="AQ618" s="6" t="str">
        <f>IF(最佳化斷筋點!S618="","",最佳化斷筋點!S618)</f>
        <v/>
      </c>
      <c r="AR618" s="6" t="str">
        <f>IF(最佳化斷筋點!T618="","",最佳化斷筋點!T618)</f>
        <v/>
      </c>
      <c r="AS618" s="6" t="str">
        <f>IF(最佳化斷筋點!U618="","",最佳化斷筋點!U618)</f>
        <v/>
      </c>
      <c r="AT618" s="6" t="str">
        <f>IF(最佳化斷筋點!V618="","",最佳化斷筋點!V618)</f>
        <v/>
      </c>
      <c r="AU618" s="6" t="str">
        <f>IF(最佳化斷筋點!W618="","",最佳化斷筋點!W618)</f>
        <v/>
      </c>
      <c r="AV618" s="6" t="str">
        <f>IF(最佳化斷筋點!X618="","",最佳化斷筋點!X618)</f>
        <v/>
      </c>
    </row>
    <row r="619" spans="4:71" x14ac:dyDescent="0.25">
      <c r="D619" s="6" t="s">
        <v>50</v>
      </c>
      <c r="E619" s="6">
        <f t="shared" si="190"/>
        <v>0</v>
      </c>
      <c r="F619" s="6">
        <f t="shared" si="191"/>
        <v>0</v>
      </c>
      <c r="G619" s="6">
        <f t="shared" si="192"/>
        <v>0</v>
      </c>
      <c r="H619" s="6">
        <f t="shared" si="193"/>
        <v>0</v>
      </c>
      <c r="I619" s="6">
        <f t="shared" si="194"/>
        <v>0</v>
      </c>
      <c r="J619" s="6">
        <f t="shared" si="195"/>
        <v>0</v>
      </c>
      <c r="K619" s="6">
        <f t="shared" si="196"/>
        <v>0</v>
      </c>
      <c r="L619" s="6">
        <f t="shared" si="197"/>
        <v>0</v>
      </c>
      <c r="M619" s="6">
        <f t="shared" si="198"/>
        <v>0</v>
      </c>
      <c r="N619" s="6">
        <f t="shared" si="199"/>
        <v>0</v>
      </c>
      <c r="O619" s="6">
        <f t="shared" si="200"/>
        <v>0</v>
      </c>
      <c r="P619" s="6">
        <f t="shared" si="201"/>
        <v>0</v>
      </c>
      <c r="Q619" s="6">
        <f t="shared" si="202"/>
        <v>0</v>
      </c>
      <c r="R619" s="6">
        <f t="shared" si="203"/>
        <v>0</v>
      </c>
      <c r="S619" s="6">
        <f t="shared" si="204"/>
        <v>0</v>
      </c>
      <c r="T619" s="6">
        <f t="shared" si="205"/>
        <v>0</v>
      </c>
      <c r="U619" s="6">
        <f t="shared" si="206"/>
        <v>0</v>
      </c>
      <c r="V619" s="6">
        <f t="shared" si="207"/>
        <v>0</v>
      </c>
      <c r="W619" s="6">
        <f t="shared" si="208"/>
        <v>0</v>
      </c>
      <c r="X619" s="6">
        <f t="shared" si="209"/>
        <v>0</v>
      </c>
      <c r="Y619" s="6">
        <f t="shared" si="210"/>
        <v>0</v>
      </c>
      <c r="AA619" s="6" t="str">
        <f>IF(最佳化斷筋點!C619="","",最佳化斷筋點!C619)</f>
        <v>上層</v>
      </c>
      <c r="AB619" s="6">
        <f>IF(最佳化斷筋點!D619="","",最佳化斷筋點!D619)</f>
        <v>5</v>
      </c>
      <c r="AC619" s="6">
        <f>IF(最佳化斷筋點!E619="","",最佳化斷筋點!E619)</f>
        <v>5</v>
      </c>
      <c r="AD619" s="6">
        <f>IF(最佳化斷筋點!F619="","",最佳化斷筋點!F619)</f>
        <v>4</v>
      </c>
      <c r="AE619" s="6">
        <f>IF(最佳化斷筋點!G619="","",最佳化斷筋點!G619)</f>
        <v>4</v>
      </c>
      <c r="AF619" s="6">
        <f>IF(最佳化斷筋點!H619="","",最佳化斷筋點!H619)</f>
        <v>4</v>
      </c>
      <c r="AG619" s="6">
        <f>IF(最佳化斷筋點!I619="","",最佳化斷筋點!I619)</f>
        <v>3</v>
      </c>
      <c r="AH619" s="6">
        <f>IF(最佳化斷筋點!J619="","",最佳化斷筋點!J619)</f>
        <v>3</v>
      </c>
      <c r="AI619" s="6">
        <f>IF(最佳化斷筋點!K619="","",最佳化斷筋點!K619)</f>
        <v>2</v>
      </c>
      <c r="AJ619" s="6">
        <f>IF(最佳化斷筋點!L619="","",最佳化斷筋點!L619)</f>
        <v>2</v>
      </c>
      <c r="AK619" s="6">
        <f>IF(最佳化斷筋點!M619="","",最佳化斷筋點!M619)</f>
        <v>2</v>
      </c>
      <c r="AL619" s="6">
        <f>IF(最佳化斷筋點!N619="","",最佳化斷筋點!N619)</f>
        <v>2</v>
      </c>
      <c r="AM619" s="6">
        <f>IF(最佳化斷筋點!O619="","",最佳化斷筋點!O619)</f>
        <v>2</v>
      </c>
      <c r="AN619" s="6">
        <f>IF(最佳化斷筋點!P619="","",最佳化斷筋點!P619)</f>
        <v>2</v>
      </c>
      <c r="AO619" s="6">
        <f>IF(最佳化斷筋點!Q619="","",最佳化斷筋點!Q619)</f>
        <v>2</v>
      </c>
      <c r="AP619" s="6">
        <f>IF(最佳化斷筋點!R619="","",最佳化斷筋點!R619)</f>
        <v>2</v>
      </c>
      <c r="AQ619" s="6">
        <f>IF(最佳化斷筋點!S619="","",最佳化斷筋點!S619)</f>
        <v>3</v>
      </c>
      <c r="AR619" s="6">
        <f>IF(最佳化斷筋點!T619="","",最佳化斷筋點!T619)</f>
        <v>3</v>
      </c>
      <c r="AS619" s="6">
        <f>IF(最佳化斷筋點!U619="","",最佳化斷筋點!U619)</f>
        <v>4</v>
      </c>
      <c r="AT619" s="6">
        <f>IF(最佳化斷筋點!V619="","",最佳化斷筋點!V619)</f>
        <v>4</v>
      </c>
      <c r="AU619" s="6">
        <f>IF(最佳化斷筋點!W619="","",最佳化斷筋點!W619)</f>
        <v>5</v>
      </c>
      <c r="AV619" s="6">
        <f>IF(最佳化斷筋點!X619="","",最佳化斷筋點!X619)</f>
        <v>5</v>
      </c>
      <c r="AX619" s="6" t="s">
        <v>50</v>
      </c>
      <c r="AY619" s="6">
        <v>5</v>
      </c>
      <c r="AZ619" s="6">
        <v>5</v>
      </c>
      <c r="BA619" s="6">
        <v>4</v>
      </c>
      <c r="BB619" s="6">
        <v>4</v>
      </c>
      <c r="BC619" s="6">
        <v>4</v>
      </c>
      <c r="BD619" s="6">
        <v>3</v>
      </c>
      <c r="BE619" s="6">
        <v>3</v>
      </c>
      <c r="BF619" s="6">
        <v>2</v>
      </c>
      <c r="BG619" s="6">
        <v>2</v>
      </c>
      <c r="BH619" s="6">
        <v>2</v>
      </c>
      <c r="BI619" s="6">
        <v>2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</row>
    <row r="620" spans="4:71" x14ac:dyDescent="0.25">
      <c r="E620" s="6">
        <f t="shared" si="190"/>
        <v>0</v>
      </c>
      <c r="F620" s="6">
        <f t="shared" si="191"/>
        <v>0</v>
      </c>
      <c r="G620" s="6">
        <f t="shared" si="192"/>
        <v>0</v>
      </c>
      <c r="H620" s="6">
        <f t="shared" si="193"/>
        <v>0</v>
      </c>
      <c r="I620" s="6">
        <f t="shared" si="194"/>
        <v>0</v>
      </c>
      <c r="J620" s="6">
        <f t="shared" si="195"/>
        <v>0</v>
      </c>
      <c r="K620" s="6">
        <f t="shared" si="196"/>
        <v>0</v>
      </c>
      <c r="L620" s="6">
        <f t="shared" si="197"/>
        <v>0</v>
      </c>
      <c r="M620" s="6">
        <f t="shared" si="198"/>
        <v>0</v>
      </c>
      <c r="N620" s="6">
        <f t="shared" si="199"/>
        <v>0</v>
      </c>
      <c r="O620" s="6">
        <f t="shared" si="200"/>
        <v>0</v>
      </c>
      <c r="P620" s="6">
        <f t="shared" si="201"/>
        <v>0</v>
      </c>
      <c r="Q620" s="6">
        <f t="shared" si="202"/>
        <v>0</v>
      </c>
      <c r="R620" s="6">
        <f t="shared" si="203"/>
        <v>0</v>
      </c>
      <c r="S620" s="6">
        <f t="shared" si="204"/>
        <v>0</v>
      </c>
      <c r="T620" s="6">
        <f t="shared" si="205"/>
        <v>0</v>
      </c>
      <c r="U620" s="6">
        <f t="shared" si="206"/>
        <v>0</v>
      </c>
      <c r="V620" s="6">
        <f t="shared" si="207"/>
        <v>0</v>
      </c>
      <c r="W620" s="6">
        <f t="shared" si="208"/>
        <v>0</v>
      </c>
      <c r="X620" s="6">
        <f t="shared" si="209"/>
        <v>0</v>
      </c>
      <c r="Y620" s="6">
        <f t="shared" si="210"/>
        <v>0</v>
      </c>
      <c r="AA620" s="6" t="str">
        <f>IF(最佳化斷筋點!C620="","",最佳化斷筋點!C620)</f>
        <v/>
      </c>
      <c r="AB620" s="6" t="str">
        <f>IF(最佳化斷筋點!D620="","",最佳化斷筋點!D620)</f>
        <v/>
      </c>
      <c r="AC620" s="6" t="str">
        <f>IF(最佳化斷筋點!E620="","",最佳化斷筋點!E620)</f>
        <v/>
      </c>
      <c r="AD620" s="6" t="str">
        <f>IF(最佳化斷筋點!F620="","",最佳化斷筋點!F620)</f>
        <v/>
      </c>
      <c r="AE620" s="6" t="str">
        <f>IF(最佳化斷筋點!G620="","",最佳化斷筋點!G620)</f>
        <v/>
      </c>
      <c r="AF620" s="6" t="str">
        <f>IF(最佳化斷筋點!H620="","",最佳化斷筋點!H620)</f>
        <v/>
      </c>
      <c r="AG620" s="6" t="str">
        <f>IF(最佳化斷筋點!I620="","",最佳化斷筋點!I620)</f>
        <v/>
      </c>
      <c r="AH620" s="6" t="str">
        <f>IF(最佳化斷筋點!J620="","",最佳化斷筋點!J620)</f>
        <v/>
      </c>
      <c r="AI620" s="6" t="str">
        <f>IF(最佳化斷筋點!K620="","",最佳化斷筋點!K620)</f>
        <v/>
      </c>
      <c r="AJ620" s="6" t="str">
        <f>IF(最佳化斷筋點!L620="","",最佳化斷筋點!L620)</f>
        <v/>
      </c>
      <c r="AK620" s="6" t="str">
        <f>IF(最佳化斷筋點!M620="","",最佳化斷筋點!M620)</f>
        <v/>
      </c>
      <c r="AL620" s="6" t="str">
        <f>IF(最佳化斷筋點!N620="","",最佳化斷筋點!N620)</f>
        <v/>
      </c>
      <c r="AM620" s="6" t="str">
        <f>IF(最佳化斷筋點!O620="","",最佳化斷筋點!O620)</f>
        <v/>
      </c>
      <c r="AN620" s="6" t="str">
        <f>IF(最佳化斷筋點!P620="","",最佳化斷筋點!P620)</f>
        <v/>
      </c>
      <c r="AO620" s="6" t="str">
        <f>IF(最佳化斷筋點!Q620="","",最佳化斷筋點!Q620)</f>
        <v/>
      </c>
      <c r="AP620" s="6" t="str">
        <f>IF(最佳化斷筋點!R620="","",最佳化斷筋點!R620)</f>
        <v/>
      </c>
      <c r="AQ620" s="6" t="str">
        <f>IF(最佳化斷筋點!S620="","",最佳化斷筋點!S620)</f>
        <v/>
      </c>
      <c r="AR620" s="6" t="str">
        <f>IF(最佳化斷筋點!T620="","",最佳化斷筋點!T620)</f>
        <v/>
      </c>
      <c r="AS620" s="6" t="str">
        <f>IF(最佳化斷筋點!U620="","",最佳化斷筋點!U620)</f>
        <v/>
      </c>
      <c r="AT620" s="6" t="str">
        <f>IF(最佳化斷筋點!V620="","",最佳化斷筋點!V620)</f>
        <v/>
      </c>
      <c r="AU620" s="6" t="str">
        <f>IF(最佳化斷筋點!W620="","",最佳化斷筋點!W620)</f>
        <v/>
      </c>
      <c r="AV620" s="6" t="str">
        <f>IF(最佳化斷筋點!X620="","",最佳化斷筋點!X620)</f>
        <v/>
      </c>
    </row>
    <row r="621" spans="4:71" x14ac:dyDescent="0.25">
      <c r="D621" s="6" t="s">
        <v>51</v>
      </c>
      <c r="E621" s="6">
        <f t="shared" si="190"/>
        <v>0</v>
      </c>
      <c r="F621" s="6">
        <f t="shared" si="191"/>
        <v>0</v>
      </c>
      <c r="G621" s="6">
        <f t="shared" si="192"/>
        <v>0</v>
      </c>
      <c r="H621" s="6">
        <f t="shared" si="193"/>
        <v>0</v>
      </c>
      <c r="I621" s="6">
        <f t="shared" si="194"/>
        <v>0</v>
      </c>
      <c r="J621" s="6">
        <f t="shared" si="195"/>
        <v>0</v>
      </c>
      <c r="K621" s="6">
        <f t="shared" si="196"/>
        <v>0</v>
      </c>
      <c r="L621" s="6">
        <f t="shared" si="197"/>
        <v>0</v>
      </c>
      <c r="M621" s="6">
        <f t="shared" si="198"/>
        <v>0</v>
      </c>
      <c r="N621" s="6">
        <f t="shared" si="199"/>
        <v>0</v>
      </c>
      <c r="O621" s="6">
        <f t="shared" si="200"/>
        <v>0</v>
      </c>
      <c r="P621" s="6">
        <f t="shared" si="201"/>
        <v>0</v>
      </c>
      <c r="Q621" s="6">
        <f t="shared" si="202"/>
        <v>0</v>
      </c>
      <c r="R621" s="6">
        <f t="shared" si="203"/>
        <v>0</v>
      </c>
      <c r="S621" s="6">
        <f t="shared" si="204"/>
        <v>0</v>
      </c>
      <c r="T621" s="6">
        <f t="shared" si="205"/>
        <v>0</v>
      </c>
      <c r="U621" s="6">
        <f t="shared" si="206"/>
        <v>0</v>
      </c>
      <c r="V621" s="6">
        <f t="shared" si="207"/>
        <v>0</v>
      </c>
      <c r="W621" s="6">
        <f t="shared" si="208"/>
        <v>0</v>
      </c>
      <c r="X621" s="6">
        <f t="shared" si="209"/>
        <v>0</v>
      </c>
      <c r="Y621" s="6">
        <f t="shared" si="210"/>
        <v>0</v>
      </c>
      <c r="AA621" s="6" t="str">
        <f>IF(最佳化斷筋點!C621="","",最佳化斷筋點!C621)</f>
        <v>下層</v>
      </c>
      <c r="AB621" s="6">
        <f>IF(最佳化斷筋點!D621="","",最佳化斷筋點!D621)</f>
        <v>3</v>
      </c>
      <c r="AC621" s="6">
        <f>IF(最佳化斷筋點!E621="","",最佳化斷筋點!E621)</f>
        <v>3</v>
      </c>
      <c r="AD621" s="6">
        <f>IF(最佳化斷筋點!F621="","",最佳化斷筋點!F621)</f>
        <v>3</v>
      </c>
      <c r="AE621" s="6">
        <f>IF(最佳化斷筋點!G621="","",最佳化斷筋點!G621)</f>
        <v>3</v>
      </c>
      <c r="AF621" s="6">
        <f>IF(最佳化斷筋點!H621="","",最佳化斷筋點!H621)</f>
        <v>4</v>
      </c>
      <c r="AG621" s="6">
        <f>IF(最佳化斷筋點!I621="","",最佳化斷筋點!I621)</f>
        <v>4</v>
      </c>
      <c r="AH621" s="6">
        <f>IF(最佳化斷筋點!J621="","",最佳化斷筋點!J621)</f>
        <v>5</v>
      </c>
      <c r="AI621" s="6">
        <f>IF(最佳化斷筋點!K621="","",最佳化斷筋點!K621)</f>
        <v>5</v>
      </c>
      <c r="AJ621" s="6">
        <f>IF(最佳化斷筋點!L621="","",最佳化斷筋點!L621)</f>
        <v>5</v>
      </c>
      <c r="AK621" s="6">
        <f>IF(最佳化斷筋點!M621="","",最佳化斷筋點!M621)</f>
        <v>5</v>
      </c>
      <c r="AL621" s="6">
        <f>IF(最佳化斷筋點!N621="","",最佳化斷筋點!N621)</f>
        <v>5</v>
      </c>
      <c r="AM621" s="6">
        <f>IF(最佳化斷筋點!O621="","",最佳化斷筋點!O621)</f>
        <v>5</v>
      </c>
      <c r="AN621" s="6">
        <f>IF(最佳化斷筋點!P621="","",最佳化斷筋點!P621)</f>
        <v>5</v>
      </c>
      <c r="AO621" s="6">
        <f>IF(最佳化斷筋點!Q621="","",最佳化斷筋點!Q621)</f>
        <v>5</v>
      </c>
      <c r="AP621" s="6">
        <f>IF(最佳化斷筋點!R621="","",最佳化斷筋點!R621)</f>
        <v>5</v>
      </c>
      <c r="AQ621" s="6">
        <f>IF(最佳化斷筋點!S621="","",最佳化斷筋點!S621)</f>
        <v>4</v>
      </c>
      <c r="AR621" s="6">
        <f>IF(最佳化斷筋點!T621="","",最佳化斷筋點!T621)</f>
        <v>4</v>
      </c>
      <c r="AS621" s="6">
        <f>IF(最佳化斷筋點!U621="","",最佳化斷筋點!U621)</f>
        <v>3</v>
      </c>
      <c r="AT621" s="6">
        <f>IF(最佳化斷筋點!V621="","",最佳化斷筋點!V621)</f>
        <v>3</v>
      </c>
      <c r="AU621" s="6">
        <f>IF(最佳化斷筋點!W621="","",最佳化斷筋點!W621)</f>
        <v>3</v>
      </c>
      <c r="AV621" s="6">
        <f>IF(最佳化斷筋點!X621="","",最佳化斷筋點!X621)</f>
        <v>3</v>
      </c>
      <c r="AX621" s="6" t="s">
        <v>51</v>
      </c>
      <c r="AY621" s="6">
        <v>3</v>
      </c>
      <c r="AZ621" s="6">
        <v>3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4</v>
      </c>
      <c r="BO621" s="6">
        <v>4</v>
      </c>
      <c r="BP621" s="6">
        <v>3</v>
      </c>
      <c r="BQ621" s="6">
        <v>3</v>
      </c>
      <c r="BR621" s="6">
        <v>3</v>
      </c>
      <c r="BS621" s="6">
        <v>3</v>
      </c>
    </row>
    <row r="622" spans="4:71" x14ac:dyDescent="0.25">
      <c r="E622" s="6">
        <f t="shared" si="190"/>
        <v>0</v>
      </c>
      <c r="F622" s="6">
        <f t="shared" si="191"/>
        <v>0</v>
      </c>
      <c r="G622" s="6">
        <f t="shared" si="192"/>
        <v>0</v>
      </c>
      <c r="H622" s="6">
        <f t="shared" si="193"/>
        <v>0</v>
      </c>
      <c r="I622" s="6">
        <f t="shared" si="194"/>
        <v>0</v>
      </c>
      <c r="J622" s="6">
        <f t="shared" si="195"/>
        <v>0</v>
      </c>
      <c r="K622" s="6">
        <f t="shared" si="196"/>
        <v>0</v>
      </c>
      <c r="L622" s="6">
        <f t="shared" si="197"/>
        <v>0</v>
      </c>
      <c r="M622" s="6">
        <f t="shared" si="198"/>
        <v>0</v>
      </c>
      <c r="N622" s="6">
        <f t="shared" si="199"/>
        <v>0</v>
      </c>
      <c r="O622" s="6">
        <f t="shared" si="200"/>
        <v>0</v>
      </c>
      <c r="P622" s="6">
        <f t="shared" si="201"/>
        <v>0</v>
      </c>
      <c r="Q622" s="6">
        <f t="shared" si="202"/>
        <v>0</v>
      </c>
      <c r="R622" s="6">
        <f t="shared" si="203"/>
        <v>0</v>
      </c>
      <c r="S622" s="6">
        <f t="shared" si="204"/>
        <v>0</v>
      </c>
      <c r="T622" s="6">
        <f t="shared" si="205"/>
        <v>0</v>
      </c>
      <c r="U622" s="6">
        <f t="shared" si="206"/>
        <v>0</v>
      </c>
      <c r="V622" s="6">
        <f t="shared" si="207"/>
        <v>0</v>
      </c>
      <c r="W622" s="6">
        <f t="shared" si="208"/>
        <v>0</v>
      </c>
      <c r="X622" s="6">
        <f t="shared" si="209"/>
        <v>0</v>
      </c>
      <c r="Y622" s="6">
        <f t="shared" si="210"/>
        <v>0</v>
      </c>
      <c r="AA622" s="6" t="str">
        <f>IF(最佳化斷筋點!C622="","",最佳化斷筋點!C622)</f>
        <v/>
      </c>
      <c r="AB622" s="6" t="str">
        <f>IF(最佳化斷筋點!D622="","",最佳化斷筋點!D622)</f>
        <v/>
      </c>
      <c r="AC622" s="6" t="str">
        <f>IF(最佳化斷筋點!E622="","",最佳化斷筋點!E622)</f>
        <v/>
      </c>
      <c r="AD622" s="6" t="str">
        <f>IF(最佳化斷筋點!F622="","",最佳化斷筋點!F622)</f>
        <v/>
      </c>
      <c r="AE622" s="6" t="str">
        <f>IF(最佳化斷筋點!G622="","",最佳化斷筋點!G622)</f>
        <v/>
      </c>
      <c r="AF622" s="6" t="str">
        <f>IF(最佳化斷筋點!H622="","",最佳化斷筋點!H622)</f>
        <v/>
      </c>
      <c r="AG622" s="6" t="str">
        <f>IF(最佳化斷筋點!I622="","",最佳化斷筋點!I622)</f>
        <v/>
      </c>
      <c r="AH622" s="6" t="str">
        <f>IF(最佳化斷筋點!J622="","",最佳化斷筋點!J622)</f>
        <v/>
      </c>
      <c r="AI622" s="6" t="str">
        <f>IF(最佳化斷筋點!K622="","",最佳化斷筋點!K622)</f>
        <v/>
      </c>
      <c r="AJ622" s="6" t="str">
        <f>IF(最佳化斷筋點!L622="","",最佳化斷筋點!L622)</f>
        <v/>
      </c>
      <c r="AK622" s="6" t="str">
        <f>IF(最佳化斷筋點!M622="","",最佳化斷筋點!M622)</f>
        <v/>
      </c>
      <c r="AL622" s="6" t="str">
        <f>IF(最佳化斷筋點!N622="","",最佳化斷筋點!N622)</f>
        <v/>
      </c>
      <c r="AM622" s="6" t="str">
        <f>IF(最佳化斷筋點!O622="","",最佳化斷筋點!O622)</f>
        <v/>
      </c>
      <c r="AN622" s="6" t="str">
        <f>IF(最佳化斷筋點!P622="","",最佳化斷筋點!P622)</f>
        <v/>
      </c>
      <c r="AO622" s="6" t="str">
        <f>IF(最佳化斷筋點!Q622="","",最佳化斷筋點!Q622)</f>
        <v/>
      </c>
      <c r="AP622" s="6" t="str">
        <f>IF(最佳化斷筋點!R622="","",最佳化斷筋點!R622)</f>
        <v/>
      </c>
      <c r="AQ622" s="6" t="str">
        <f>IF(最佳化斷筋點!S622="","",最佳化斷筋點!S622)</f>
        <v/>
      </c>
      <c r="AR622" s="6" t="str">
        <f>IF(最佳化斷筋點!T622="","",最佳化斷筋點!T622)</f>
        <v/>
      </c>
      <c r="AS622" s="6" t="str">
        <f>IF(最佳化斷筋點!U622="","",最佳化斷筋點!U622)</f>
        <v/>
      </c>
      <c r="AT622" s="6" t="str">
        <f>IF(最佳化斷筋點!V622="","",最佳化斷筋點!V622)</f>
        <v/>
      </c>
      <c r="AU622" s="6" t="str">
        <f>IF(最佳化斷筋點!W622="","",最佳化斷筋點!W622)</f>
        <v/>
      </c>
      <c r="AV622" s="6" t="str">
        <f>IF(最佳化斷筋點!X622="","",最佳化斷筋點!X622)</f>
        <v/>
      </c>
    </row>
    <row r="623" spans="4:71" x14ac:dyDescent="0.25">
      <c r="D623" s="6" t="s">
        <v>50</v>
      </c>
      <c r="E623" s="6">
        <f t="shared" si="190"/>
        <v>0</v>
      </c>
      <c r="F623" s="6">
        <f t="shared" si="191"/>
        <v>0</v>
      </c>
      <c r="G623" s="6">
        <f t="shared" si="192"/>
        <v>0</v>
      </c>
      <c r="H623" s="6">
        <f t="shared" si="193"/>
        <v>0</v>
      </c>
      <c r="I623" s="6">
        <f t="shared" si="194"/>
        <v>0</v>
      </c>
      <c r="J623" s="6">
        <f t="shared" si="195"/>
        <v>0</v>
      </c>
      <c r="K623" s="6">
        <f t="shared" si="196"/>
        <v>0</v>
      </c>
      <c r="L623" s="6">
        <f t="shared" si="197"/>
        <v>0</v>
      </c>
      <c r="M623" s="6">
        <f t="shared" si="198"/>
        <v>0</v>
      </c>
      <c r="N623" s="6">
        <f t="shared" si="199"/>
        <v>0</v>
      </c>
      <c r="O623" s="6">
        <f t="shared" si="200"/>
        <v>0</v>
      </c>
      <c r="P623" s="6">
        <f t="shared" si="201"/>
        <v>0</v>
      </c>
      <c r="Q623" s="6">
        <f t="shared" si="202"/>
        <v>0</v>
      </c>
      <c r="R623" s="6">
        <f t="shared" si="203"/>
        <v>0</v>
      </c>
      <c r="S623" s="6">
        <f t="shared" si="204"/>
        <v>0</v>
      </c>
      <c r="T623" s="6">
        <f t="shared" si="205"/>
        <v>0</v>
      </c>
      <c r="U623" s="6">
        <f t="shared" si="206"/>
        <v>0</v>
      </c>
      <c r="V623" s="6">
        <f t="shared" si="207"/>
        <v>0</v>
      </c>
      <c r="W623" s="6">
        <f t="shared" si="208"/>
        <v>0</v>
      </c>
      <c r="X623" s="6">
        <f t="shared" si="209"/>
        <v>0</v>
      </c>
      <c r="Y623" s="6">
        <f t="shared" si="210"/>
        <v>0</v>
      </c>
      <c r="AA623" s="6" t="str">
        <f>IF(最佳化斷筋點!C623="","",最佳化斷筋點!C623)</f>
        <v>上層</v>
      </c>
      <c r="AB623" s="6">
        <f>IF(最佳化斷筋點!D623="","",最佳化斷筋點!D623)</f>
        <v>5</v>
      </c>
      <c r="AC623" s="6">
        <f>IF(最佳化斷筋點!E623="","",最佳化斷筋點!E623)</f>
        <v>5</v>
      </c>
      <c r="AD623" s="6">
        <f>IF(最佳化斷筋點!F623="","",最佳化斷筋點!F623)</f>
        <v>4</v>
      </c>
      <c r="AE623" s="6">
        <f>IF(最佳化斷筋點!G623="","",最佳化斷筋點!G623)</f>
        <v>4</v>
      </c>
      <c r="AF623" s="6">
        <f>IF(最佳化斷筋點!H623="","",最佳化斷筋點!H623)</f>
        <v>4</v>
      </c>
      <c r="AG623" s="6">
        <f>IF(最佳化斷筋點!I623="","",最佳化斷筋點!I623)</f>
        <v>3</v>
      </c>
      <c r="AH623" s="6">
        <f>IF(最佳化斷筋點!J623="","",最佳化斷筋點!J623)</f>
        <v>3</v>
      </c>
      <c r="AI623" s="6">
        <f>IF(最佳化斷筋點!K623="","",最佳化斷筋點!K623)</f>
        <v>2</v>
      </c>
      <c r="AJ623" s="6">
        <f>IF(最佳化斷筋點!L623="","",最佳化斷筋點!L623)</f>
        <v>2</v>
      </c>
      <c r="AK623" s="6">
        <f>IF(最佳化斷筋點!M623="","",最佳化斷筋點!M623)</f>
        <v>2</v>
      </c>
      <c r="AL623" s="6">
        <f>IF(最佳化斷筋點!N623="","",最佳化斷筋點!N623)</f>
        <v>2</v>
      </c>
      <c r="AM623" s="6">
        <f>IF(最佳化斷筋點!O623="","",最佳化斷筋點!O623)</f>
        <v>2</v>
      </c>
      <c r="AN623" s="6">
        <f>IF(最佳化斷筋點!P623="","",最佳化斷筋點!P623)</f>
        <v>2</v>
      </c>
      <c r="AO623" s="6">
        <f>IF(最佳化斷筋點!Q623="","",最佳化斷筋點!Q623)</f>
        <v>2</v>
      </c>
      <c r="AP623" s="6">
        <f>IF(最佳化斷筋點!R623="","",最佳化斷筋點!R623)</f>
        <v>3</v>
      </c>
      <c r="AQ623" s="6">
        <f>IF(最佳化斷筋點!S623="","",最佳化斷筋點!S623)</f>
        <v>3</v>
      </c>
      <c r="AR623" s="6">
        <f>IF(最佳化斷筋點!T623="","",最佳化斷筋點!T623)</f>
        <v>4</v>
      </c>
      <c r="AS623" s="6">
        <f>IF(最佳化斷筋點!U623="","",最佳化斷筋點!U623)</f>
        <v>5</v>
      </c>
      <c r="AT623" s="6">
        <f>IF(最佳化斷筋點!V623="","",最佳化斷筋點!V623)</f>
        <v>5</v>
      </c>
      <c r="AU623" s="6">
        <f>IF(最佳化斷筋點!W623="","",最佳化斷筋點!W623)</f>
        <v>6</v>
      </c>
      <c r="AV623" s="6">
        <f>IF(最佳化斷筋點!X623="","",最佳化斷筋點!X623)</f>
        <v>6</v>
      </c>
      <c r="AX623" s="6" t="s">
        <v>50</v>
      </c>
      <c r="AY623" s="6">
        <v>5</v>
      </c>
      <c r="AZ623" s="6">
        <v>5</v>
      </c>
      <c r="BA623" s="6">
        <v>4</v>
      </c>
      <c r="BB623" s="6">
        <v>4</v>
      </c>
      <c r="BC623" s="6">
        <v>4</v>
      </c>
      <c r="BD623" s="6">
        <v>3</v>
      </c>
      <c r="BE623" s="6">
        <v>3</v>
      </c>
      <c r="BF623" s="6">
        <v>2</v>
      </c>
      <c r="BG623" s="6">
        <v>2</v>
      </c>
      <c r="BH623" s="6">
        <v>2</v>
      </c>
      <c r="BI623" s="6">
        <v>2</v>
      </c>
      <c r="BJ623" s="6">
        <v>2</v>
      </c>
      <c r="BK623" s="6">
        <v>2</v>
      </c>
      <c r="BL623" s="6">
        <v>2</v>
      </c>
      <c r="BM623" s="6">
        <v>3</v>
      </c>
      <c r="BN623" s="6">
        <v>3</v>
      </c>
      <c r="BO623" s="6">
        <v>4</v>
      </c>
      <c r="BP623" s="6">
        <v>5</v>
      </c>
      <c r="BQ623" s="6">
        <v>5</v>
      </c>
      <c r="BR623" s="6">
        <v>6</v>
      </c>
      <c r="BS623" s="6">
        <v>6</v>
      </c>
    </row>
    <row r="624" spans="4:71" x14ac:dyDescent="0.25">
      <c r="E624" s="6">
        <f t="shared" si="190"/>
        <v>0</v>
      </c>
      <c r="F624" s="6">
        <f t="shared" si="191"/>
        <v>0</v>
      </c>
      <c r="G624" s="6">
        <f t="shared" si="192"/>
        <v>0</v>
      </c>
      <c r="H624" s="6">
        <f t="shared" si="193"/>
        <v>0</v>
      </c>
      <c r="I624" s="6">
        <f t="shared" si="194"/>
        <v>0</v>
      </c>
      <c r="J624" s="6">
        <f t="shared" si="195"/>
        <v>0</v>
      </c>
      <c r="K624" s="6">
        <f t="shared" si="196"/>
        <v>0</v>
      </c>
      <c r="L624" s="6">
        <f t="shared" si="197"/>
        <v>0</v>
      </c>
      <c r="M624" s="6">
        <f t="shared" si="198"/>
        <v>0</v>
      </c>
      <c r="N624" s="6">
        <f t="shared" si="199"/>
        <v>0</v>
      </c>
      <c r="O624" s="6">
        <f t="shared" si="200"/>
        <v>0</v>
      </c>
      <c r="P624" s="6">
        <f t="shared" si="201"/>
        <v>0</v>
      </c>
      <c r="Q624" s="6">
        <f t="shared" si="202"/>
        <v>0</v>
      </c>
      <c r="R624" s="6">
        <f t="shared" si="203"/>
        <v>0</v>
      </c>
      <c r="S624" s="6">
        <f t="shared" si="204"/>
        <v>0</v>
      </c>
      <c r="T624" s="6">
        <f t="shared" si="205"/>
        <v>0</v>
      </c>
      <c r="U624" s="6">
        <f t="shared" si="206"/>
        <v>0</v>
      </c>
      <c r="V624" s="6">
        <f t="shared" si="207"/>
        <v>0</v>
      </c>
      <c r="W624" s="6">
        <f t="shared" si="208"/>
        <v>0</v>
      </c>
      <c r="X624" s="6">
        <f t="shared" si="209"/>
        <v>0</v>
      </c>
      <c r="Y624" s="6">
        <f t="shared" si="210"/>
        <v>0</v>
      </c>
      <c r="AA624" s="6" t="str">
        <f>IF(最佳化斷筋點!C624="","",最佳化斷筋點!C624)</f>
        <v/>
      </c>
      <c r="AB624" s="6" t="str">
        <f>IF(最佳化斷筋點!D624="","",最佳化斷筋點!D624)</f>
        <v/>
      </c>
      <c r="AC624" s="6" t="str">
        <f>IF(最佳化斷筋點!E624="","",最佳化斷筋點!E624)</f>
        <v/>
      </c>
      <c r="AD624" s="6" t="str">
        <f>IF(最佳化斷筋點!F624="","",最佳化斷筋點!F624)</f>
        <v/>
      </c>
      <c r="AE624" s="6" t="str">
        <f>IF(最佳化斷筋點!G624="","",最佳化斷筋點!G624)</f>
        <v/>
      </c>
      <c r="AF624" s="6" t="str">
        <f>IF(最佳化斷筋點!H624="","",最佳化斷筋點!H624)</f>
        <v/>
      </c>
      <c r="AG624" s="6" t="str">
        <f>IF(最佳化斷筋點!I624="","",最佳化斷筋點!I624)</f>
        <v/>
      </c>
      <c r="AH624" s="6" t="str">
        <f>IF(最佳化斷筋點!J624="","",最佳化斷筋點!J624)</f>
        <v/>
      </c>
      <c r="AI624" s="6" t="str">
        <f>IF(最佳化斷筋點!K624="","",最佳化斷筋點!K624)</f>
        <v/>
      </c>
      <c r="AJ624" s="6" t="str">
        <f>IF(最佳化斷筋點!L624="","",最佳化斷筋點!L624)</f>
        <v/>
      </c>
      <c r="AK624" s="6" t="str">
        <f>IF(最佳化斷筋點!M624="","",最佳化斷筋點!M624)</f>
        <v/>
      </c>
      <c r="AL624" s="6" t="str">
        <f>IF(最佳化斷筋點!N624="","",最佳化斷筋點!N624)</f>
        <v/>
      </c>
      <c r="AM624" s="6" t="str">
        <f>IF(最佳化斷筋點!O624="","",最佳化斷筋點!O624)</f>
        <v/>
      </c>
      <c r="AN624" s="6" t="str">
        <f>IF(最佳化斷筋點!P624="","",最佳化斷筋點!P624)</f>
        <v/>
      </c>
      <c r="AO624" s="6" t="str">
        <f>IF(最佳化斷筋點!Q624="","",最佳化斷筋點!Q624)</f>
        <v/>
      </c>
      <c r="AP624" s="6" t="str">
        <f>IF(最佳化斷筋點!R624="","",最佳化斷筋點!R624)</f>
        <v/>
      </c>
      <c r="AQ624" s="6" t="str">
        <f>IF(最佳化斷筋點!S624="","",最佳化斷筋點!S624)</f>
        <v/>
      </c>
      <c r="AR624" s="6" t="str">
        <f>IF(最佳化斷筋點!T624="","",最佳化斷筋點!T624)</f>
        <v/>
      </c>
      <c r="AS624" s="6" t="str">
        <f>IF(最佳化斷筋點!U624="","",最佳化斷筋點!U624)</f>
        <v/>
      </c>
      <c r="AT624" s="6" t="str">
        <f>IF(最佳化斷筋點!V624="","",最佳化斷筋點!V624)</f>
        <v/>
      </c>
      <c r="AU624" s="6" t="str">
        <f>IF(最佳化斷筋點!W624="","",最佳化斷筋點!W624)</f>
        <v/>
      </c>
      <c r="AV624" s="6" t="str">
        <f>IF(最佳化斷筋點!X624="","",最佳化斷筋點!X624)</f>
        <v/>
      </c>
    </row>
    <row r="625" spans="4:71" x14ac:dyDescent="0.25">
      <c r="D625" s="6" t="s">
        <v>51</v>
      </c>
      <c r="E625" s="6">
        <f t="shared" si="190"/>
        <v>0</v>
      </c>
      <c r="F625" s="6">
        <f t="shared" si="191"/>
        <v>0</v>
      </c>
      <c r="G625" s="6">
        <f t="shared" si="192"/>
        <v>0</v>
      </c>
      <c r="H625" s="6">
        <f t="shared" si="193"/>
        <v>0</v>
      </c>
      <c r="I625" s="6">
        <f t="shared" si="194"/>
        <v>0</v>
      </c>
      <c r="J625" s="6">
        <f t="shared" si="195"/>
        <v>0</v>
      </c>
      <c r="K625" s="6">
        <f t="shared" si="196"/>
        <v>0</v>
      </c>
      <c r="L625" s="6">
        <f t="shared" si="197"/>
        <v>0</v>
      </c>
      <c r="M625" s="6">
        <f t="shared" si="198"/>
        <v>0</v>
      </c>
      <c r="N625" s="6">
        <f t="shared" si="199"/>
        <v>0</v>
      </c>
      <c r="O625" s="6">
        <f t="shared" si="200"/>
        <v>0</v>
      </c>
      <c r="P625" s="6">
        <f t="shared" si="201"/>
        <v>0</v>
      </c>
      <c r="Q625" s="6">
        <f t="shared" si="202"/>
        <v>0</v>
      </c>
      <c r="R625" s="6">
        <f t="shared" si="203"/>
        <v>0</v>
      </c>
      <c r="S625" s="6">
        <f t="shared" si="204"/>
        <v>0</v>
      </c>
      <c r="T625" s="6">
        <f t="shared" si="205"/>
        <v>0</v>
      </c>
      <c r="U625" s="6">
        <f t="shared" si="206"/>
        <v>0</v>
      </c>
      <c r="V625" s="6">
        <f t="shared" si="207"/>
        <v>0</v>
      </c>
      <c r="W625" s="6">
        <f t="shared" si="208"/>
        <v>0</v>
      </c>
      <c r="X625" s="6">
        <f t="shared" si="209"/>
        <v>0</v>
      </c>
      <c r="Y625" s="6">
        <f t="shared" si="210"/>
        <v>0</v>
      </c>
      <c r="AA625" s="6" t="str">
        <f>IF(最佳化斷筋點!C625="","",最佳化斷筋點!C625)</f>
        <v>下層</v>
      </c>
      <c r="AB625" s="6">
        <f>IF(最佳化斷筋點!D625="","",最佳化斷筋點!D625)</f>
        <v>3</v>
      </c>
      <c r="AC625" s="6">
        <f>IF(最佳化斷筋點!E625="","",最佳化斷筋點!E625)</f>
        <v>3</v>
      </c>
      <c r="AD625" s="6">
        <f>IF(最佳化斷筋點!F625="","",最佳化斷筋點!F625)</f>
        <v>3</v>
      </c>
      <c r="AE625" s="6">
        <f>IF(最佳化斷筋點!G625="","",最佳化斷筋點!G625)</f>
        <v>3</v>
      </c>
      <c r="AF625" s="6">
        <f>IF(最佳化斷筋點!H625="","",最佳化斷筋點!H625)</f>
        <v>3</v>
      </c>
      <c r="AG625" s="6">
        <f>IF(最佳化斷筋點!I625="","",最佳化斷筋點!I625)</f>
        <v>3</v>
      </c>
      <c r="AH625" s="6">
        <f>IF(最佳化斷筋點!J625="","",最佳化斷筋點!J625)</f>
        <v>4</v>
      </c>
      <c r="AI625" s="6">
        <f>IF(最佳化斷筋點!K625="","",最佳化斷筋點!K625)</f>
        <v>4</v>
      </c>
      <c r="AJ625" s="6">
        <f>IF(最佳化斷筋點!L625="","",最佳化斷筋點!L625)</f>
        <v>4</v>
      </c>
      <c r="AK625" s="6">
        <f>IF(最佳化斷筋點!M625="","",最佳化斷筋點!M625)</f>
        <v>4</v>
      </c>
      <c r="AL625" s="6">
        <f>IF(最佳化斷筋點!N625="","",最佳化斷筋點!N625)</f>
        <v>4</v>
      </c>
      <c r="AM625" s="6">
        <f>IF(最佳化斷筋點!O625="","",最佳化斷筋點!O625)</f>
        <v>4</v>
      </c>
      <c r="AN625" s="6">
        <f>IF(最佳化斷筋點!P625="","",最佳化斷筋點!P625)</f>
        <v>4</v>
      </c>
      <c r="AO625" s="6">
        <f>IF(最佳化斷筋點!Q625="","",最佳化斷筋點!Q625)</f>
        <v>4</v>
      </c>
      <c r="AP625" s="6">
        <f>IF(最佳化斷筋點!R625="","",最佳化斷筋點!R625)</f>
        <v>4</v>
      </c>
      <c r="AQ625" s="6">
        <f>IF(最佳化斷筋點!S625="","",最佳化斷筋點!S625)</f>
        <v>3</v>
      </c>
      <c r="AR625" s="6">
        <f>IF(最佳化斷筋點!T625="","",最佳化斷筋點!T625)</f>
        <v>3</v>
      </c>
      <c r="AS625" s="6">
        <f>IF(最佳化斷筋點!U625="","",最佳化斷筋點!U625)</f>
        <v>3</v>
      </c>
      <c r="AT625" s="6">
        <f>IF(最佳化斷筋點!V625="","",最佳化斷筋點!V625)</f>
        <v>3</v>
      </c>
      <c r="AU625" s="6">
        <f>IF(最佳化斷筋點!W625="","",最佳化斷筋點!W625)</f>
        <v>3</v>
      </c>
      <c r="AV625" s="6">
        <f>IF(最佳化斷筋點!X625="","",最佳化斷筋點!X625)</f>
        <v>3</v>
      </c>
      <c r="AX625" s="6" t="s">
        <v>51</v>
      </c>
      <c r="AY625" s="6">
        <v>3</v>
      </c>
      <c r="AZ625" s="6">
        <v>3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3</v>
      </c>
      <c r="BO625" s="6">
        <v>3</v>
      </c>
      <c r="BP625" s="6">
        <v>3</v>
      </c>
      <c r="BQ625" s="6">
        <v>3</v>
      </c>
      <c r="BR625" s="6">
        <v>3</v>
      </c>
      <c r="BS625" s="6">
        <v>3</v>
      </c>
    </row>
    <row r="626" spans="4:71" x14ac:dyDescent="0.25">
      <c r="E626" s="6">
        <f t="shared" si="190"/>
        <v>0</v>
      </c>
      <c r="F626" s="6">
        <f t="shared" si="191"/>
        <v>0</v>
      </c>
      <c r="G626" s="6">
        <f t="shared" si="192"/>
        <v>0</v>
      </c>
      <c r="H626" s="6">
        <f t="shared" si="193"/>
        <v>0</v>
      </c>
      <c r="I626" s="6">
        <f t="shared" si="194"/>
        <v>0</v>
      </c>
      <c r="J626" s="6">
        <f t="shared" si="195"/>
        <v>0</v>
      </c>
      <c r="K626" s="6">
        <f t="shared" si="196"/>
        <v>0</v>
      </c>
      <c r="L626" s="6">
        <f t="shared" si="197"/>
        <v>0</v>
      </c>
      <c r="M626" s="6">
        <f t="shared" si="198"/>
        <v>0</v>
      </c>
      <c r="N626" s="6">
        <f t="shared" si="199"/>
        <v>0</v>
      </c>
      <c r="O626" s="6">
        <f t="shared" si="200"/>
        <v>0</v>
      </c>
      <c r="P626" s="6">
        <f t="shared" si="201"/>
        <v>0</v>
      </c>
      <c r="Q626" s="6">
        <f t="shared" si="202"/>
        <v>0</v>
      </c>
      <c r="R626" s="6">
        <f t="shared" si="203"/>
        <v>0</v>
      </c>
      <c r="S626" s="6">
        <f t="shared" si="204"/>
        <v>0</v>
      </c>
      <c r="T626" s="6">
        <f t="shared" si="205"/>
        <v>0</v>
      </c>
      <c r="U626" s="6">
        <f t="shared" si="206"/>
        <v>0</v>
      </c>
      <c r="V626" s="6">
        <f t="shared" si="207"/>
        <v>0</v>
      </c>
      <c r="W626" s="6">
        <f t="shared" si="208"/>
        <v>0</v>
      </c>
      <c r="X626" s="6">
        <f t="shared" si="209"/>
        <v>0</v>
      </c>
      <c r="Y626" s="6">
        <f t="shared" si="210"/>
        <v>0</v>
      </c>
      <c r="AA626" s="6" t="str">
        <f>IF(最佳化斷筋點!C626="","",最佳化斷筋點!C626)</f>
        <v/>
      </c>
      <c r="AB626" s="6" t="str">
        <f>IF(最佳化斷筋點!D626="","",最佳化斷筋點!D626)</f>
        <v/>
      </c>
      <c r="AC626" s="6" t="str">
        <f>IF(最佳化斷筋點!E626="","",最佳化斷筋點!E626)</f>
        <v/>
      </c>
      <c r="AD626" s="6" t="str">
        <f>IF(最佳化斷筋點!F626="","",最佳化斷筋點!F626)</f>
        <v/>
      </c>
      <c r="AE626" s="6" t="str">
        <f>IF(最佳化斷筋點!G626="","",最佳化斷筋點!G626)</f>
        <v/>
      </c>
      <c r="AF626" s="6" t="str">
        <f>IF(最佳化斷筋點!H626="","",最佳化斷筋點!H626)</f>
        <v/>
      </c>
      <c r="AG626" s="6" t="str">
        <f>IF(最佳化斷筋點!I626="","",最佳化斷筋點!I626)</f>
        <v/>
      </c>
      <c r="AH626" s="6" t="str">
        <f>IF(最佳化斷筋點!J626="","",最佳化斷筋點!J626)</f>
        <v/>
      </c>
      <c r="AI626" s="6" t="str">
        <f>IF(最佳化斷筋點!K626="","",最佳化斷筋點!K626)</f>
        <v/>
      </c>
      <c r="AJ626" s="6" t="str">
        <f>IF(最佳化斷筋點!L626="","",最佳化斷筋點!L626)</f>
        <v/>
      </c>
      <c r="AK626" s="6" t="str">
        <f>IF(最佳化斷筋點!M626="","",最佳化斷筋點!M626)</f>
        <v/>
      </c>
      <c r="AL626" s="6" t="str">
        <f>IF(最佳化斷筋點!N626="","",最佳化斷筋點!N626)</f>
        <v/>
      </c>
      <c r="AM626" s="6" t="str">
        <f>IF(最佳化斷筋點!O626="","",最佳化斷筋點!O626)</f>
        <v/>
      </c>
      <c r="AN626" s="6" t="str">
        <f>IF(最佳化斷筋點!P626="","",最佳化斷筋點!P626)</f>
        <v/>
      </c>
      <c r="AO626" s="6" t="str">
        <f>IF(最佳化斷筋點!Q626="","",最佳化斷筋點!Q626)</f>
        <v/>
      </c>
      <c r="AP626" s="6" t="str">
        <f>IF(最佳化斷筋點!R626="","",最佳化斷筋點!R626)</f>
        <v/>
      </c>
      <c r="AQ626" s="6" t="str">
        <f>IF(最佳化斷筋點!S626="","",最佳化斷筋點!S626)</f>
        <v/>
      </c>
      <c r="AR626" s="6" t="str">
        <f>IF(最佳化斷筋點!T626="","",最佳化斷筋點!T626)</f>
        <v/>
      </c>
      <c r="AS626" s="6" t="str">
        <f>IF(最佳化斷筋點!U626="","",最佳化斷筋點!U626)</f>
        <v/>
      </c>
      <c r="AT626" s="6" t="str">
        <f>IF(最佳化斷筋點!V626="","",最佳化斷筋點!V626)</f>
        <v/>
      </c>
      <c r="AU626" s="6" t="str">
        <f>IF(最佳化斷筋點!W626="","",最佳化斷筋點!W626)</f>
        <v/>
      </c>
      <c r="AV626" s="6" t="str">
        <f>IF(最佳化斷筋點!X626="","",最佳化斷筋點!X626)</f>
        <v/>
      </c>
    </row>
    <row r="627" spans="4:71" x14ac:dyDescent="0.25">
      <c r="D627" s="6" t="s">
        <v>50</v>
      </c>
      <c r="E627" s="6">
        <f t="shared" si="190"/>
        <v>0</v>
      </c>
      <c r="F627" s="6">
        <f t="shared" si="191"/>
        <v>0</v>
      </c>
      <c r="G627" s="6">
        <f t="shared" si="192"/>
        <v>0</v>
      </c>
      <c r="H627" s="6">
        <f t="shared" si="193"/>
        <v>0</v>
      </c>
      <c r="I627" s="6">
        <f t="shared" si="194"/>
        <v>0</v>
      </c>
      <c r="J627" s="6">
        <f t="shared" si="195"/>
        <v>0</v>
      </c>
      <c r="K627" s="6">
        <f t="shared" si="196"/>
        <v>0</v>
      </c>
      <c r="L627" s="6">
        <f t="shared" si="197"/>
        <v>0</v>
      </c>
      <c r="M627" s="6">
        <f t="shared" si="198"/>
        <v>0</v>
      </c>
      <c r="N627" s="6">
        <f t="shared" si="199"/>
        <v>0</v>
      </c>
      <c r="O627" s="6">
        <f t="shared" si="200"/>
        <v>0</v>
      </c>
      <c r="P627" s="6">
        <f t="shared" si="201"/>
        <v>0</v>
      </c>
      <c r="Q627" s="6">
        <f t="shared" si="202"/>
        <v>0</v>
      </c>
      <c r="R627" s="6">
        <f t="shared" si="203"/>
        <v>0</v>
      </c>
      <c r="S627" s="6">
        <f t="shared" si="204"/>
        <v>0</v>
      </c>
      <c r="T627" s="6">
        <f t="shared" si="205"/>
        <v>0</v>
      </c>
      <c r="U627" s="6">
        <f t="shared" si="206"/>
        <v>0</v>
      </c>
      <c r="V627" s="6">
        <f t="shared" si="207"/>
        <v>0</v>
      </c>
      <c r="W627" s="6">
        <f t="shared" si="208"/>
        <v>0</v>
      </c>
      <c r="X627" s="6">
        <f t="shared" si="209"/>
        <v>0</v>
      </c>
      <c r="Y627" s="6">
        <f t="shared" si="210"/>
        <v>0</v>
      </c>
      <c r="AA627" s="6" t="str">
        <f>IF(最佳化斷筋點!C627="","",最佳化斷筋點!C627)</f>
        <v>上層</v>
      </c>
      <c r="AB627" s="6">
        <f>IF(最佳化斷筋點!D627="","",最佳化斷筋點!D627)</f>
        <v>6</v>
      </c>
      <c r="AC627" s="6">
        <f>IF(最佳化斷筋點!E627="","",最佳化斷筋點!E627)</f>
        <v>6</v>
      </c>
      <c r="AD627" s="6">
        <f>IF(最佳化斷筋點!F627="","",最佳化斷筋點!F627)</f>
        <v>5</v>
      </c>
      <c r="AE627" s="6">
        <f>IF(最佳化斷筋點!G627="","",最佳化斷筋點!G627)</f>
        <v>5</v>
      </c>
      <c r="AF627" s="6">
        <f>IF(最佳化斷筋點!H627="","",最佳化斷筋點!H627)</f>
        <v>4</v>
      </c>
      <c r="AG627" s="6">
        <f>IF(最佳化斷筋點!I627="","",最佳化斷筋點!I627)</f>
        <v>4</v>
      </c>
      <c r="AH627" s="6">
        <f>IF(最佳化斷筋點!J627="","",最佳化斷筋點!J627)</f>
        <v>3</v>
      </c>
      <c r="AI627" s="6">
        <f>IF(最佳化斷筋點!K627="","",最佳化斷筋點!K627)</f>
        <v>2</v>
      </c>
      <c r="AJ627" s="6">
        <f>IF(最佳化斷筋點!L627="","",最佳化斷筋點!L627)</f>
        <v>2</v>
      </c>
      <c r="AK627" s="6">
        <f>IF(最佳化斷筋點!M627="","",最佳化斷筋點!M627)</f>
        <v>2</v>
      </c>
      <c r="AL627" s="6">
        <f>IF(最佳化斷筋點!N627="","",最佳化斷筋點!N627)</f>
        <v>2</v>
      </c>
      <c r="AM627" s="6">
        <f>IF(最佳化斷筋點!O627="","",最佳化斷筋點!O627)</f>
        <v>2</v>
      </c>
      <c r="AN627" s="6">
        <f>IF(最佳化斷筋點!P627="","",最佳化斷筋點!P627)</f>
        <v>2</v>
      </c>
      <c r="AO627" s="6">
        <f>IF(最佳化斷筋點!Q627="","",最佳化斷筋點!Q627)</f>
        <v>2</v>
      </c>
      <c r="AP627" s="6">
        <f>IF(最佳化斷筋點!R627="","",最佳化斷筋點!R627)</f>
        <v>2</v>
      </c>
      <c r="AQ627" s="6">
        <f>IF(最佳化斷筋點!S627="","",最佳化斷筋點!S627)</f>
        <v>2</v>
      </c>
      <c r="AR627" s="6">
        <f>IF(最佳化斷筋點!T627="","",最佳化斷筋點!T627)</f>
        <v>3</v>
      </c>
      <c r="AS627" s="6">
        <f>IF(最佳化斷筋點!U627="","",最佳化斷筋點!U627)</f>
        <v>3</v>
      </c>
      <c r="AT627" s="6">
        <f>IF(最佳化斷筋點!V627="","",最佳化斷筋點!V627)</f>
        <v>4</v>
      </c>
      <c r="AU627" s="6">
        <f>IF(最佳化斷筋點!W627="","",最佳化斷筋點!W627)</f>
        <v>4</v>
      </c>
      <c r="AV627" s="6">
        <f>IF(最佳化斷筋點!X627="","",最佳化斷筋點!X627)</f>
        <v>4</v>
      </c>
      <c r="AX627" s="6" t="s">
        <v>50</v>
      </c>
      <c r="AY627" s="6">
        <v>6</v>
      </c>
      <c r="AZ627" s="6">
        <v>6</v>
      </c>
      <c r="BA627" s="6">
        <v>5</v>
      </c>
      <c r="BB627" s="6">
        <v>5</v>
      </c>
      <c r="BC627" s="6">
        <v>4</v>
      </c>
      <c r="BD627" s="6">
        <v>4</v>
      </c>
      <c r="BE627" s="6">
        <v>3</v>
      </c>
      <c r="BF627" s="6">
        <v>2</v>
      </c>
      <c r="BG627" s="6">
        <v>2</v>
      </c>
      <c r="BH627" s="6">
        <v>2</v>
      </c>
      <c r="BI627" s="6">
        <v>2</v>
      </c>
      <c r="BJ627" s="6">
        <v>2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</row>
    <row r="628" spans="4:71" x14ac:dyDescent="0.25">
      <c r="E628" s="6">
        <f t="shared" si="190"/>
        <v>0</v>
      </c>
      <c r="F628" s="6">
        <f t="shared" si="191"/>
        <v>0</v>
      </c>
      <c r="G628" s="6">
        <f t="shared" si="192"/>
        <v>0</v>
      </c>
      <c r="H628" s="6">
        <f t="shared" si="193"/>
        <v>0</v>
      </c>
      <c r="I628" s="6">
        <f t="shared" si="194"/>
        <v>0</v>
      </c>
      <c r="J628" s="6">
        <f t="shared" si="195"/>
        <v>0</v>
      </c>
      <c r="K628" s="6">
        <f t="shared" si="196"/>
        <v>0</v>
      </c>
      <c r="L628" s="6">
        <f t="shared" si="197"/>
        <v>0</v>
      </c>
      <c r="M628" s="6">
        <f t="shared" si="198"/>
        <v>0</v>
      </c>
      <c r="N628" s="6">
        <f t="shared" si="199"/>
        <v>0</v>
      </c>
      <c r="O628" s="6">
        <f t="shared" si="200"/>
        <v>0</v>
      </c>
      <c r="P628" s="6">
        <f t="shared" si="201"/>
        <v>0</v>
      </c>
      <c r="Q628" s="6">
        <f t="shared" si="202"/>
        <v>0</v>
      </c>
      <c r="R628" s="6">
        <f t="shared" si="203"/>
        <v>0</v>
      </c>
      <c r="S628" s="6">
        <f t="shared" si="204"/>
        <v>0</v>
      </c>
      <c r="T628" s="6">
        <f t="shared" si="205"/>
        <v>0</v>
      </c>
      <c r="U628" s="6">
        <f t="shared" si="206"/>
        <v>0</v>
      </c>
      <c r="V628" s="6">
        <f t="shared" si="207"/>
        <v>0</v>
      </c>
      <c r="W628" s="6">
        <f t="shared" si="208"/>
        <v>0</v>
      </c>
      <c r="X628" s="6">
        <f t="shared" si="209"/>
        <v>0</v>
      </c>
      <c r="Y628" s="6">
        <f t="shared" si="210"/>
        <v>0</v>
      </c>
      <c r="AA628" s="6" t="str">
        <f>IF(最佳化斷筋點!C628="","",最佳化斷筋點!C628)</f>
        <v/>
      </c>
      <c r="AB628" s="6" t="str">
        <f>IF(最佳化斷筋點!D628="","",最佳化斷筋點!D628)</f>
        <v/>
      </c>
      <c r="AC628" s="6" t="str">
        <f>IF(最佳化斷筋點!E628="","",最佳化斷筋點!E628)</f>
        <v/>
      </c>
      <c r="AD628" s="6" t="str">
        <f>IF(最佳化斷筋點!F628="","",最佳化斷筋點!F628)</f>
        <v/>
      </c>
      <c r="AE628" s="6" t="str">
        <f>IF(最佳化斷筋點!G628="","",最佳化斷筋點!G628)</f>
        <v/>
      </c>
      <c r="AF628" s="6" t="str">
        <f>IF(最佳化斷筋點!H628="","",最佳化斷筋點!H628)</f>
        <v/>
      </c>
      <c r="AG628" s="6" t="str">
        <f>IF(最佳化斷筋點!I628="","",最佳化斷筋點!I628)</f>
        <v/>
      </c>
      <c r="AH628" s="6" t="str">
        <f>IF(最佳化斷筋點!J628="","",最佳化斷筋點!J628)</f>
        <v/>
      </c>
      <c r="AI628" s="6" t="str">
        <f>IF(最佳化斷筋點!K628="","",最佳化斷筋點!K628)</f>
        <v/>
      </c>
      <c r="AJ628" s="6" t="str">
        <f>IF(最佳化斷筋點!L628="","",最佳化斷筋點!L628)</f>
        <v/>
      </c>
      <c r="AK628" s="6" t="str">
        <f>IF(最佳化斷筋點!M628="","",最佳化斷筋點!M628)</f>
        <v/>
      </c>
      <c r="AL628" s="6" t="str">
        <f>IF(最佳化斷筋點!N628="","",最佳化斷筋點!N628)</f>
        <v/>
      </c>
      <c r="AM628" s="6" t="str">
        <f>IF(最佳化斷筋點!O628="","",最佳化斷筋點!O628)</f>
        <v/>
      </c>
      <c r="AN628" s="6" t="str">
        <f>IF(最佳化斷筋點!P628="","",最佳化斷筋點!P628)</f>
        <v/>
      </c>
      <c r="AO628" s="6" t="str">
        <f>IF(最佳化斷筋點!Q628="","",最佳化斷筋點!Q628)</f>
        <v/>
      </c>
      <c r="AP628" s="6" t="str">
        <f>IF(最佳化斷筋點!R628="","",最佳化斷筋點!R628)</f>
        <v/>
      </c>
      <c r="AQ628" s="6" t="str">
        <f>IF(最佳化斷筋點!S628="","",最佳化斷筋點!S628)</f>
        <v/>
      </c>
      <c r="AR628" s="6" t="str">
        <f>IF(最佳化斷筋點!T628="","",最佳化斷筋點!T628)</f>
        <v/>
      </c>
      <c r="AS628" s="6" t="str">
        <f>IF(最佳化斷筋點!U628="","",最佳化斷筋點!U628)</f>
        <v/>
      </c>
      <c r="AT628" s="6" t="str">
        <f>IF(最佳化斷筋點!V628="","",最佳化斷筋點!V628)</f>
        <v/>
      </c>
      <c r="AU628" s="6" t="str">
        <f>IF(最佳化斷筋點!W628="","",最佳化斷筋點!W628)</f>
        <v/>
      </c>
      <c r="AV628" s="6" t="str">
        <f>IF(最佳化斷筋點!X628="","",最佳化斷筋點!X628)</f>
        <v/>
      </c>
    </row>
    <row r="629" spans="4:71" x14ac:dyDescent="0.25">
      <c r="D629" s="6" t="s">
        <v>51</v>
      </c>
      <c r="E629" s="6">
        <f t="shared" si="190"/>
        <v>0</v>
      </c>
      <c r="F629" s="6">
        <f t="shared" si="191"/>
        <v>0</v>
      </c>
      <c r="G629" s="6">
        <f t="shared" si="192"/>
        <v>0</v>
      </c>
      <c r="H629" s="6">
        <f t="shared" si="193"/>
        <v>0</v>
      </c>
      <c r="I629" s="6">
        <f t="shared" si="194"/>
        <v>0</v>
      </c>
      <c r="J629" s="6">
        <f t="shared" si="195"/>
        <v>0</v>
      </c>
      <c r="K629" s="6">
        <f t="shared" si="196"/>
        <v>0</v>
      </c>
      <c r="L629" s="6">
        <f t="shared" si="197"/>
        <v>0</v>
      </c>
      <c r="M629" s="6">
        <f t="shared" si="198"/>
        <v>0</v>
      </c>
      <c r="N629" s="6">
        <f t="shared" si="199"/>
        <v>0</v>
      </c>
      <c r="O629" s="6">
        <f t="shared" si="200"/>
        <v>0</v>
      </c>
      <c r="P629" s="6">
        <f t="shared" si="201"/>
        <v>0</v>
      </c>
      <c r="Q629" s="6">
        <f t="shared" si="202"/>
        <v>0</v>
      </c>
      <c r="R629" s="6">
        <f t="shared" si="203"/>
        <v>0</v>
      </c>
      <c r="S629" s="6">
        <f t="shared" si="204"/>
        <v>0</v>
      </c>
      <c r="T629" s="6">
        <f t="shared" si="205"/>
        <v>0</v>
      </c>
      <c r="U629" s="6">
        <f t="shared" si="206"/>
        <v>0</v>
      </c>
      <c r="V629" s="6">
        <f t="shared" si="207"/>
        <v>0</v>
      </c>
      <c r="W629" s="6">
        <f t="shared" si="208"/>
        <v>0</v>
      </c>
      <c r="X629" s="6">
        <f t="shared" si="209"/>
        <v>0</v>
      </c>
      <c r="Y629" s="6">
        <f t="shared" si="210"/>
        <v>0</v>
      </c>
      <c r="AA629" s="6" t="str">
        <f>IF(最佳化斷筋點!C629="","",最佳化斷筋點!C629)</f>
        <v>下層</v>
      </c>
      <c r="AB629" s="6">
        <f>IF(最佳化斷筋點!D629="","",最佳化斷筋點!D629)</f>
        <v>3</v>
      </c>
      <c r="AC629" s="6">
        <f>IF(最佳化斷筋點!E629="","",最佳化斷筋點!E629)</f>
        <v>3</v>
      </c>
      <c r="AD629" s="6">
        <f>IF(最佳化斷筋點!F629="","",最佳化斷筋點!F629)</f>
        <v>3</v>
      </c>
      <c r="AE629" s="6">
        <f>IF(最佳化斷筋點!G629="","",最佳化斷筋點!G629)</f>
        <v>3</v>
      </c>
      <c r="AF629" s="6">
        <f>IF(最佳化斷筋點!H629="","",最佳化斷筋點!H629)</f>
        <v>3</v>
      </c>
      <c r="AG629" s="6">
        <f>IF(最佳化斷筋點!I629="","",最佳化斷筋點!I629)</f>
        <v>3</v>
      </c>
      <c r="AH629" s="6">
        <f>IF(最佳化斷筋點!J629="","",最佳化斷筋點!J629)</f>
        <v>4</v>
      </c>
      <c r="AI629" s="6">
        <f>IF(最佳化斷筋點!K629="","",最佳化斷筋點!K629)</f>
        <v>4</v>
      </c>
      <c r="AJ629" s="6">
        <f>IF(最佳化斷筋點!L629="","",最佳化斷筋點!L629)</f>
        <v>4</v>
      </c>
      <c r="AK629" s="6">
        <f>IF(最佳化斷筋點!M629="","",最佳化斷筋點!M629)</f>
        <v>4</v>
      </c>
      <c r="AL629" s="6">
        <f>IF(最佳化斷筋點!N629="","",最佳化斷筋點!N629)</f>
        <v>4</v>
      </c>
      <c r="AM629" s="6">
        <f>IF(最佳化斷筋點!O629="","",最佳化斷筋點!O629)</f>
        <v>4</v>
      </c>
      <c r="AN629" s="6">
        <f>IF(最佳化斷筋點!P629="","",最佳化斷筋點!P629)</f>
        <v>4</v>
      </c>
      <c r="AO629" s="6">
        <f>IF(最佳化斷筋點!Q629="","",最佳化斷筋點!Q629)</f>
        <v>4</v>
      </c>
      <c r="AP629" s="6">
        <f>IF(最佳化斷筋點!R629="","",最佳化斷筋點!R629)</f>
        <v>4</v>
      </c>
      <c r="AQ629" s="6">
        <f>IF(最佳化斷筋點!S629="","",最佳化斷筋點!S629)</f>
        <v>3</v>
      </c>
      <c r="AR629" s="6">
        <f>IF(最佳化斷筋點!T629="","",最佳化斷筋點!T629)</f>
        <v>3</v>
      </c>
      <c r="AS629" s="6">
        <f>IF(最佳化斷筋點!U629="","",最佳化斷筋點!U629)</f>
        <v>3</v>
      </c>
      <c r="AT629" s="6">
        <f>IF(最佳化斷筋點!V629="","",最佳化斷筋點!V629)</f>
        <v>3</v>
      </c>
      <c r="AU629" s="6">
        <f>IF(最佳化斷筋點!W629="","",最佳化斷筋點!W629)</f>
        <v>3</v>
      </c>
      <c r="AV629" s="6">
        <f>IF(最佳化斷筋點!X629="","",最佳化斷筋點!X629)</f>
        <v>3</v>
      </c>
      <c r="AX629" s="6" t="s">
        <v>51</v>
      </c>
      <c r="AY629" s="6">
        <v>3</v>
      </c>
      <c r="AZ629" s="6">
        <v>3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3</v>
      </c>
      <c r="BO629" s="6">
        <v>3</v>
      </c>
      <c r="BP629" s="6">
        <v>3</v>
      </c>
      <c r="BQ629" s="6">
        <v>3</v>
      </c>
      <c r="BR629" s="6">
        <v>3</v>
      </c>
      <c r="BS629" s="6">
        <v>3</v>
      </c>
    </row>
    <row r="630" spans="4:71" x14ac:dyDescent="0.25">
      <c r="E630" s="6">
        <f t="shared" si="190"/>
        <v>0</v>
      </c>
      <c r="F630" s="6">
        <f t="shared" si="191"/>
        <v>0</v>
      </c>
      <c r="G630" s="6">
        <f t="shared" si="192"/>
        <v>0</v>
      </c>
      <c r="H630" s="6">
        <f t="shared" si="193"/>
        <v>0</v>
      </c>
      <c r="I630" s="6">
        <f t="shared" si="194"/>
        <v>0</v>
      </c>
      <c r="J630" s="6">
        <f t="shared" si="195"/>
        <v>0</v>
      </c>
      <c r="K630" s="6">
        <f t="shared" si="196"/>
        <v>0</v>
      </c>
      <c r="L630" s="6">
        <f t="shared" si="197"/>
        <v>0</v>
      </c>
      <c r="M630" s="6">
        <f t="shared" si="198"/>
        <v>0</v>
      </c>
      <c r="N630" s="6">
        <f t="shared" si="199"/>
        <v>0</v>
      </c>
      <c r="O630" s="6">
        <f t="shared" si="200"/>
        <v>0</v>
      </c>
      <c r="P630" s="6">
        <f t="shared" si="201"/>
        <v>0</v>
      </c>
      <c r="Q630" s="6">
        <f t="shared" si="202"/>
        <v>0</v>
      </c>
      <c r="R630" s="6">
        <f t="shared" si="203"/>
        <v>0</v>
      </c>
      <c r="S630" s="6">
        <f t="shared" si="204"/>
        <v>0</v>
      </c>
      <c r="T630" s="6">
        <f t="shared" si="205"/>
        <v>0</v>
      </c>
      <c r="U630" s="6">
        <f t="shared" si="206"/>
        <v>0</v>
      </c>
      <c r="V630" s="6">
        <f t="shared" si="207"/>
        <v>0</v>
      </c>
      <c r="W630" s="6">
        <f t="shared" si="208"/>
        <v>0</v>
      </c>
      <c r="X630" s="6">
        <f t="shared" si="209"/>
        <v>0</v>
      </c>
      <c r="Y630" s="6">
        <f t="shared" si="210"/>
        <v>0</v>
      </c>
      <c r="AA630" s="6" t="str">
        <f>IF(最佳化斷筋點!C630="","",最佳化斷筋點!C630)</f>
        <v/>
      </c>
      <c r="AB630" s="6" t="str">
        <f>IF(最佳化斷筋點!D630="","",最佳化斷筋點!D630)</f>
        <v/>
      </c>
      <c r="AC630" s="6" t="str">
        <f>IF(最佳化斷筋點!E630="","",最佳化斷筋點!E630)</f>
        <v/>
      </c>
      <c r="AD630" s="6" t="str">
        <f>IF(最佳化斷筋點!F630="","",最佳化斷筋點!F630)</f>
        <v/>
      </c>
      <c r="AE630" s="6" t="str">
        <f>IF(最佳化斷筋點!G630="","",最佳化斷筋點!G630)</f>
        <v/>
      </c>
      <c r="AF630" s="6" t="str">
        <f>IF(最佳化斷筋點!H630="","",最佳化斷筋點!H630)</f>
        <v/>
      </c>
      <c r="AG630" s="6" t="str">
        <f>IF(最佳化斷筋點!I630="","",最佳化斷筋點!I630)</f>
        <v/>
      </c>
      <c r="AH630" s="6" t="str">
        <f>IF(最佳化斷筋點!J630="","",最佳化斷筋點!J630)</f>
        <v/>
      </c>
      <c r="AI630" s="6" t="str">
        <f>IF(最佳化斷筋點!K630="","",最佳化斷筋點!K630)</f>
        <v/>
      </c>
      <c r="AJ630" s="6" t="str">
        <f>IF(最佳化斷筋點!L630="","",最佳化斷筋點!L630)</f>
        <v/>
      </c>
      <c r="AK630" s="6" t="str">
        <f>IF(最佳化斷筋點!M630="","",最佳化斷筋點!M630)</f>
        <v/>
      </c>
      <c r="AL630" s="6" t="str">
        <f>IF(最佳化斷筋點!N630="","",最佳化斷筋點!N630)</f>
        <v/>
      </c>
      <c r="AM630" s="6" t="str">
        <f>IF(最佳化斷筋點!O630="","",最佳化斷筋點!O630)</f>
        <v/>
      </c>
      <c r="AN630" s="6" t="str">
        <f>IF(最佳化斷筋點!P630="","",最佳化斷筋點!P630)</f>
        <v/>
      </c>
      <c r="AO630" s="6" t="str">
        <f>IF(最佳化斷筋點!Q630="","",最佳化斷筋點!Q630)</f>
        <v/>
      </c>
      <c r="AP630" s="6" t="str">
        <f>IF(最佳化斷筋點!R630="","",最佳化斷筋點!R630)</f>
        <v/>
      </c>
      <c r="AQ630" s="6" t="str">
        <f>IF(最佳化斷筋點!S630="","",最佳化斷筋點!S630)</f>
        <v/>
      </c>
      <c r="AR630" s="6" t="str">
        <f>IF(最佳化斷筋點!T630="","",最佳化斷筋點!T630)</f>
        <v/>
      </c>
      <c r="AS630" s="6" t="str">
        <f>IF(最佳化斷筋點!U630="","",最佳化斷筋點!U630)</f>
        <v/>
      </c>
      <c r="AT630" s="6" t="str">
        <f>IF(最佳化斷筋點!V630="","",最佳化斷筋點!V630)</f>
        <v/>
      </c>
      <c r="AU630" s="6" t="str">
        <f>IF(最佳化斷筋點!W630="","",最佳化斷筋點!W630)</f>
        <v/>
      </c>
      <c r="AV630" s="6" t="str">
        <f>IF(最佳化斷筋點!X630="","",最佳化斷筋點!X630)</f>
        <v/>
      </c>
    </row>
    <row r="631" spans="4:71" x14ac:dyDescent="0.25">
      <c r="D631" s="6" t="s">
        <v>50</v>
      </c>
      <c r="E631" s="6">
        <f t="shared" si="190"/>
        <v>0</v>
      </c>
      <c r="F631" s="6">
        <f t="shared" si="191"/>
        <v>0</v>
      </c>
      <c r="G631" s="6">
        <f t="shared" si="192"/>
        <v>0</v>
      </c>
      <c r="H631" s="6">
        <f t="shared" si="193"/>
        <v>0</v>
      </c>
      <c r="I631" s="6">
        <f t="shared" si="194"/>
        <v>0</v>
      </c>
      <c r="J631" s="6">
        <f t="shared" si="195"/>
        <v>0</v>
      </c>
      <c r="K631" s="6">
        <f t="shared" si="196"/>
        <v>0</v>
      </c>
      <c r="L631" s="6">
        <f t="shared" si="197"/>
        <v>0</v>
      </c>
      <c r="M631" s="6">
        <f t="shared" si="198"/>
        <v>0</v>
      </c>
      <c r="N631" s="6">
        <f t="shared" si="199"/>
        <v>0</v>
      </c>
      <c r="O631" s="6">
        <f t="shared" si="200"/>
        <v>0</v>
      </c>
      <c r="P631" s="6">
        <f t="shared" si="201"/>
        <v>0</v>
      </c>
      <c r="Q631" s="6">
        <f t="shared" si="202"/>
        <v>0</v>
      </c>
      <c r="R631" s="6">
        <f t="shared" si="203"/>
        <v>0</v>
      </c>
      <c r="S631" s="6">
        <f t="shared" si="204"/>
        <v>0</v>
      </c>
      <c r="T631" s="6">
        <f t="shared" si="205"/>
        <v>0</v>
      </c>
      <c r="U631" s="6">
        <f t="shared" si="206"/>
        <v>0</v>
      </c>
      <c r="V631" s="6">
        <f t="shared" si="207"/>
        <v>0</v>
      </c>
      <c r="W631" s="6">
        <f t="shared" si="208"/>
        <v>0</v>
      </c>
      <c r="X631" s="6">
        <f t="shared" si="209"/>
        <v>0</v>
      </c>
      <c r="Y631" s="6">
        <f t="shared" si="210"/>
        <v>0</v>
      </c>
      <c r="AA631" s="6" t="str">
        <f>IF(最佳化斷筋點!C631="","",最佳化斷筋點!C631)</f>
        <v>上層</v>
      </c>
      <c r="AB631" s="6">
        <f>IF(最佳化斷筋點!D631="","",最佳化斷筋點!D631)</f>
        <v>4</v>
      </c>
      <c r="AC631" s="6">
        <f>IF(最佳化斷筋點!E631="","",最佳化斷筋點!E631)</f>
        <v>4</v>
      </c>
      <c r="AD631" s="6">
        <f>IF(最佳化斷筋點!F631="","",最佳化斷筋點!F631)</f>
        <v>4</v>
      </c>
      <c r="AE631" s="6">
        <f>IF(最佳化斷筋點!G631="","",最佳化斷筋點!G631)</f>
        <v>3</v>
      </c>
      <c r="AF631" s="6">
        <f>IF(最佳化斷筋點!H631="","",最佳化斷筋點!H631)</f>
        <v>3</v>
      </c>
      <c r="AG631" s="6">
        <f>IF(最佳化斷筋點!I631="","",最佳化斷筋點!I631)</f>
        <v>3</v>
      </c>
      <c r="AH631" s="6">
        <f>IF(最佳化斷筋點!J631="","",最佳化斷筋點!J631)</f>
        <v>2</v>
      </c>
      <c r="AI631" s="6">
        <f>IF(最佳化斷筋點!K631="","",最佳化斷筋點!K631)</f>
        <v>2</v>
      </c>
      <c r="AJ631" s="6">
        <f>IF(最佳化斷筋點!L631="","",最佳化斷筋點!L631)</f>
        <v>2</v>
      </c>
      <c r="AK631" s="6">
        <f>IF(最佳化斷筋點!M631="","",最佳化斷筋點!M631)</f>
        <v>2</v>
      </c>
      <c r="AL631" s="6">
        <f>IF(最佳化斷筋點!N631="","",最佳化斷筋點!N631)</f>
        <v>2</v>
      </c>
      <c r="AM631" s="6">
        <f>IF(最佳化斷筋點!O631="","",最佳化斷筋點!O631)</f>
        <v>2</v>
      </c>
      <c r="AN631" s="6">
        <f>IF(最佳化斷筋點!P631="","",最佳化斷筋點!P631)</f>
        <v>2</v>
      </c>
      <c r="AO631" s="6">
        <f>IF(最佳化斷筋點!Q631="","",最佳化斷筋點!Q631)</f>
        <v>2</v>
      </c>
      <c r="AP631" s="6">
        <f>IF(最佳化斷筋點!R631="","",最佳化斷筋點!R631)</f>
        <v>2</v>
      </c>
      <c r="AQ631" s="6">
        <f>IF(最佳化斷筋點!S631="","",最佳化斷筋點!S631)</f>
        <v>2</v>
      </c>
      <c r="AR631" s="6">
        <f>IF(最佳化斷筋點!T631="","",最佳化斷筋點!T631)</f>
        <v>2</v>
      </c>
      <c r="AS631" s="6">
        <f>IF(最佳化斷筋點!U631="","",最佳化斷筋點!U631)</f>
        <v>2</v>
      </c>
      <c r="AT631" s="6">
        <f>IF(最佳化斷筋點!V631="","",最佳化斷筋點!V631)</f>
        <v>2</v>
      </c>
      <c r="AU631" s="6">
        <f>IF(最佳化斷筋點!W631="","",最佳化斷筋點!W631)</f>
        <v>2</v>
      </c>
      <c r="AV631" s="6">
        <f>IF(最佳化斷筋點!X631="","",最佳化斷筋點!X631)</f>
        <v>2</v>
      </c>
      <c r="AX631" s="6" t="s">
        <v>50</v>
      </c>
      <c r="AY631" s="6">
        <v>4</v>
      </c>
      <c r="AZ631" s="6">
        <v>4</v>
      </c>
      <c r="BA631" s="6">
        <v>4</v>
      </c>
      <c r="BB631" s="6">
        <v>3</v>
      </c>
      <c r="BC631" s="6">
        <v>3</v>
      </c>
      <c r="BD631" s="6">
        <v>3</v>
      </c>
      <c r="BE631" s="6">
        <v>2</v>
      </c>
      <c r="BF631" s="6">
        <v>2</v>
      </c>
      <c r="BG631" s="6">
        <v>2</v>
      </c>
      <c r="BH631" s="6">
        <v>2</v>
      </c>
      <c r="BI631" s="6">
        <v>2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</row>
    <row r="632" spans="4:71" x14ac:dyDescent="0.25">
      <c r="E632" s="6">
        <f t="shared" si="190"/>
        <v>0</v>
      </c>
      <c r="F632" s="6">
        <f t="shared" si="191"/>
        <v>0</v>
      </c>
      <c r="G632" s="6">
        <f t="shared" si="192"/>
        <v>0</v>
      </c>
      <c r="H632" s="6">
        <f t="shared" si="193"/>
        <v>0</v>
      </c>
      <c r="I632" s="6">
        <f t="shared" si="194"/>
        <v>0</v>
      </c>
      <c r="J632" s="6">
        <f t="shared" si="195"/>
        <v>0</v>
      </c>
      <c r="K632" s="6">
        <f t="shared" si="196"/>
        <v>0</v>
      </c>
      <c r="L632" s="6">
        <f t="shared" si="197"/>
        <v>0</v>
      </c>
      <c r="M632" s="6">
        <f t="shared" si="198"/>
        <v>0</v>
      </c>
      <c r="N632" s="6">
        <f t="shared" si="199"/>
        <v>0</v>
      </c>
      <c r="O632" s="6">
        <f t="shared" si="200"/>
        <v>0</v>
      </c>
      <c r="P632" s="6">
        <f t="shared" si="201"/>
        <v>0</v>
      </c>
      <c r="Q632" s="6">
        <f t="shared" si="202"/>
        <v>0</v>
      </c>
      <c r="R632" s="6">
        <f t="shared" si="203"/>
        <v>0</v>
      </c>
      <c r="S632" s="6">
        <f t="shared" si="204"/>
        <v>0</v>
      </c>
      <c r="T632" s="6">
        <f t="shared" si="205"/>
        <v>0</v>
      </c>
      <c r="U632" s="6">
        <f t="shared" si="206"/>
        <v>0</v>
      </c>
      <c r="V632" s="6">
        <f t="shared" si="207"/>
        <v>0</v>
      </c>
      <c r="W632" s="6">
        <f t="shared" si="208"/>
        <v>0</v>
      </c>
      <c r="X632" s="6">
        <f t="shared" si="209"/>
        <v>0</v>
      </c>
      <c r="Y632" s="6">
        <f t="shared" si="210"/>
        <v>0</v>
      </c>
      <c r="AA632" s="6" t="str">
        <f>IF(最佳化斷筋點!C632="","",最佳化斷筋點!C632)</f>
        <v/>
      </c>
      <c r="AB632" s="6" t="str">
        <f>IF(最佳化斷筋點!D632="","",最佳化斷筋點!D632)</f>
        <v/>
      </c>
      <c r="AC632" s="6" t="str">
        <f>IF(最佳化斷筋點!E632="","",最佳化斷筋點!E632)</f>
        <v/>
      </c>
      <c r="AD632" s="6" t="str">
        <f>IF(最佳化斷筋點!F632="","",最佳化斷筋點!F632)</f>
        <v/>
      </c>
      <c r="AE632" s="6" t="str">
        <f>IF(最佳化斷筋點!G632="","",最佳化斷筋點!G632)</f>
        <v/>
      </c>
      <c r="AF632" s="6" t="str">
        <f>IF(最佳化斷筋點!H632="","",最佳化斷筋點!H632)</f>
        <v/>
      </c>
      <c r="AG632" s="6" t="str">
        <f>IF(最佳化斷筋點!I632="","",最佳化斷筋點!I632)</f>
        <v/>
      </c>
      <c r="AH632" s="6" t="str">
        <f>IF(最佳化斷筋點!J632="","",最佳化斷筋點!J632)</f>
        <v/>
      </c>
      <c r="AI632" s="6" t="str">
        <f>IF(最佳化斷筋點!K632="","",最佳化斷筋點!K632)</f>
        <v/>
      </c>
      <c r="AJ632" s="6" t="str">
        <f>IF(最佳化斷筋點!L632="","",最佳化斷筋點!L632)</f>
        <v/>
      </c>
      <c r="AK632" s="6" t="str">
        <f>IF(最佳化斷筋點!M632="","",最佳化斷筋點!M632)</f>
        <v/>
      </c>
      <c r="AL632" s="6" t="str">
        <f>IF(最佳化斷筋點!N632="","",最佳化斷筋點!N632)</f>
        <v/>
      </c>
      <c r="AM632" s="6" t="str">
        <f>IF(最佳化斷筋點!O632="","",最佳化斷筋點!O632)</f>
        <v/>
      </c>
      <c r="AN632" s="6" t="str">
        <f>IF(最佳化斷筋點!P632="","",最佳化斷筋點!P632)</f>
        <v/>
      </c>
      <c r="AO632" s="6" t="str">
        <f>IF(最佳化斷筋點!Q632="","",最佳化斷筋點!Q632)</f>
        <v/>
      </c>
      <c r="AP632" s="6" t="str">
        <f>IF(最佳化斷筋點!R632="","",最佳化斷筋點!R632)</f>
        <v/>
      </c>
      <c r="AQ632" s="6" t="str">
        <f>IF(最佳化斷筋點!S632="","",最佳化斷筋點!S632)</f>
        <v/>
      </c>
      <c r="AR632" s="6" t="str">
        <f>IF(最佳化斷筋點!T632="","",最佳化斷筋點!T632)</f>
        <v/>
      </c>
      <c r="AS632" s="6" t="str">
        <f>IF(最佳化斷筋點!U632="","",最佳化斷筋點!U632)</f>
        <v/>
      </c>
      <c r="AT632" s="6" t="str">
        <f>IF(最佳化斷筋點!V632="","",最佳化斷筋點!V632)</f>
        <v/>
      </c>
      <c r="AU632" s="6" t="str">
        <f>IF(最佳化斷筋點!W632="","",最佳化斷筋點!W632)</f>
        <v/>
      </c>
      <c r="AV632" s="6" t="str">
        <f>IF(最佳化斷筋點!X632="","",最佳化斷筋點!X632)</f>
        <v/>
      </c>
    </row>
    <row r="633" spans="4:71" x14ac:dyDescent="0.25">
      <c r="D633" s="6" t="s">
        <v>51</v>
      </c>
      <c r="E633" s="6">
        <f t="shared" si="190"/>
        <v>0</v>
      </c>
      <c r="F633" s="6">
        <f t="shared" si="191"/>
        <v>0</v>
      </c>
      <c r="G633" s="6">
        <f t="shared" si="192"/>
        <v>0</v>
      </c>
      <c r="H633" s="6">
        <f t="shared" si="193"/>
        <v>0</v>
      </c>
      <c r="I633" s="6">
        <f t="shared" si="194"/>
        <v>0</v>
      </c>
      <c r="J633" s="6">
        <f t="shared" si="195"/>
        <v>0</v>
      </c>
      <c r="K633" s="6">
        <f t="shared" si="196"/>
        <v>0</v>
      </c>
      <c r="L633" s="6">
        <f t="shared" si="197"/>
        <v>0</v>
      </c>
      <c r="M633" s="6">
        <f t="shared" si="198"/>
        <v>0</v>
      </c>
      <c r="N633" s="6">
        <f t="shared" si="199"/>
        <v>0</v>
      </c>
      <c r="O633" s="6">
        <f t="shared" si="200"/>
        <v>0</v>
      </c>
      <c r="P633" s="6">
        <f t="shared" si="201"/>
        <v>0</v>
      </c>
      <c r="Q633" s="6">
        <f t="shared" si="202"/>
        <v>0</v>
      </c>
      <c r="R633" s="6">
        <f t="shared" si="203"/>
        <v>0</v>
      </c>
      <c r="S633" s="6">
        <f t="shared" si="204"/>
        <v>0</v>
      </c>
      <c r="T633" s="6">
        <f t="shared" si="205"/>
        <v>0</v>
      </c>
      <c r="U633" s="6">
        <f t="shared" si="206"/>
        <v>0</v>
      </c>
      <c r="V633" s="6">
        <f t="shared" si="207"/>
        <v>0</v>
      </c>
      <c r="W633" s="6">
        <f t="shared" si="208"/>
        <v>0</v>
      </c>
      <c r="X633" s="6">
        <f t="shared" si="209"/>
        <v>0</v>
      </c>
      <c r="Y633" s="6">
        <f t="shared" si="210"/>
        <v>0</v>
      </c>
      <c r="AA633" s="6" t="str">
        <f>IF(最佳化斷筋點!C633="","",最佳化斷筋點!C633)</f>
        <v>下層</v>
      </c>
      <c r="AB633" s="6">
        <f>IF(最佳化斷筋點!D633="","",最佳化斷筋點!D633)</f>
        <v>3</v>
      </c>
      <c r="AC633" s="6">
        <f>IF(最佳化斷筋點!E633="","",最佳化斷筋點!E633)</f>
        <v>3</v>
      </c>
      <c r="AD633" s="6">
        <f>IF(最佳化斷筋點!F633="","",最佳化斷筋點!F633)</f>
        <v>3</v>
      </c>
      <c r="AE633" s="6">
        <f>IF(最佳化斷筋點!G633="","",最佳化斷筋點!G633)</f>
        <v>3</v>
      </c>
      <c r="AF633" s="6">
        <f>IF(最佳化斷筋點!H633="","",最佳化斷筋點!H633)</f>
        <v>2</v>
      </c>
      <c r="AG633" s="6">
        <f>IF(最佳化斷筋點!I633="","",最佳化斷筋點!I633)</f>
        <v>3</v>
      </c>
      <c r="AH633" s="6">
        <f>IF(最佳化斷筋點!J633="","",最佳化斷筋點!J633)</f>
        <v>3</v>
      </c>
      <c r="AI633" s="6">
        <f>IF(最佳化斷筋點!K633="","",最佳化斷筋點!K633)</f>
        <v>3</v>
      </c>
      <c r="AJ633" s="6">
        <f>IF(最佳化斷筋點!L633="","",最佳化斷筋點!L633)</f>
        <v>3</v>
      </c>
      <c r="AK633" s="6">
        <f>IF(最佳化斷筋點!M633="","",最佳化斷筋點!M633)</f>
        <v>3</v>
      </c>
      <c r="AL633" s="6">
        <f>IF(最佳化斷筋點!N633="","",最佳化斷筋點!N633)</f>
        <v>3</v>
      </c>
      <c r="AM633" s="6">
        <f>IF(最佳化斷筋點!O633="","",最佳化斷筋點!O633)</f>
        <v>3</v>
      </c>
      <c r="AN633" s="6">
        <f>IF(最佳化斷筋點!P633="","",最佳化斷筋點!P633)</f>
        <v>3</v>
      </c>
      <c r="AO633" s="6">
        <f>IF(最佳化斷筋點!Q633="","",最佳化斷筋點!Q633)</f>
        <v>3</v>
      </c>
      <c r="AP633" s="6">
        <f>IF(最佳化斷筋點!R633="","",最佳化斷筋點!R633)</f>
        <v>3</v>
      </c>
      <c r="AQ633" s="6">
        <f>IF(最佳化斷筋點!S633="","",最佳化斷筋點!S633)</f>
        <v>3</v>
      </c>
      <c r="AR633" s="6">
        <f>IF(最佳化斷筋點!T633="","",最佳化斷筋點!T633)</f>
        <v>2</v>
      </c>
      <c r="AS633" s="6">
        <f>IF(最佳化斷筋點!U633="","",最佳化斷筋點!U633)</f>
        <v>3</v>
      </c>
      <c r="AT633" s="6">
        <f>IF(最佳化斷筋點!V633="","",最佳化斷筋點!V633)</f>
        <v>3</v>
      </c>
      <c r="AU633" s="6">
        <f>IF(最佳化斷筋點!W633="","",最佳化斷筋點!W633)</f>
        <v>3</v>
      </c>
      <c r="AV633" s="6">
        <f>IF(最佳化斷筋點!X633="","",最佳化斷筋點!X633)</f>
        <v>3</v>
      </c>
      <c r="AX633" s="6" t="s">
        <v>51</v>
      </c>
      <c r="AY633" s="6">
        <v>3</v>
      </c>
      <c r="AZ633" s="6">
        <v>3</v>
      </c>
      <c r="BA633" s="6">
        <v>3</v>
      </c>
      <c r="BB633" s="6">
        <v>3</v>
      </c>
      <c r="BC633" s="6">
        <v>2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2</v>
      </c>
      <c r="BP633" s="6">
        <v>3</v>
      </c>
      <c r="BQ633" s="6">
        <v>3</v>
      </c>
      <c r="BR633" s="6">
        <v>3</v>
      </c>
      <c r="BS633" s="6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75" x14ac:dyDescent="0.25"/>
  <cols>
    <col min="1" max="1" width="9.875" style="22" bestFit="1" customWidth="1"/>
    <col min="2" max="2" width="15.875" style="24" bestFit="1" customWidth="1"/>
    <col min="3" max="3" width="14.125" style="24" bestFit="1" customWidth="1"/>
    <col min="4" max="4" width="15.375" style="24" bestFit="1" customWidth="1"/>
    <col min="5" max="5" width="12.625" style="24" bestFit="1" customWidth="1"/>
    <col min="6" max="6" width="13.875" style="24" bestFit="1" customWidth="1"/>
    <col min="7" max="7" width="13.875" style="22" bestFit="1" customWidth="1"/>
    <col min="8" max="8" width="14.625" style="24" bestFit="1" customWidth="1"/>
    <col min="9" max="9" width="16.875" style="24" bestFit="1" customWidth="1"/>
    <col min="10" max="10" width="19.875" style="22" bestFit="1" customWidth="1"/>
    <col min="11" max="16384" width="9" style="24"/>
  </cols>
  <sheetData>
    <row r="1" spans="1:10" x14ac:dyDescent="0.25">
      <c r="A1" s="22" t="s">
        <v>52</v>
      </c>
      <c r="B1" s="23" t="s">
        <v>53</v>
      </c>
      <c r="C1" s="24" t="s">
        <v>54</v>
      </c>
      <c r="D1" s="24" t="s">
        <v>55</v>
      </c>
      <c r="E1" s="24" t="s">
        <v>56</v>
      </c>
      <c r="F1" s="24" t="s">
        <v>57</v>
      </c>
      <c r="G1" s="22" t="s">
        <v>58</v>
      </c>
      <c r="H1" s="24" t="s">
        <v>59</v>
      </c>
      <c r="I1" s="24" t="s">
        <v>60</v>
      </c>
      <c r="J1" s="22" t="s">
        <v>61</v>
      </c>
    </row>
    <row r="2" spans="1:10" x14ac:dyDescent="0.25">
      <c r="A2" s="22" t="s">
        <v>62</v>
      </c>
      <c r="B2" s="24" t="s">
        <v>63</v>
      </c>
      <c r="C2" s="24">
        <v>0.376</v>
      </c>
      <c r="D2" s="24">
        <v>0.56100000000000005</v>
      </c>
      <c r="E2" s="24" t="s">
        <v>64</v>
      </c>
      <c r="F2" s="24">
        <v>9.5250000000000004</v>
      </c>
      <c r="G2" s="22">
        <f>F2/10</f>
        <v>0.95250000000000001</v>
      </c>
      <c r="H2" s="24">
        <v>0.11</v>
      </c>
      <c r="I2" s="24">
        <v>71</v>
      </c>
      <c r="J2" s="22">
        <f>I2/100</f>
        <v>0.71</v>
      </c>
    </row>
    <row r="3" spans="1:10" x14ac:dyDescent="0.25">
      <c r="A3" s="22" t="s">
        <v>65</v>
      </c>
      <c r="B3" s="24" t="s">
        <v>66</v>
      </c>
      <c r="C3" s="24">
        <v>0.66800000000000004</v>
      </c>
      <c r="D3" s="24">
        <v>0.996</v>
      </c>
      <c r="E3" s="24" t="s">
        <v>67</v>
      </c>
      <c r="F3" s="24">
        <v>12.7</v>
      </c>
      <c r="G3" s="22">
        <f t="shared" ref="G3:G13" si="0">F3/10</f>
        <v>1.27</v>
      </c>
      <c r="H3" s="24">
        <v>0.2</v>
      </c>
      <c r="I3" s="24">
        <v>127</v>
      </c>
      <c r="J3" s="22">
        <f t="shared" ref="J3:J13" si="1">I3/100</f>
        <v>1.27</v>
      </c>
    </row>
    <row r="4" spans="1:10" x14ac:dyDescent="0.25">
      <c r="A4" s="22" t="s">
        <v>68</v>
      </c>
      <c r="B4" s="24" t="s">
        <v>69</v>
      </c>
      <c r="C4" s="24">
        <v>1.0429999999999999</v>
      </c>
      <c r="D4" s="24">
        <v>1.556</v>
      </c>
      <c r="E4" s="24" t="s">
        <v>70</v>
      </c>
      <c r="F4" s="24">
        <v>15.875</v>
      </c>
      <c r="G4" s="22">
        <f t="shared" si="0"/>
        <v>1.5874999999999999</v>
      </c>
      <c r="H4" s="24">
        <v>0.31</v>
      </c>
      <c r="I4" s="24">
        <v>200</v>
      </c>
      <c r="J4" s="22">
        <f t="shared" si="1"/>
        <v>2</v>
      </c>
    </row>
    <row r="5" spans="1:10" x14ac:dyDescent="0.25">
      <c r="A5" s="22" t="s">
        <v>71</v>
      </c>
      <c r="B5" s="24" t="s">
        <v>72</v>
      </c>
      <c r="C5" s="24">
        <v>1.502</v>
      </c>
      <c r="D5" s="24">
        <v>2.2400000000000002</v>
      </c>
      <c r="E5" s="24" t="s">
        <v>73</v>
      </c>
      <c r="F5" s="24">
        <v>19.05</v>
      </c>
      <c r="G5" s="22">
        <f t="shared" si="0"/>
        <v>1.905</v>
      </c>
      <c r="H5" s="24">
        <v>0.44</v>
      </c>
      <c r="I5" s="24">
        <v>284</v>
      </c>
      <c r="J5" s="22">
        <f t="shared" si="1"/>
        <v>2.84</v>
      </c>
    </row>
    <row r="6" spans="1:10" x14ac:dyDescent="0.25">
      <c r="A6" s="22" t="s">
        <v>74</v>
      </c>
      <c r="B6" s="24" t="s">
        <v>75</v>
      </c>
      <c r="C6" s="24">
        <v>2.044</v>
      </c>
      <c r="D6" s="24">
        <v>3.0489999999999999</v>
      </c>
      <c r="E6" s="24" t="s">
        <v>76</v>
      </c>
      <c r="F6" s="24">
        <v>22.225000000000001</v>
      </c>
      <c r="G6" s="22">
        <f t="shared" si="0"/>
        <v>2.2225000000000001</v>
      </c>
      <c r="H6" s="24">
        <v>0.6</v>
      </c>
      <c r="I6" s="24">
        <v>387</v>
      </c>
      <c r="J6" s="22">
        <f t="shared" si="1"/>
        <v>3.87</v>
      </c>
    </row>
    <row r="7" spans="1:10" x14ac:dyDescent="0.25">
      <c r="A7" s="22" t="s">
        <v>77</v>
      </c>
      <c r="B7" s="24" t="s">
        <v>78</v>
      </c>
      <c r="C7" s="24">
        <v>2.67</v>
      </c>
      <c r="D7" s="24">
        <v>3.9820000000000002</v>
      </c>
      <c r="E7" s="24" t="s">
        <v>79</v>
      </c>
      <c r="F7" s="24">
        <v>25.4</v>
      </c>
      <c r="G7" s="22">
        <f t="shared" si="0"/>
        <v>2.54</v>
      </c>
      <c r="H7" s="24">
        <v>0.79</v>
      </c>
      <c r="I7" s="24">
        <v>509</v>
      </c>
      <c r="J7" s="22">
        <f t="shared" si="1"/>
        <v>5.09</v>
      </c>
    </row>
    <row r="8" spans="1:10" x14ac:dyDescent="0.25">
      <c r="A8" s="22" t="s">
        <v>80</v>
      </c>
      <c r="B8" s="24" t="s">
        <v>81</v>
      </c>
      <c r="C8" s="24">
        <v>3.4</v>
      </c>
      <c r="D8" s="24">
        <v>5.0709999999999997</v>
      </c>
      <c r="E8" s="24">
        <v>1.1279999999999999</v>
      </c>
      <c r="F8" s="24">
        <v>28.65</v>
      </c>
      <c r="G8" s="22">
        <f t="shared" si="0"/>
        <v>2.8649999999999998</v>
      </c>
      <c r="H8" s="24">
        <v>1</v>
      </c>
      <c r="I8" s="24">
        <v>645</v>
      </c>
      <c r="J8" s="22">
        <f t="shared" si="1"/>
        <v>6.45</v>
      </c>
    </row>
    <row r="9" spans="1:10" x14ac:dyDescent="0.25">
      <c r="A9" s="22" t="s">
        <v>63</v>
      </c>
      <c r="B9" s="24" t="s">
        <v>82</v>
      </c>
      <c r="C9" s="24">
        <v>4.3029999999999999</v>
      </c>
      <c r="D9" s="24">
        <v>6.4180000000000001</v>
      </c>
      <c r="E9" s="24">
        <v>1.27</v>
      </c>
      <c r="F9" s="24">
        <v>32.26</v>
      </c>
      <c r="G9" s="22">
        <f t="shared" si="0"/>
        <v>3.226</v>
      </c>
      <c r="H9" s="24">
        <v>1.27</v>
      </c>
      <c r="I9" s="24">
        <v>819</v>
      </c>
      <c r="J9" s="22">
        <f t="shared" si="1"/>
        <v>8.19</v>
      </c>
    </row>
    <row r="10" spans="1:10" x14ac:dyDescent="0.25">
      <c r="A10" s="22" t="s">
        <v>83</v>
      </c>
      <c r="B10" s="24" t="s">
        <v>84</v>
      </c>
      <c r="C10" s="24">
        <v>5.3129999999999997</v>
      </c>
      <c r="D10" s="24">
        <v>7.9240000000000004</v>
      </c>
      <c r="E10" s="24">
        <v>1.41</v>
      </c>
      <c r="F10" s="24">
        <v>35.81</v>
      </c>
      <c r="G10" s="22">
        <f t="shared" si="0"/>
        <v>3.5810000000000004</v>
      </c>
      <c r="H10" s="24">
        <v>1.56</v>
      </c>
      <c r="I10" s="24">
        <v>1006</v>
      </c>
      <c r="J10" s="22">
        <f t="shared" si="1"/>
        <v>10.06</v>
      </c>
    </row>
    <row r="11" spans="1:10" x14ac:dyDescent="0.25">
      <c r="A11" s="22" t="s">
        <v>85</v>
      </c>
      <c r="B11" s="24" t="s">
        <v>86</v>
      </c>
      <c r="C11" s="24">
        <v>6.4240000000000004</v>
      </c>
      <c r="D11" s="24">
        <v>9.6189999999999998</v>
      </c>
      <c r="E11" s="24">
        <v>1.5</v>
      </c>
      <c r="F11" s="24">
        <v>38.1</v>
      </c>
      <c r="G11" s="22">
        <f t="shared" si="0"/>
        <v>3.81</v>
      </c>
      <c r="H11" s="24">
        <v>1.76</v>
      </c>
      <c r="I11" s="24">
        <v>1140</v>
      </c>
      <c r="J11" s="22">
        <f t="shared" si="1"/>
        <v>11.4</v>
      </c>
    </row>
    <row r="12" spans="1:10" x14ac:dyDescent="0.25">
      <c r="A12" s="22" t="s">
        <v>87</v>
      </c>
      <c r="B12" s="24" t="s">
        <v>88</v>
      </c>
      <c r="C12" s="24">
        <v>7.65</v>
      </c>
      <c r="D12" s="24">
        <v>11.41</v>
      </c>
      <c r="E12" s="24">
        <v>1.6930000000000001</v>
      </c>
      <c r="F12" s="24">
        <v>43</v>
      </c>
      <c r="G12" s="22">
        <f t="shared" si="0"/>
        <v>4.3</v>
      </c>
      <c r="H12" s="24">
        <v>2.25</v>
      </c>
      <c r="I12" s="24">
        <v>1452</v>
      </c>
      <c r="J12" s="22">
        <f t="shared" si="1"/>
        <v>14.52</v>
      </c>
    </row>
    <row r="13" spans="1:10" x14ac:dyDescent="0.25">
      <c r="A13" s="22" t="s">
        <v>89</v>
      </c>
      <c r="B13" s="24" t="s">
        <v>90</v>
      </c>
      <c r="C13" s="24">
        <v>13.6</v>
      </c>
      <c r="D13" s="24">
        <v>20.283999999999999</v>
      </c>
      <c r="E13" s="24">
        <v>2.2570000000000001</v>
      </c>
      <c r="F13" s="24">
        <v>57.33</v>
      </c>
      <c r="G13" s="22">
        <f t="shared" si="0"/>
        <v>5.7329999999999997</v>
      </c>
      <c r="H13" s="24">
        <v>4</v>
      </c>
      <c r="I13" s="24">
        <v>2581</v>
      </c>
      <c r="J13" s="22">
        <f t="shared" si="1"/>
        <v>25.81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75" x14ac:dyDescent="0.25"/>
  <cols>
    <col min="1" max="1" width="13" style="28" bestFit="1" customWidth="1"/>
    <col min="2" max="2" width="14.125" style="28" bestFit="1" customWidth="1"/>
    <col min="3" max="3" width="9.625" style="28" bestFit="1" customWidth="1"/>
    <col min="4" max="12" width="5.5" style="28" bestFit="1" customWidth="1"/>
    <col min="13" max="16384" width="9" style="28"/>
  </cols>
  <sheetData>
    <row r="1" spans="1:12" x14ac:dyDescent="0.25">
      <c r="A1" s="43" t="s">
        <v>168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x14ac:dyDescent="0.25">
      <c r="A2" s="44" t="s">
        <v>169</v>
      </c>
      <c r="B2" s="44"/>
      <c r="C2" s="44" t="s">
        <v>170</v>
      </c>
      <c r="D2" s="44" t="s">
        <v>171</v>
      </c>
      <c r="E2" s="44"/>
      <c r="F2" s="44"/>
      <c r="G2" s="44"/>
      <c r="H2" s="44"/>
      <c r="I2" s="44"/>
      <c r="J2" s="44"/>
      <c r="K2" s="44"/>
      <c r="L2" s="44"/>
    </row>
    <row r="3" spans="1:12" ht="18" x14ac:dyDescent="0.25">
      <c r="A3" s="29" t="s">
        <v>172</v>
      </c>
      <c r="B3" s="29" t="s">
        <v>173</v>
      </c>
      <c r="C3" s="44"/>
      <c r="D3" s="30">
        <v>10</v>
      </c>
      <c r="E3" s="30">
        <v>13</v>
      </c>
      <c r="F3" s="30">
        <v>16</v>
      </c>
      <c r="G3" s="30">
        <v>19</v>
      </c>
      <c r="H3" s="30">
        <v>22</v>
      </c>
      <c r="I3" s="30">
        <v>25</v>
      </c>
      <c r="J3" s="30">
        <v>29</v>
      </c>
      <c r="K3" s="30">
        <v>32</v>
      </c>
      <c r="L3" s="30">
        <v>36</v>
      </c>
    </row>
    <row r="4" spans="1:12" x14ac:dyDescent="0.25">
      <c r="A4" s="44">
        <v>210</v>
      </c>
      <c r="B4" s="45" t="s">
        <v>174</v>
      </c>
      <c r="C4" s="29" t="s">
        <v>175</v>
      </c>
      <c r="D4" s="31">
        <f>0.28*2800/SQRT($A4)*D$3/10*1.3*0.8</f>
        <v>56.265185446538219</v>
      </c>
      <c r="E4" s="31">
        <f t="shared" ref="E4:G4" si="0">0.28*2800/SQRT($A4)*E$3/10*1.3*0.8</f>
        <v>73.144741080499671</v>
      </c>
      <c r="F4" s="31">
        <f t="shared" si="0"/>
        <v>90.02429671446113</v>
      </c>
      <c r="G4" s="31">
        <f t="shared" si="0"/>
        <v>106.90385234842262</v>
      </c>
      <c r="H4" s="31">
        <f t="shared" ref="H4:L4" si="1">0.28*2800/SQRT($A4)*H$3/10*1.3</f>
        <v>154.72925997798006</v>
      </c>
      <c r="I4" s="31">
        <f t="shared" si="1"/>
        <v>175.82870452043193</v>
      </c>
      <c r="J4" s="31">
        <f t="shared" si="1"/>
        <v>203.96129724370098</v>
      </c>
      <c r="K4" s="31">
        <f t="shared" si="1"/>
        <v>225.06074178615282</v>
      </c>
      <c r="L4" s="31">
        <f t="shared" si="1"/>
        <v>253.19333450942196</v>
      </c>
    </row>
    <row r="5" spans="1:12" x14ac:dyDescent="0.25">
      <c r="A5" s="44"/>
      <c r="B5" s="44"/>
      <c r="C5" s="29" t="s">
        <v>176</v>
      </c>
      <c r="D5" s="31">
        <f>0.28*2800/SQRT($A4)*D$3/10*0.8</f>
        <v>43.280911881952477</v>
      </c>
      <c r="E5" s="31">
        <f t="shared" ref="E5:G5" si="2">0.28*2800/SQRT($A4)*E$3/10*0.8</f>
        <v>56.265185446538204</v>
      </c>
      <c r="F5" s="31">
        <f t="shared" si="2"/>
        <v>69.249459011123946</v>
      </c>
      <c r="G5" s="31">
        <f t="shared" si="2"/>
        <v>82.233732575709695</v>
      </c>
      <c r="H5" s="31">
        <f t="shared" ref="H5:L5" si="3">0.28*2800/SQRT($A4)*H$3/10</f>
        <v>119.02250767536927</v>
      </c>
      <c r="I5" s="31">
        <f t="shared" si="3"/>
        <v>135.25284963110147</v>
      </c>
      <c r="J5" s="31">
        <f t="shared" si="3"/>
        <v>156.89330557207768</v>
      </c>
      <c r="K5" s="31">
        <f t="shared" si="3"/>
        <v>173.12364752780985</v>
      </c>
      <c r="L5" s="31">
        <f t="shared" si="3"/>
        <v>194.76410346878612</v>
      </c>
    </row>
    <row r="6" spans="1:12" x14ac:dyDescent="0.25">
      <c r="A6" s="44"/>
      <c r="B6" s="45" t="s">
        <v>177</v>
      </c>
      <c r="C6" s="29" t="s">
        <v>175</v>
      </c>
      <c r="D6" s="31">
        <f>0.28*4200/SQRT($A4)*D$3/10*1.3*0.8</f>
        <v>84.397778169807296</v>
      </c>
      <c r="E6" s="31">
        <f t="shared" ref="E6:G6" si="4">0.28*4200/SQRT($A4)*E$3/10*1.3*0.8</f>
        <v>109.71711162074949</v>
      </c>
      <c r="F6" s="31">
        <f t="shared" si="4"/>
        <v>135.03644507169167</v>
      </c>
      <c r="G6" s="31">
        <f t="shared" si="4"/>
        <v>160.35577852263387</v>
      </c>
      <c r="H6" s="31">
        <f t="shared" ref="H6:L6" si="5">0.28*4200/SQRT($A4)*H$3/10*1.3</f>
        <v>232.09388996697007</v>
      </c>
      <c r="I6" s="31">
        <f t="shared" si="5"/>
        <v>263.74305678064781</v>
      </c>
      <c r="J6" s="31">
        <f t="shared" si="5"/>
        <v>305.94194586555142</v>
      </c>
      <c r="K6" s="31">
        <f t="shared" si="5"/>
        <v>337.59111267922918</v>
      </c>
      <c r="L6" s="31">
        <f t="shared" si="5"/>
        <v>379.79000176413285</v>
      </c>
    </row>
    <row r="7" spans="1:12" x14ac:dyDescent="0.25">
      <c r="A7" s="44"/>
      <c r="B7" s="45"/>
      <c r="C7" s="29" t="s">
        <v>176</v>
      </c>
      <c r="D7" s="31">
        <f>0.28*4200/SQRT($A4)*D$3/10*0.8</f>
        <v>64.921367822928687</v>
      </c>
      <c r="E7" s="31">
        <f t="shared" ref="E7:G7" si="6">0.28*4200/SQRT($A4)*E$3/10*0.8</f>
        <v>84.397778169807296</v>
      </c>
      <c r="F7" s="31">
        <f t="shared" si="6"/>
        <v>103.8741885166859</v>
      </c>
      <c r="G7" s="31">
        <f t="shared" si="6"/>
        <v>123.35059886356451</v>
      </c>
      <c r="H7" s="31">
        <f t="shared" ref="H7:L7" si="7">0.28*4200/SQRT($A4)*H$3/10</f>
        <v>178.53376151305389</v>
      </c>
      <c r="I7" s="31">
        <f t="shared" si="7"/>
        <v>202.87927444665215</v>
      </c>
      <c r="J7" s="31">
        <f t="shared" si="7"/>
        <v>235.33995835811646</v>
      </c>
      <c r="K7" s="31">
        <f t="shared" si="7"/>
        <v>259.68547129171475</v>
      </c>
      <c r="L7" s="31">
        <f t="shared" si="7"/>
        <v>292.14615520317909</v>
      </c>
    </row>
    <row r="8" spans="1:12" x14ac:dyDescent="0.25">
      <c r="A8" s="44">
        <v>245</v>
      </c>
      <c r="B8" s="45" t="s">
        <v>174</v>
      </c>
      <c r="C8" s="29" t="s">
        <v>175</v>
      </c>
      <c r="D8" s="31">
        <f>0.28*2800/SQRT($A8)*D$3/10*1.3*0.8</f>
        <v>52.091439603835113</v>
      </c>
      <c r="E8" s="31">
        <f t="shared" ref="E8:G8" si="8">0.28*2800/SQRT($A8)*E$3/10*1.3*0.8</f>
        <v>67.718871484985627</v>
      </c>
      <c r="F8" s="31">
        <f t="shared" si="8"/>
        <v>83.346303366136183</v>
      </c>
      <c r="G8" s="31">
        <f t="shared" si="8"/>
        <v>98.973735247286712</v>
      </c>
      <c r="H8" s="31">
        <f t="shared" ref="H8:L8" si="9">0.28*2800/SQRT($A8)*H$3/10*1.3</f>
        <v>143.25145891054655</v>
      </c>
      <c r="I8" s="31">
        <f t="shared" si="9"/>
        <v>162.78574876198471</v>
      </c>
      <c r="J8" s="31">
        <f t="shared" si="9"/>
        <v>188.83146856390226</v>
      </c>
      <c r="K8" s="31">
        <f t="shared" si="9"/>
        <v>208.36575841534045</v>
      </c>
      <c r="L8" s="31">
        <f t="shared" si="9"/>
        <v>234.41147821725798</v>
      </c>
    </row>
    <row r="9" spans="1:12" x14ac:dyDescent="0.25">
      <c r="A9" s="44"/>
      <c r="B9" s="44"/>
      <c r="C9" s="29" t="s">
        <v>176</v>
      </c>
      <c r="D9" s="31">
        <f>0.28*2800/SQRT($A8)*D$3/10*0.8</f>
        <v>40.07033815679624</v>
      </c>
      <c r="E9" s="31">
        <f t="shared" ref="E9:G9" si="10">0.28*2800/SQRT($A8)*E$3/10*0.8</f>
        <v>52.091439603835106</v>
      </c>
      <c r="F9" s="31">
        <f t="shared" si="10"/>
        <v>64.112541050873986</v>
      </c>
      <c r="G9" s="31">
        <f t="shared" si="10"/>
        <v>76.133642497912859</v>
      </c>
      <c r="H9" s="31">
        <f t="shared" ref="H9:L9" si="11">0.28*2800/SQRT($A8)*H$3/10</f>
        <v>110.19342993118964</v>
      </c>
      <c r="I9" s="31">
        <f t="shared" si="11"/>
        <v>125.21980673998823</v>
      </c>
      <c r="J9" s="31">
        <f t="shared" si="11"/>
        <v>145.25497581838636</v>
      </c>
      <c r="K9" s="31">
        <f t="shared" si="11"/>
        <v>160.28135262718496</v>
      </c>
      <c r="L9" s="31">
        <f t="shared" si="11"/>
        <v>180.31652170558306</v>
      </c>
    </row>
    <row r="10" spans="1:12" x14ac:dyDescent="0.25">
      <c r="A10" s="44"/>
      <c r="B10" s="45" t="s">
        <v>177</v>
      </c>
      <c r="C10" s="29" t="s">
        <v>175</v>
      </c>
      <c r="D10" s="31">
        <f>0.28*4200/SQRT($A8)*D$3/10*1.3*0.8</f>
        <v>78.137159405752641</v>
      </c>
      <c r="E10" s="31">
        <f t="shared" ref="E10:G10" si="12">0.28*4200/SQRT($A8)*E$3/10*1.3*0.8</f>
        <v>101.57830722747843</v>
      </c>
      <c r="F10" s="31">
        <f t="shared" si="12"/>
        <v>125.01945504920423</v>
      </c>
      <c r="G10" s="31">
        <f t="shared" si="12"/>
        <v>148.46060287093005</v>
      </c>
      <c r="H10" s="31">
        <f t="shared" ref="H10:L10" si="13">0.28*4200/SQRT($A8)*H$3/10*1.3</f>
        <v>214.87718836581976</v>
      </c>
      <c r="I10" s="31">
        <f t="shared" si="13"/>
        <v>244.17862314297699</v>
      </c>
      <c r="J10" s="31">
        <f t="shared" si="13"/>
        <v>283.24720284585334</v>
      </c>
      <c r="K10" s="31">
        <f t="shared" si="13"/>
        <v>312.54863762301056</v>
      </c>
      <c r="L10" s="31">
        <f t="shared" si="13"/>
        <v>351.61721732588694</v>
      </c>
    </row>
    <row r="11" spans="1:12" x14ac:dyDescent="0.25">
      <c r="A11" s="44"/>
      <c r="B11" s="45"/>
      <c r="C11" s="29" t="s">
        <v>176</v>
      </c>
      <c r="D11" s="31">
        <f>0.28*4200/SQRT($A8)*D$3/10*0.8</f>
        <v>60.105507235194345</v>
      </c>
      <c r="E11" s="31">
        <f t="shared" ref="E11:G11" si="14">0.28*4200/SQRT($A8)*E$3/10*0.8</f>
        <v>78.137159405752641</v>
      </c>
      <c r="F11" s="31">
        <f t="shared" si="14"/>
        <v>96.168811576310944</v>
      </c>
      <c r="G11" s="31">
        <f t="shared" si="14"/>
        <v>114.20046374686925</v>
      </c>
      <c r="H11" s="31">
        <f t="shared" ref="H11:L11" si="15">0.28*4200/SQRT($A8)*H$3/10</f>
        <v>165.29014489678443</v>
      </c>
      <c r="I11" s="31">
        <f t="shared" si="15"/>
        <v>187.8297101099823</v>
      </c>
      <c r="J11" s="31">
        <f t="shared" si="15"/>
        <v>217.88246372757948</v>
      </c>
      <c r="K11" s="31">
        <f t="shared" si="15"/>
        <v>240.42202894077735</v>
      </c>
      <c r="L11" s="31">
        <f t="shared" si="15"/>
        <v>270.47478255837456</v>
      </c>
    </row>
    <row r="12" spans="1:12" x14ac:dyDescent="0.25">
      <c r="A12" s="44">
        <v>280</v>
      </c>
      <c r="B12" s="45" t="s">
        <v>174</v>
      </c>
      <c r="C12" s="29" t="s">
        <v>175</v>
      </c>
      <c r="D12" s="31">
        <f>0.28*2800/SQRT($A12)*D$3/10*1.3*0.8</f>
        <v>48.72707994534457</v>
      </c>
      <c r="E12" s="31">
        <f t="shared" ref="E12:G12" si="16">0.28*2800/SQRT($A12)*E$3/10*1.3*0.8</f>
        <v>63.345203928947939</v>
      </c>
      <c r="F12" s="31">
        <f t="shared" si="16"/>
        <v>77.963327912551321</v>
      </c>
      <c r="G12" s="31">
        <f t="shared" si="16"/>
        <v>92.58145189615469</v>
      </c>
      <c r="H12" s="31">
        <f t="shared" ref="H12:L12" si="17">0.28*2800/SQRT($A12)*H$3/10*1.3</f>
        <v>133.99946984969756</v>
      </c>
      <c r="I12" s="31">
        <f t="shared" si="17"/>
        <v>152.27212482920177</v>
      </c>
      <c r="J12" s="31">
        <f t="shared" si="17"/>
        <v>176.6356648018741</v>
      </c>
      <c r="K12" s="31">
        <f t="shared" si="17"/>
        <v>194.90831978137828</v>
      </c>
      <c r="L12" s="31">
        <f t="shared" si="17"/>
        <v>219.27185975405058</v>
      </c>
    </row>
    <row r="13" spans="1:12" x14ac:dyDescent="0.25">
      <c r="A13" s="44"/>
      <c r="B13" s="44"/>
      <c r="C13" s="29" t="s">
        <v>176</v>
      </c>
      <c r="D13" s="31">
        <f>0.28*2800/SQRT($A12)*D$3/10*0.8</f>
        <v>37.482369188726594</v>
      </c>
      <c r="E13" s="31">
        <f t="shared" ref="E13:G13" si="18">0.28*2800/SQRT($A12)*E$3/10*0.8</f>
        <v>48.72707994534457</v>
      </c>
      <c r="F13" s="31">
        <f t="shared" si="18"/>
        <v>59.971790701962554</v>
      </c>
      <c r="G13" s="31">
        <f t="shared" si="18"/>
        <v>71.216501458580524</v>
      </c>
      <c r="H13" s="31">
        <f t="shared" ref="H13:L13" si="19">0.28*2800/SQRT($A12)*H$3/10</f>
        <v>103.07651526899812</v>
      </c>
      <c r="I13" s="31">
        <f t="shared" si="19"/>
        <v>117.13240371477059</v>
      </c>
      <c r="J13" s="31">
        <f t="shared" si="19"/>
        <v>135.87358830913391</v>
      </c>
      <c r="K13" s="31">
        <f t="shared" si="19"/>
        <v>149.92947675490637</v>
      </c>
      <c r="L13" s="31">
        <f t="shared" si="19"/>
        <v>168.67066134926966</v>
      </c>
    </row>
    <row r="14" spans="1:12" x14ac:dyDescent="0.25">
      <c r="A14" s="44"/>
      <c r="B14" s="45" t="s">
        <v>177</v>
      </c>
      <c r="C14" s="29" t="s">
        <v>175</v>
      </c>
      <c r="D14" s="31">
        <f>0.28*4200/SQRT($A12)*D$3/10*1.3*0.8</f>
        <v>73.090619918016856</v>
      </c>
      <c r="E14" s="31">
        <f t="shared" ref="E14:G14" si="20">0.28*4200/SQRT($A12)*E$3/10*1.3*0.8</f>
        <v>95.017805893421894</v>
      </c>
      <c r="F14" s="31">
        <f t="shared" si="20"/>
        <v>116.94499186882697</v>
      </c>
      <c r="G14" s="31">
        <f t="shared" si="20"/>
        <v>138.87217784423203</v>
      </c>
      <c r="H14" s="31">
        <f t="shared" ref="H14:L14" si="21">0.28*4200/SQRT($A12)*H$3/10*1.3</f>
        <v>200.99920477454631</v>
      </c>
      <c r="I14" s="31">
        <f t="shared" si="21"/>
        <v>228.40818724380264</v>
      </c>
      <c r="J14" s="31">
        <f t="shared" si="21"/>
        <v>264.95349720281109</v>
      </c>
      <c r="K14" s="31">
        <f t="shared" si="21"/>
        <v>292.36247967206742</v>
      </c>
      <c r="L14" s="31">
        <f t="shared" si="21"/>
        <v>328.90778963107579</v>
      </c>
    </row>
    <row r="15" spans="1:12" x14ac:dyDescent="0.25">
      <c r="A15" s="44"/>
      <c r="B15" s="45"/>
      <c r="C15" s="29" t="s">
        <v>176</v>
      </c>
      <c r="D15" s="31">
        <f>0.28*4200/SQRT($A12)*D$3/10*0.8</f>
        <v>56.223553783089883</v>
      </c>
      <c r="E15" s="31">
        <f t="shared" ref="E15:G15" si="22">0.28*4200/SQRT($A12)*E$3/10*0.8</f>
        <v>73.090619918016841</v>
      </c>
      <c r="F15" s="31">
        <f t="shared" si="22"/>
        <v>89.957686052943814</v>
      </c>
      <c r="G15" s="31">
        <f t="shared" si="22"/>
        <v>106.82475218787079</v>
      </c>
      <c r="H15" s="31">
        <f t="shared" ref="H15:L15" si="23">0.28*4200/SQRT($A12)*H$3/10</f>
        <v>154.61477290349717</v>
      </c>
      <c r="I15" s="31">
        <f t="shared" si="23"/>
        <v>175.69860557215588</v>
      </c>
      <c r="J15" s="31">
        <f t="shared" si="23"/>
        <v>203.81038246370082</v>
      </c>
      <c r="K15" s="31">
        <f t="shared" si="23"/>
        <v>224.89421513235953</v>
      </c>
      <c r="L15" s="31">
        <f t="shared" si="23"/>
        <v>253.00599202390444</v>
      </c>
    </row>
    <row r="16" spans="1:12" x14ac:dyDescent="0.25">
      <c r="A16" s="44">
        <v>350</v>
      </c>
      <c r="B16" s="45" t="s">
        <v>174</v>
      </c>
      <c r="C16" s="29" t="s">
        <v>175</v>
      </c>
      <c r="D16" s="31">
        <f>0.28*2800/SQRT($A16)*D$3/10*1.3*0.8</f>
        <v>43.582825241142878</v>
      </c>
      <c r="E16" s="31">
        <f t="shared" ref="E16:G16" si="24">0.28*2800/SQRT($A16)*E$3/10*1.3*0.8</f>
        <v>56.657672813485739</v>
      </c>
      <c r="F16" s="31">
        <f t="shared" si="24"/>
        <v>69.732520385828607</v>
      </c>
      <c r="G16" s="31">
        <f t="shared" si="24"/>
        <v>82.807367958171469</v>
      </c>
      <c r="H16" s="31">
        <f t="shared" ref="H16:L16" si="25">0.28*2800/SQRT($A16)*H$3/10*1.3</f>
        <v>119.85276941314292</v>
      </c>
      <c r="I16" s="31">
        <f t="shared" si="25"/>
        <v>136.19632887857151</v>
      </c>
      <c r="J16" s="31">
        <f t="shared" si="25"/>
        <v>157.98774149914291</v>
      </c>
      <c r="K16" s="31">
        <f t="shared" si="25"/>
        <v>174.33130096457151</v>
      </c>
      <c r="L16" s="31">
        <f t="shared" si="25"/>
        <v>196.12271358514292</v>
      </c>
    </row>
    <row r="17" spans="1:12" x14ac:dyDescent="0.25">
      <c r="A17" s="44"/>
      <c r="B17" s="44"/>
      <c r="C17" s="29" t="s">
        <v>176</v>
      </c>
      <c r="D17" s="31">
        <f>0.28*2800/SQRT($A16)*D$3/10*0.8</f>
        <v>33.525250185494521</v>
      </c>
      <c r="E17" s="31">
        <f t="shared" ref="E17:G17" si="26">0.28*2800/SQRT($A16)*E$3/10*0.8</f>
        <v>43.582825241142871</v>
      </c>
      <c r="F17" s="31">
        <f t="shared" si="26"/>
        <v>53.640400296791235</v>
      </c>
      <c r="G17" s="31">
        <f t="shared" si="26"/>
        <v>63.697975352439585</v>
      </c>
      <c r="H17" s="31">
        <f t="shared" ref="H17:L17" si="27">0.28*2800/SQRT($A16)*H$3/10</f>
        <v>92.194438010109934</v>
      </c>
      <c r="I17" s="31">
        <f t="shared" si="27"/>
        <v>104.76640682967039</v>
      </c>
      <c r="J17" s="31">
        <f t="shared" si="27"/>
        <v>121.52903192241763</v>
      </c>
      <c r="K17" s="31">
        <f t="shared" si="27"/>
        <v>134.10100074197808</v>
      </c>
      <c r="L17" s="31">
        <f t="shared" si="27"/>
        <v>150.86362583472533</v>
      </c>
    </row>
    <row r="18" spans="1:12" x14ac:dyDescent="0.25">
      <c r="A18" s="44"/>
      <c r="B18" s="45" t="s">
        <v>177</v>
      </c>
      <c r="C18" s="29" t="s">
        <v>175</v>
      </c>
      <c r="D18" s="31">
        <f>0.28*4200/SQRT($A16)*D$3/10*1.3*0.8</f>
        <v>65.37423786171432</v>
      </c>
      <c r="E18" s="31">
        <f t="shared" ref="E18:G18" si="28">0.28*4200/SQRT($A16)*E$3/10*1.3*0.8</f>
        <v>84.986509220228598</v>
      </c>
      <c r="F18" s="31">
        <f t="shared" si="28"/>
        <v>104.59878057874289</v>
      </c>
      <c r="G18" s="31">
        <f t="shared" si="28"/>
        <v>124.21105193725717</v>
      </c>
      <c r="H18" s="31">
        <f t="shared" ref="H18:L18" si="29">0.28*4200/SQRT($A16)*H$3/10*1.3</f>
        <v>179.77915411971429</v>
      </c>
      <c r="I18" s="31">
        <f t="shared" si="29"/>
        <v>204.29449331785716</v>
      </c>
      <c r="J18" s="31">
        <f t="shared" si="29"/>
        <v>236.98161224871436</v>
      </c>
      <c r="K18" s="31">
        <f t="shared" si="29"/>
        <v>261.49695144685722</v>
      </c>
      <c r="L18" s="31">
        <f t="shared" si="29"/>
        <v>294.18407037771436</v>
      </c>
    </row>
    <row r="19" spans="1:12" x14ac:dyDescent="0.25">
      <c r="A19" s="44"/>
      <c r="B19" s="45"/>
      <c r="C19" s="29" t="s">
        <v>176</v>
      </c>
      <c r="D19" s="31">
        <f>0.28*4200/SQRT($A16)*D$3/10*0.8</f>
        <v>50.287875278241778</v>
      </c>
      <c r="E19" s="31">
        <f t="shared" ref="E19:G19" si="30">0.28*4200/SQRT($A16)*E$3/10*0.8</f>
        <v>65.374237861714306</v>
      </c>
      <c r="F19" s="31">
        <f t="shared" si="30"/>
        <v>80.460600445186842</v>
      </c>
      <c r="G19" s="31">
        <f t="shared" si="30"/>
        <v>95.546963028659363</v>
      </c>
      <c r="H19" s="31">
        <f t="shared" ref="H19:L19" si="31">0.28*4200/SQRT($A16)*H$3/10</f>
        <v>138.29165701516484</v>
      </c>
      <c r="I19" s="31">
        <f t="shared" si="31"/>
        <v>157.14961024450551</v>
      </c>
      <c r="J19" s="31">
        <f t="shared" si="31"/>
        <v>182.29354788362642</v>
      </c>
      <c r="K19" s="31">
        <f t="shared" si="31"/>
        <v>201.15150111296708</v>
      </c>
      <c r="L19" s="31">
        <f t="shared" si="31"/>
        <v>226.29543875208796</v>
      </c>
    </row>
    <row r="20" spans="1:12" x14ac:dyDescent="0.25">
      <c r="A20" s="44">
        <v>420</v>
      </c>
      <c r="B20" s="45" t="s">
        <v>174</v>
      </c>
      <c r="C20" s="29" t="s">
        <v>175</v>
      </c>
      <c r="D20" s="31">
        <f>0.28*2800/SQRT($A20)*D$3/10*1.3*0.8</f>
        <v>39.785494173965816</v>
      </c>
      <c r="E20" s="31">
        <f t="shared" ref="E20:G20" si="32">0.28*2800/SQRT($A20)*E$3/10*1.3*0.8</f>
        <v>51.721142426155552</v>
      </c>
      <c r="F20" s="31">
        <f t="shared" si="32"/>
        <v>63.656790678345295</v>
      </c>
      <c r="G20" s="31">
        <f t="shared" si="32"/>
        <v>75.592438930535039</v>
      </c>
      <c r="H20" s="31">
        <f t="shared" ref="H20:L20" si="33">0.28*2800/SQRT($A20)*H$3/10*1.3</f>
        <v>109.41010897840597</v>
      </c>
      <c r="I20" s="31">
        <f t="shared" si="33"/>
        <v>124.32966929364315</v>
      </c>
      <c r="J20" s="31">
        <f t="shared" si="33"/>
        <v>144.22241638062607</v>
      </c>
      <c r="K20" s="31">
        <f t="shared" si="33"/>
        <v>159.14197669586324</v>
      </c>
      <c r="L20" s="31">
        <f t="shared" si="33"/>
        <v>179.03472378284616</v>
      </c>
    </row>
    <row r="21" spans="1:12" x14ac:dyDescent="0.25">
      <c r="A21" s="44"/>
      <c r="B21" s="44"/>
      <c r="C21" s="29" t="s">
        <v>176</v>
      </c>
      <c r="D21" s="31">
        <f>0.28*2800/SQRT($A20)*D$3/10*0.8</f>
        <v>30.604226287666009</v>
      </c>
      <c r="E21" s="31">
        <f t="shared" ref="E21:G21" si="34">0.28*2800/SQRT($A20)*E$3/10*0.8</f>
        <v>39.785494173965816</v>
      </c>
      <c r="F21" s="31">
        <f t="shared" si="34"/>
        <v>48.966762060265609</v>
      </c>
      <c r="G21" s="31">
        <f t="shared" si="34"/>
        <v>58.148029946565408</v>
      </c>
      <c r="H21" s="31">
        <f t="shared" ref="H21:L21" si="35">0.28*2800/SQRT($A20)*H$3/10</f>
        <v>84.161622291081514</v>
      </c>
      <c r="I21" s="31">
        <f t="shared" si="35"/>
        <v>95.638207148956269</v>
      </c>
      <c r="J21" s="31">
        <f t="shared" si="35"/>
        <v>110.94032029278928</v>
      </c>
      <c r="K21" s="31">
        <f t="shared" si="35"/>
        <v>122.41690515066402</v>
      </c>
      <c r="L21" s="31">
        <f t="shared" si="35"/>
        <v>137.71901829449703</v>
      </c>
    </row>
    <row r="22" spans="1:12" x14ac:dyDescent="0.25">
      <c r="A22" s="44"/>
      <c r="B22" s="45" t="s">
        <v>177</v>
      </c>
      <c r="C22" s="29" t="s">
        <v>175</v>
      </c>
      <c r="D22" s="31">
        <f>0.28*4200/SQRT($A20)*D$3/10*1.3*0.8</f>
        <v>59.678241260948703</v>
      </c>
      <c r="E22" s="31">
        <f t="shared" ref="E22:G22" si="36">0.28*4200/SQRT($A20)*E$3/10*1.3*0.8</f>
        <v>77.581713639233328</v>
      </c>
      <c r="F22" s="31">
        <f t="shared" si="36"/>
        <v>95.485186017517947</v>
      </c>
      <c r="G22" s="31">
        <f t="shared" si="36"/>
        <v>113.38865839580254</v>
      </c>
      <c r="H22" s="31">
        <f t="shared" ref="H22:L22" si="37">0.28*4200/SQRT($A20)*H$3/10*1.3</f>
        <v>164.11516346760894</v>
      </c>
      <c r="I22" s="31">
        <f t="shared" si="37"/>
        <v>186.49450394046468</v>
      </c>
      <c r="J22" s="31">
        <f t="shared" si="37"/>
        <v>216.33362457093907</v>
      </c>
      <c r="K22" s="31">
        <f t="shared" si="37"/>
        <v>238.71296504379484</v>
      </c>
      <c r="L22" s="31">
        <f t="shared" si="37"/>
        <v>268.55208567426916</v>
      </c>
    </row>
    <row r="23" spans="1:12" x14ac:dyDescent="0.25">
      <c r="A23" s="44"/>
      <c r="B23" s="45"/>
      <c r="C23" s="29" t="s">
        <v>176</v>
      </c>
      <c r="D23" s="31">
        <f>0.28*4200/SQRT($A20)*D$3/10*0.8</f>
        <v>45.906339431498999</v>
      </c>
      <c r="E23" s="31">
        <f t="shared" ref="E23:G23" si="38">0.28*4200/SQRT($A20)*E$3/10*0.8</f>
        <v>59.67824126094871</v>
      </c>
      <c r="F23" s="31">
        <f t="shared" si="38"/>
        <v>73.450143090398413</v>
      </c>
      <c r="G23" s="31">
        <f t="shared" si="38"/>
        <v>87.222044919848102</v>
      </c>
      <c r="H23" s="31">
        <f t="shared" ref="H23:L23" si="39">0.28*4200/SQRT($A20)*H$3/10</f>
        <v>126.24243343662226</v>
      </c>
      <c r="I23" s="31">
        <f t="shared" si="39"/>
        <v>143.45731072343438</v>
      </c>
      <c r="J23" s="31">
        <f t="shared" si="39"/>
        <v>166.41048043918389</v>
      </c>
      <c r="K23" s="31">
        <f t="shared" si="39"/>
        <v>183.62535772599603</v>
      </c>
      <c r="L23" s="31">
        <f t="shared" si="39"/>
        <v>206.57852744174551</v>
      </c>
    </row>
    <row r="24" spans="1:12" x14ac:dyDescent="0.25">
      <c r="A24" s="44">
        <v>490</v>
      </c>
      <c r="B24" s="45" t="s">
        <v>174</v>
      </c>
      <c r="C24" s="29" t="s">
        <v>175</v>
      </c>
      <c r="D24" s="31">
        <f>0.28*2800/SQRT($A24)*D$3/10*1.3*0.8</f>
        <v>36.83421018564129</v>
      </c>
      <c r="E24" s="31">
        <f t="shared" ref="E24:G24" si="40">0.28*2800/SQRT($A24)*E$3/10*1.3*0.8</f>
        <v>47.88447324133368</v>
      </c>
      <c r="F24" s="31">
        <f t="shared" si="40"/>
        <v>58.934736297026063</v>
      </c>
      <c r="G24" s="31">
        <f t="shared" si="40"/>
        <v>69.984999352718461</v>
      </c>
      <c r="H24" s="31">
        <f t="shared" ref="H24:L24" si="41">0.28*2800/SQRT($A24)*H$3/10*1.3</f>
        <v>101.29407801051354</v>
      </c>
      <c r="I24" s="31">
        <f t="shared" si="41"/>
        <v>115.10690683012905</v>
      </c>
      <c r="J24" s="31">
        <f t="shared" si="41"/>
        <v>133.52401192294968</v>
      </c>
      <c r="K24" s="31">
        <f t="shared" si="41"/>
        <v>147.33684074256516</v>
      </c>
      <c r="L24" s="31">
        <f t="shared" si="41"/>
        <v>165.75394583538582</v>
      </c>
    </row>
    <row r="25" spans="1:12" x14ac:dyDescent="0.25">
      <c r="A25" s="44"/>
      <c r="B25" s="44"/>
      <c r="C25" s="29" t="s">
        <v>176</v>
      </c>
      <c r="D25" s="31">
        <f>0.28*2800/SQRT($A24)*D$3/10*0.8</f>
        <v>28.334007835108686</v>
      </c>
      <c r="E25" s="31">
        <f t="shared" ref="E25:G25" si="42">0.28*2800/SQRT($A24)*E$3/10*0.8</f>
        <v>36.83421018564129</v>
      </c>
      <c r="F25" s="31">
        <f t="shared" si="42"/>
        <v>45.3344125361739</v>
      </c>
      <c r="G25" s="31">
        <f t="shared" si="42"/>
        <v>53.834614886706504</v>
      </c>
      <c r="H25" s="31">
        <f t="shared" ref="H25:L25" si="43">0.28*2800/SQRT($A24)*H$3/10</f>
        <v>77.918521546548874</v>
      </c>
      <c r="I25" s="31">
        <f t="shared" si="43"/>
        <v>88.543774484714646</v>
      </c>
      <c r="J25" s="31">
        <f t="shared" si="43"/>
        <v>102.71077840226899</v>
      </c>
      <c r="K25" s="31">
        <f t="shared" si="43"/>
        <v>113.33603134043474</v>
      </c>
      <c r="L25" s="31">
        <f t="shared" si="43"/>
        <v>127.50303525798908</v>
      </c>
    </row>
    <row r="26" spans="1:12" x14ac:dyDescent="0.25">
      <c r="A26" s="44"/>
      <c r="B26" s="45" t="s">
        <v>177</v>
      </c>
      <c r="C26" s="29" t="s">
        <v>175</v>
      </c>
      <c r="D26" s="31">
        <f>0.28*4200/SQRT($A24)*D$3/10*1.3*0.8</f>
        <v>55.251315278461931</v>
      </c>
      <c r="E26" s="31">
        <f t="shared" ref="E26:G26" si="44">0.28*4200/SQRT($A24)*E$3/10*1.3*0.8</f>
        <v>71.826709862000513</v>
      </c>
      <c r="F26" s="31">
        <f t="shared" si="44"/>
        <v>88.402104445539081</v>
      </c>
      <c r="G26" s="31">
        <f t="shared" si="44"/>
        <v>104.97749902907768</v>
      </c>
      <c r="H26" s="31">
        <f t="shared" ref="H26:L26" si="45">0.28*4200/SQRT($A24)*H$3/10*1.3</f>
        <v>151.94111701577032</v>
      </c>
      <c r="I26" s="31">
        <f t="shared" si="45"/>
        <v>172.66036024519352</v>
      </c>
      <c r="J26" s="31">
        <f t="shared" si="45"/>
        <v>200.28601788442452</v>
      </c>
      <c r="K26" s="31">
        <f t="shared" si="45"/>
        <v>221.00526111384769</v>
      </c>
      <c r="L26" s="31">
        <f t="shared" si="45"/>
        <v>248.63091875307867</v>
      </c>
    </row>
    <row r="27" spans="1:12" x14ac:dyDescent="0.25">
      <c r="A27" s="44"/>
      <c r="B27" s="45"/>
      <c r="C27" s="29" t="s">
        <v>176</v>
      </c>
      <c r="D27" s="31">
        <f>0.28*4200/SQRT($A24)*D$3/10*0.8</f>
        <v>42.501011752663018</v>
      </c>
      <c r="E27" s="31">
        <f t="shared" ref="E27:G27" si="46">0.28*4200/SQRT($A24)*E$3/10*0.8</f>
        <v>55.251315278461931</v>
      </c>
      <c r="F27" s="31">
        <f t="shared" si="46"/>
        <v>68.001618804260829</v>
      </c>
      <c r="G27" s="31">
        <f t="shared" si="46"/>
        <v>80.751922330059756</v>
      </c>
      <c r="H27" s="31">
        <f t="shared" ref="H27:L27" si="47">0.28*4200/SQRT($A24)*H$3/10</f>
        <v>116.87778231982331</v>
      </c>
      <c r="I27" s="31">
        <f t="shared" si="47"/>
        <v>132.81566172707193</v>
      </c>
      <c r="J27" s="31">
        <f t="shared" si="47"/>
        <v>154.06616760340347</v>
      </c>
      <c r="K27" s="31">
        <f t="shared" si="47"/>
        <v>170.00404701065207</v>
      </c>
      <c r="L27" s="31">
        <f t="shared" si="47"/>
        <v>191.25455288698359</v>
      </c>
    </row>
    <row r="28" spans="1:12" ht="16.5" customHeight="1" x14ac:dyDescent="0.25">
      <c r="A28" s="46" t="s">
        <v>178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25">
      <c r="A29" s="49" t="s">
        <v>179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Release Notes</vt:lpstr>
      <vt:lpstr>TEST</vt:lpstr>
      <vt:lpstr>Rebar Size</vt:lpstr>
      <vt:lpstr>基本伸展長度表 Ldb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2018-07-03T06:41:57Z</dcterms:modified>
</cp:coreProperties>
</file>